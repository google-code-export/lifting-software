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65" windowWidth="11910" windowHeight="5970"/>
  </bookViews>
  <sheets>
    <sheet name="Мировые AWPC БЭ bench" sheetId="1" r:id="rId1"/>
    <sheet name="Мировые AWPC Экип bench" sheetId="3" r:id="rId2"/>
    <sheet name="Европейские БЭ" sheetId="2" r:id="rId3"/>
    <sheet name="Европейские Экип" sheetId="6" r:id="rId4"/>
    <sheet name="Европейские 1 слой" sheetId="8" r:id="rId5"/>
    <sheet name="Россия Экип" sheetId="5" r:id="rId6"/>
    <sheet name="Российские БЭ" sheetId="4" r:id="rId7"/>
    <sheet name="Российские 1 слой" sheetId="7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2" hidden="1">'Европейские БЭ'!$A$1:$G$432</definedName>
    <definedName name="_xlnm._FilterDatabase" localSheetId="0" hidden="1">'Мировые AWPC БЭ bench'!$A$1:$H$399</definedName>
    <definedName name="_xlnm._FilterDatabase" localSheetId="1" hidden="1">'Мировые AWPC Экип bench'!$A$1:$H$404</definedName>
    <definedName name="_xlnm._FilterDatabase" localSheetId="6" hidden="1">'Российские БЭ'!$A$1:$G$358</definedName>
  </definedNames>
  <calcPr calcId="145621"/>
</workbook>
</file>

<file path=xl/calcChain.xml><?xml version="1.0" encoding="utf-8"?>
<calcChain xmlns="http://schemas.openxmlformats.org/spreadsheetml/2006/main">
  <c r="A407" i="1" l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A410" i="1"/>
  <c r="B410" i="1"/>
  <c r="C410" i="1"/>
  <c r="D410" i="1"/>
  <c r="E410" i="1"/>
  <c r="F410" i="1"/>
  <c r="A411" i="1"/>
  <c r="B411" i="1"/>
  <c r="C411" i="1"/>
  <c r="D411" i="1"/>
  <c r="E411" i="1"/>
  <c r="F411" i="1"/>
  <c r="A412" i="1"/>
  <c r="B412" i="1"/>
  <c r="C412" i="1"/>
  <c r="D412" i="1"/>
  <c r="E412" i="1"/>
  <c r="F412" i="1"/>
  <c r="A413" i="1"/>
  <c r="B413" i="1"/>
  <c r="C413" i="1"/>
  <c r="D413" i="1"/>
  <c r="E413" i="1"/>
  <c r="F413" i="1"/>
  <c r="A384" i="1"/>
  <c r="B384" i="1"/>
  <c r="C384" i="1"/>
  <c r="D384" i="1"/>
  <c r="E384" i="1"/>
  <c r="F384" i="1"/>
  <c r="A385" i="1"/>
  <c r="B385" i="1"/>
  <c r="C385" i="1"/>
  <c r="D385" i="1"/>
  <c r="E385" i="1"/>
  <c r="F385" i="1"/>
  <c r="A386" i="1"/>
  <c r="B386" i="1"/>
  <c r="C386" i="1"/>
  <c r="D386" i="1"/>
  <c r="E386" i="1"/>
  <c r="F386" i="1"/>
  <c r="D388" i="1"/>
  <c r="E388" i="1"/>
  <c r="F388" i="1"/>
  <c r="A389" i="1"/>
  <c r="B389" i="1"/>
  <c r="C389" i="1"/>
  <c r="D389" i="1"/>
  <c r="E389" i="1"/>
  <c r="F389" i="1"/>
  <c r="A390" i="1"/>
  <c r="B390" i="1"/>
  <c r="C390" i="1"/>
  <c r="D390" i="1"/>
  <c r="E390" i="1"/>
  <c r="F390" i="1"/>
  <c r="A391" i="1"/>
  <c r="B391" i="1"/>
  <c r="C391" i="1"/>
  <c r="D391" i="1"/>
  <c r="E391" i="1"/>
  <c r="F391" i="1"/>
  <c r="A392" i="1"/>
  <c r="B392" i="1"/>
  <c r="C392" i="1"/>
  <c r="D392" i="1"/>
  <c r="E392" i="1"/>
  <c r="F392" i="1"/>
  <c r="A393" i="1"/>
  <c r="B393" i="1"/>
  <c r="C393" i="1"/>
  <c r="D393" i="1"/>
  <c r="E393" i="1"/>
  <c r="F393" i="1"/>
  <c r="A394" i="1"/>
  <c r="B394" i="1"/>
  <c r="C394" i="1"/>
  <c r="D394" i="1"/>
  <c r="E394" i="1"/>
  <c r="F394" i="1"/>
  <c r="A395" i="1"/>
  <c r="B395" i="1"/>
  <c r="C395" i="1"/>
  <c r="D395" i="1"/>
  <c r="E395" i="1"/>
  <c r="F395" i="1"/>
  <c r="A396" i="1"/>
  <c r="B396" i="1"/>
  <c r="C396" i="1"/>
  <c r="D396" i="1"/>
  <c r="E396" i="1"/>
  <c r="F396" i="1"/>
  <c r="A397" i="1"/>
  <c r="B397" i="1"/>
  <c r="C397" i="1"/>
  <c r="D397" i="1"/>
  <c r="E397" i="1"/>
  <c r="F397" i="1"/>
  <c r="A398" i="1"/>
  <c r="B398" i="1"/>
  <c r="C398" i="1"/>
  <c r="D398" i="1"/>
  <c r="E398" i="1"/>
  <c r="F398" i="1"/>
  <c r="A399" i="1"/>
  <c r="B399" i="1"/>
  <c r="C399" i="1"/>
  <c r="D399" i="1"/>
  <c r="E399" i="1"/>
  <c r="F399" i="1"/>
  <c r="A400" i="1"/>
  <c r="B400" i="1"/>
  <c r="C400" i="1"/>
  <c r="D400" i="1"/>
  <c r="E400" i="1"/>
  <c r="F400" i="1"/>
  <c r="A401" i="1"/>
  <c r="B401" i="1"/>
  <c r="C401" i="1"/>
  <c r="D401" i="1"/>
  <c r="E401" i="1"/>
  <c r="F401" i="1"/>
  <c r="A402" i="1"/>
  <c r="B402" i="1"/>
  <c r="C402" i="1"/>
  <c r="D402" i="1"/>
  <c r="E402" i="1"/>
  <c r="F402" i="1"/>
  <c r="A403" i="1"/>
  <c r="B403" i="1"/>
  <c r="C403" i="1"/>
  <c r="D403" i="1"/>
  <c r="E403" i="1"/>
  <c r="F403" i="1"/>
  <c r="A404" i="1"/>
  <c r="B404" i="1"/>
  <c r="C404" i="1"/>
  <c r="D404" i="1"/>
  <c r="E404" i="1"/>
  <c r="F404" i="1"/>
  <c r="A405" i="1"/>
  <c r="B405" i="1"/>
  <c r="C405" i="1"/>
  <c r="D405" i="1"/>
  <c r="E405" i="1"/>
  <c r="F405" i="1"/>
  <c r="A406" i="1"/>
  <c r="B406" i="1"/>
  <c r="C406" i="1"/>
  <c r="D406" i="1"/>
  <c r="E406" i="1"/>
  <c r="F406" i="1"/>
  <c r="D6" i="1"/>
  <c r="B5" i="3"/>
  <c r="B4" i="1"/>
  <c r="A391" i="2"/>
  <c r="B391" i="2"/>
  <c r="C391" i="2"/>
  <c r="D391" i="2"/>
  <c r="E391" i="2"/>
  <c r="F391" i="2"/>
  <c r="G391" i="2"/>
  <c r="A392" i="2"/>
  <c r="B392" i="2"/>
  <c r="C392" i="2"/>
  <c r="D392" i="2"/>
  <c r="E392" i="2"/>
  <c r="F392" i="2"/>
  <c r="G392" i="2"/>
  <c r="A393" i="2"/>
  <c r="B393" i="2"/>
  <c r="C393" i="2"/>
  <c r="D393" i="2"/>
  <c r="E393" i="2"/>
  <c r="F393" i="2"/>
  <c r="G393" i="2"/>
  <c r="A394" i="2"/>
  <c r="B394" i="2"/>
  <c r="C394" i="2"/>
  <c r="D394" i="2" s="1"/>
  <c r="E394" i="2"/>
  <c r="F394" i="2"/>
  <c r="G394" i="2"/>
  <c r="A395" i="2"/>
  <c r="B395" i="2"/>
  <c r="C395" i="2"/>
  <c r="D395" i="2"/>
  <c r="E395" i="2"/>
  <c r="F395" i="2"/>
  <c r="G395" i="2"/>
  <c r="B371" i="2"/>
  <c r="C371" i="2"/>
  <c r="D371" i="2"/>
  <c r="E371" i="2"/>
  <c r="F371" i="2"/>
  <c r="G371" i="2"/>
  <c r="D372" i="2"/>
  <c r="A373" i="2"/>
  <c r="B373" i="2"/>
  <c r="C373" i="2"/>
  <c r="D373" i="2"/>
  <c r="E373" i="2"/>
  <c r="F373" i="2"/>
  <c r="G373" i="2"/>
  <c r="A374" i="2"/>
  <c r="B374" i="2"/>
  <c r="C374" i="2"/>
  <c r="D374" i="2" s="1"/>
  <c r="E374" i="2"/>
  <c r="F374" i="2"/>
  <c r="G374" i="2"/>
  <c r="A375" i="2"/>
  <c r="B375" i="2"/>
  <c r="C375" i="2"/>
  <c r="D375" i="2"/>
  <c r="E375" i="2"/>
  <c r="F375" i="2"/>
  <c r="G375" i="2"/>
  <c r="A376" i="2"/>
  <c r="B376" i="2"/>
  <c r="C376" i="2"/>
  <c r="D376" i="2" s="1"/>
  <c r="E376" i="2"/>
  <c r="F376" i="2"/>
  <c r="G376" i="2"/>
  <c r="A377" i="2"/>
  <c r="B377" i="2"/>
  <c r="C377" i="2"/>
  <c r="D377" i="2"/>
  <c r="E377" i="2"/>
  <c r="F377" i="2"/>
  <c r="G377" i="2"/>
  <c r="A378" i="2"/>
  <c r="B378" i="2"/>
  <c r="C378" i="2"/>
  <c r="D378" i="2" s="1"/>
  <c r="E378" i="2"/>
  <c r="F378" i="2"/>
  <c r="G378" i="2"/>
  <c r="A379" i="2"/>
  <c r="B379" i="2"/>
  <c r="C379" i="2"/>
  <c r="D379" i="2"/>
  <c r="E379" i="2"/>
  <c r="F379" i="2"/>
  <c r="G379" i="2"/>
  <c r="A380" i="2"/>
  <c r="B380" i="2"/>
  <c r="C380" i="2"/>
  <c r="D380" i="2" s="1"/>
  <c r="E380" i="2"/>
  <c r="F380" i="2"/>
  <c r="G380" i="2"/>
  <c r="A381" i="2"/>
  <c r="B381" i="2"/>
  <c r="C381" i="2"/>
  <c r="D381" i="2"/>
  <c r="E381" i="2"/>
  <c r="F381" i="2"/>
  <c r="G381" i="2"/>
  <c r="A382" i="2"/>
  <c r="B382" i="2"/>
  <c r="C382" i="2"/>
  <c r="D382" i="2" s="1"/>
  <c r="E382" i="2"/>
  <c r="F382" i="2"/>
  <c r="G382" i="2"/>
  <c r="A383" i="2"/>
  <c r="B383" i="2"/>
  <c r="C383" i="2"/>
  <c r="D383" i="2"/>
  <c r="E383" i="2"/>
  <c r="F383" i="2"/>
  <c r="G383" i="2"/>
  <c r="A384" i="2"/>
  <c r="B384" i="2"/>
  <c r="C384" i="2"/>
  <c r="D384" i="2" s="1"/>
  <c r="E384" i="2"/>
  <c r="F384" i="2"/>
  <c r="G384" i="2"/>
  <c r="A385" i="2"/>
  <c r="B385" i="2"/>
  <c r="C385" i="2"/>
  <c r="D385" i="2"/>
  <c r="E385" i="2"/>
  <c r="F385" i="2"/>
  <c r="G385" i="2"/>
  <c r="A386" i="2"/>
  <c r="B386" i="2"/>
  <c r="C386" i="2"/>
  <c r="D386" i="2" s="1"/>
  <c r="E386" i="2"/>
  <c r="F386" i="2"/>
  <c r="G386" i="2"/>
  <c r="A387" i="2"/>
  <c r="B387" i="2"/>
  <c r="C387" i="2"/>
  <c r="D387" i="2"/>
  <c r="E387" i="2"/>
  <c r="F387" i="2"/>
  <c r="G387" i="2"/>
  <c r="A388" i="2"/>
  <c r="B388" i="2"/>
  <c r="C388" i="2"/>
  <c r="D388" i="2" s="1"/>
  <c r="E388" i="2"/>
  <c r="F388" i="2"/>
  <c r="G388" i="2"/>
  <c r="A389" i="2"/>
  <c r="B389" i="2"/>
  <c r="C389" i="2"/>
  <c r="D389" i="2"/>
  <c r="E389" i="2"/>
  <c r="F389" i="2"/>
  <c r="G389" i="2"/>
  <c r="A390" i="2"/>
  <c r="B390" i="2"/>
  <c r="C390" i="2"/>
  <c r="D390" i="2" s="1"/>
  <c r="E390" i="2"/>
  <c r="F390" i="2"/>
  <c r="G390" i="2"/>
  <c r="A163" i="2"/>
  <c r="B163" i="2"/>
  <c r="C163" i="2"/>
  <c r="D163" i="2"/>
  <c r="E163" i="2"/>
  <c r="F163" i="2"/>
  <c r="G163" i="2"/>
  <c r="A164" i="2"/>
  <c r="B164" i="2"/>
  <c r="C164" i="2"/>
  <c r="D164" i="2" s="1"/>
  <c r="E164" i="2"/>
  <c r="F164" i="2"/>
  <c r="G164" i="2"/>
  <c r="A165" i="2"/>
  <c r="B165" i="2"/>
  <c r="C165" i="2"/>
  <c r="D165" i="2" s="1"/>
  <c r="E165" i="2"/>
  <c r="F165" i="2"/>
  <c r="G165" i="2"/>
  <c r="A166" i="2"/>
  <c r="B166" i="2"/>
  <c r="C166" i="2"/>
  <c r="D166" i="2" s="1"/>
  <c r="E166" i="2"/>
  <c r="F166" i="2"/>
  <c r="G166" i="2"/>
  <c r="A167" i="2"/>
  <c r="B167" i="2"/>
  <c r="C167" i="2"/>
  <c r="D167" i="2" s="1"/>
  <c r="E167" i="2"/>
  <c r="F167" i="2"/>
  <c r="G167" i="2"/>
  <c r="A168" i="2"/>
  <c r="B168" i="2"/>
  <c r="C168" i="2"/>
  <c r="D168" i="2" s="1"/>
  <c r="E168" i="2"/>
  <c r="F168" i="2"/>
  <c r="G168" i="2"/>
  <c r="A169" i="2"/>
  <c r="B169" i="2"/>
  <c r="C169" i="2"/>
  <c r="D169" i="2" s="1"/>
  <c r="E169" i="2"/>
  <c r="F169" i="2"/>
  <c r="G169" i="2"/>
  <c r="A170" i="2"/>
  <c r="B170" i="2"/>
  <c r="C170" i="2"/>
  <c r="D170" i="2" s="1"/>
  <c r="E170" i="2"/>
  <c r="F170" i="2"/>
  <c r="G170" i="2"/>
  <c r="A171" i="2"/>
  <c r="B171" i="2"/>
  <c r="C171" i="2"/>
  <c r="D171" i="2" s="1"/>
  <c r="E171" i="2"/>
  <c r="F171" i="2"/>
  <c r="G171" i="2"/>
  <c r="A141" i="2"/>
  <c r="B141" i="2"/>
  <c r="C141" i="2"/>
  <c r="D141" i="2" s="1"/>
  <c r="E141" i="2"/>
  <c r="F141" i="2"/>
  <c r="G141" i="2"/>
  <c r="A142" i="2"/>
  <c r="B142" i="2"/>
  <c r="C142" i="2"/>
  <c r="D142" i="2" s="1"/>
  <c r="E142" i="2"/>
  <c r="F142" i="2"/>
  <c r="G142" i="2"/>
  <c r="A143" i="2"/>
  <c r="B143" i="2"/>
  <c r="C143" i="2"/>
  <c r="D143" i="2" s="1"/>
  <c r="E143" i="2"/>
  <c r="F143" i="2"/>
  <c r="G143" i="2"/>
  <c r="A144" i="2"/>
  <c r="B144" i="2"/>
  <c r="C144" i="2"/>
  <c r="D144" i="2" s="1"/>
  <c r="E144" i="2"/>
  <c r="F144" i="2"/>
  <c r="G144" i="2"/>
  <c r="A145" i="2"/>
  <c r="B145" i="2"/>
  <c r="C145" i="2"/>
  <c r="D145" i="2" s="1"/>
  <c r="E145" i="2"/>
  <c r="F145" i="2"/>
  <c r="G145" i="2"/>
  <c r="A146" i="2"/>
  <c r="B146" i="2"/>
  <c r="C146" i="2"/>
  <c r="D146" i="2" s="1"/>
  <c r="E146" i="2"/>
  <c r="F146" i="2"/>
  <c r="G146" i="2"/>
  <c r="A147" i="2"/>
  <c r="B147" i="2"/>
  <c r="C147" i="2"/>
  <c r="D147" i="2" s="1"/>
  <c r="E147" i="2"/>
  <c r="F147" i="2"/>
  <c r="G147" i="2"/>
  <c r="A148" i="2"/>
  <c r="B148" i="2"/>
  <c r="C148" i="2"/>
  <c r="D148" i="2" s="1"/>
  <c r="E148" i="2"/>
  <c r="F148" i="2"/>
  <c r="G148" i="2"/>
  <c r="A149" i="2"/>
  <c r="B149" i="2"/>
  <c r="C149" i="2"/>
  <c r="D149" i="2" s="1"/>
  <c r="E149" i="2"/>
  <c r="F149" i="2"/>
  <c r="G149" i="2"/>
  <c r="A150" i="2"/>
  <c r="B150" i="2"/>
  <c r="C150" i="2"/>
  <c r="D150" i="2" s="1"/>
  <c r="E150" i="2"/>
  <c r="F150" i="2"/>
  <c r="G150" i="2"/>
  <c r="D152" i="2"/>
  <c r="A153" i="2"/>
  <c r="B153" i="2"/>
  <c r="C153" i="2"/>
  <c r="D153" i="2" s="1"/>
  <c r="E153" i="2"/>
  <c r="F153" i="2"/>
  <c r="G153" i="2"/>
  <c r="A154" i="2"/>
  <c r="B154" i="2"/>
  <c r="C154" i="2"/>
  <c r="D154" i="2" s="1"/>
  <c r="E154" i="2"/>
  <c r="F154" i="2"/>
  <c r="G154" i="2"/>
  <c r="A155" i="2"/>
  <c r="B155" i="2"/>
  <c r="C155" i="2"/>
  <c r="D155" i="2" s="1"/>
  <c r="E155" i="2"/>
  <c r="F155" i="2"/>
  <c r="G155" i="2"/>
  <c r="A156" i="2"/>
  <c r="B156" i="2"/>
  <c r="C156" i="2"/>
  <c r="D156" i="2" s="1"/>
  <c r="E156" i="2"/>
  <c r="F156" i="2"/>
  <c r="G156" i="2"/>
  <c r="A157" i="2"/>
  <c r="B157" i="2"/>
  <c r="C157" i="2"/>
  <c r="D157" i="2" s="1"/>
  <c r="E157" i="2"/>
  <c r="F157" i="2"/>
  <c r="G157" i="2"/>
  <c r="A158" i="2"/>
  <c r="B158" i="2"/>
  <c r="C158" i="2"/>
  <c r="D158" i="2" s="1"/>
  <c r="E158" i="2"/>
  <c r="F158" i="2"/>
  <c r="G158" i="2"/>
  <c r="A159" i="2"/>
  <c r="B159" i="2"/>
  <c r="C159" i="2"/>
  <c r="D159" i="2" s="1"/>
  <c r="E159" i="2"/>
  <c r="F159" i="2"/>
  <c r="G159" i="2"/>
  <c r="A160" i="2"/>
  <c r="B160" i="2"/>
  <c r="C160" i="2"/>
  <c r="D160" i="2" s="1"/>
  <c r="E160" i="2"/>
  <c r="F160" i="2"/>
  <c r="G160" i="2"/>
  <c r="A161" i="2"/>
  <c r="B161" i="2"/>
  <c r="C161" i="2"/>
  <c r="D161" i="2" s="1"/>
  <c r="E161" i="2"/>
  <c r="F161" i="2"/>
  <c r="G161" i="2"/>
  <c r="A162" i="2"/>
  <c r="B162" i="2"/>
  <c r="C162" i="2"/>
  <c r="D162" i="2" s="1"/>
  <c r="E162" i="2"/>
  <c r="F162" i="2"/>
  <c r="G162" i="2"/>
  <c r="A130" i="2"/>
  <c r="B130" i="2"/>
  <c r="C130" i="2"/>
  <c r="D130" i="2" s="1"/>
  <c r="E130" i="2"/>
  <c r="F130" i="2"/>
  <c r="G130" i="2"/>
  <c r="A131" i="2"/>
  <c r="B131" i="2"/>
  <c r="C131" i="2"/>
  <c r="D131" i="2" s="1"/>
  <c r="E131" i="2"/>
  <c r="F131" i="2"/>
  <c r="G131" i="2"/>
  <c r="A132" i="2"/>
  <c r="B132" i="2"/>
  <c r="C132" i="2"/>
  <c r="D132" i="2" s="1"/>
  <c r="E132" i="2"/>
  <c r="F132" i="2"/>
  <c r="G132" i="2"/>
  <c r="A133" i="2"/>
  <c r="B133" i="2"/>
  <c r="C133" i="2"/>
  <c r="D133" i="2" s="1"/>
  <c r="E133" i="2"/>
  <c r="F133" i="2"/>
  <c r="G133" i="2"/>
  <c r="A134" i="2"/>
  <c r="B134" i="2"/>
  <c r="C134" i="2"/>
  <c r="D134" i="2" s="1"/>
  <c r="E134" i="2"/>
  <c r="F134" i="2"/>
  <c r="G134" i="2"/>
  <c r="A135" i="2"/>
  <c r="B135" i="2"/>
  <c r="C135" i="2"/>
  <c r="D135" i="2" s="1"/>
  <c r="E135" i="2"/>
  <c r="F135" i="2"/>
  <c r="G135" i="2"/>
  <c r="A136" i="2"/>
  <c r="B136" i="2"/>
  <c r="C136" i="2"/>
  <c r="D136" i="2" s="1"/>
  <c r="E136" i="2"/>
  <c r="F136" i="2"/>
  <c r="G136" i="2"/>
  <c r="A137" i="2"/>
  <c r="B137" i="2"/>
  <c r="C137" i="2"/>
  <c r="D137" i="2" s="1"/>
  <c r="E137" i="2"/>
  <c r="F137" i="2"/>
  <c r="G137" i="2"/>
  <c r="A138" i="2"/>
  <c r="B138" i="2"/>
  <c r="C138" i="2"/>
  <c r="D138" i="2" s="1"/>
  <c r="E138" i="2"/>
  <c r="F138" i="2"/>
  <c r="G138" i="2"/>
  <c r="D140" i="2"/>
  <c r="A117" i="2"/>
  <c r="B117" i="2"/>
  <c r="C117" i="2"/>
  <c r="D117" i="2" s="1"/>
  <c r="E117" i="2"/>
  <c r="F117" i="2"/>
  <c r="G117" i="2"/>
  <c r="A118" i="2"/>
  <c r="B118" i="2"/>
  <c r="C118" i="2"/>
  <c r="D118" i="2" s="1"/>
  <c r="E118" i="2"/>
  <c r="F118" i="2"/>
  <c r="G118" i="2"/>
  <c r="A119" i="2"/>
  <c r="B119" i="2"/>
  <c r="C119" i="2"/>
  <c r="D119" i="2" s="1"/>
  <c r="E119" i="2"/>
  <c r="F119" i="2"/>
  <c r="G119" i="2"/>
  <c r="A120" i="2"/>
  <c r="B120" i="2"/>
  <c r="C120" i="2"/>
  <c r="D120" i="2" s="1"/>
  <c r="E120" i="2"/>
  <c r="F120" i="2"/>
  <c r="G120" i="2"/>
  <c r="A121" i="2"/>
  <c r="B121" i="2"/>
  <c r="C121" i="2"/>
  <c r="D121" i="2" s="1"/>
  <c r="E121" i="2"/>
  <c r="F121" i="2"/>
  <c r="G121" i="2"/>
  <c r="A122" i="2"/>
  <c r="B122" i="2"/>
  <c r="C122" i="2"/>
  <c r="D122" i="2" s="1"/>
  <c r="E122" i="2"/>
  <c r="F122" i="2"/>
  <c r="G122" i="2"/>
  <c r="A123" i="2"/>
  <c r="B123" i="2"/>
  <c r="C123" i="2"/>
  <c r="D123" i="2" s="1"/>
  <c r="E123" i="2"/>
  <c r="F123" i="2"/>
  <c r="G123" i="2"/>
  <c r="A124" i="2"/>
  <c r="B124" i="2"/>
  <c r="C124" i="2"/>
  <c r="D124" i="2" s="1"/>
  <c r="E124" i="2"/>
  <c r="F124" i="2"/>
  <c r="G124" i="2"/>
  <c r="A125" i="2"/>
  <c r="B125" i="2"/>
  <c r="C125" i="2"/>
  <c r="D125" i="2" s="1"/>
  <c r="E125" i="2"/>
  <c r="F125" i="2"/>
  <c r="G125" i="2"/>
  <c r="A126" i="2"/>
  <c r="B126" i="2"/>
  <c r="C126" i="2"/>
  <c r="D126" i="2" s="1"/>
  <c r="E126" i="2"/>
  <c r="F126" i="2"/>
  <c r="G126" i="2"/>
  <c r="D128" i="2"/>
  <c r="A129" i="2"/>
  <c r="B129" i="2"/>
  <c r="C129" i="2"/>
  <c r="D129" i="2" s="1"/>
  <c r="E129" i="2"/>
  <c r="F129" i="2"/>
  <c r="G129" i="2"/>
  <c r="A90" i="2"/>
  <c r="B90" i="2"/>
  <c r="C90" i="2"/>
  <c r="D90" i="2" s="1"/>
  <c r="E90" i="2"/>
  <c r="F90" i="2"/>
  <c r="G90" i="2"/>
  <c r="D92" i="2"/>
  <c r="A93" i="2"/>
  <c r="B93" i="2"/>
  <c r="C93" i="2"/>
  <c r="D93" i="2" s="1"/>
  <c r="E93" i="2"/>
  <c r="F93" i="2"/>
  <c r="G93" i="2"/>
  <c r="A94" i="2"/>
  <c r="B94" i="2"/>
  <c r="C94" i="2"/>
  <c r="D94" i="2" s="1"/>
  <c r="E94" i="2"/>
  <c r="F94" i="2"/>
  <c r="G94" i="2"/>
  <c r="A95" i="2"/>
  <c r="B95" i="2"/>
  <c r="C95" i="2"/>
  <c r="D95" i="2" s="1"/>
  <c r="E95" i="2"/>
  <c r="F95" i="2"/>
  <c r="G95" i="2"/>
  <c r="A96" i="2"/>
  <c r="B96" i="2"/>
  <c r="C96" i="2"/>
  <c r="D96" i="2" s="1"/>
  <c r="E96" i="2"/>
  <c r="F96" i="2"/>
  <c r="G96" i="2"/>
  <c r="A97" i="2"/>
  <c r="B97" i="2"/>
  <c r="C97" i="2"/>
  <c r="D97" i="2" s="1"/>
  <c r="E97" i="2"/>
  <c r="F97" i="2"/>
  <c r="G97" i="2"/>
  <c r="A98" i="2"/>
  <c r="B98" i="2"/>
  <c r="C98" i="2"/>
  <c r="D98" i="2" s="1"/>
  <c r="E98" i="2"/>
  <c r="F98" i="2"/>
  <c r="G98" i="2"/>
  <c r="A99" i="2"/>
  <c r="B99" i="2"/>
  <c r="C99" i="2"/>
  <c r="D99" i="2" s="1"/>
  <c r="E99" i="2"/>
  <c r="F99" i="2"/>
  <c r="G99" i="2"/>
  <c r="A100" i="2"/>
  <c r="B100" i="2"/>
  <c r="C100" i="2"/>
  <c r="D100" i="2" s="1"/>
  <c r="E100" i="2"/>
  <c r="F100" i="2"/>
  <c r="G100" i="2"/>
  <c r="A101" i="2"/>
  <c r="B101" i="2"/>
  <c r="C101" i="2"/>
  <c r="D101" i="2" s="1"/>
  <c r="E101" i="2"/>
  <c r="F101" i="2"/>
  <c r="G101" i="2"/>
  <c r="A102" i="2"/>
  <c r="B102" i="2"/>
  <c r="C102" i="2"/>
  <c r="D102" i="2" s="1"/>
  <c r="E102" i="2"/>
  <c r="F102" i="2"/>
  <c r="G102" i="2"/>
  <c r="D104" i="2"/>
  <c r="A105" i="2"/>
  <c r="B105" i="2"/>
  <c r="C105" i="2"/>
  <c r="D105" i="2" s="1"/>
  <c r="E105" i="2"/>
  <c r="F105" i="2"/>
  <c r="G105" i="2"/>
  <c r="A106" i="2"/>
  <c r="B106" i="2"/>
  <c r="C106" i="2"/>
  <c r="D106" i="2" s="1"/>
  <c r="E106" i="2"/>
  <c r="F106" i="2"/>
  <c r="G106" i="2"/>
  <c r="A107" i="2"/>
  <c r="B107" i="2"/>
  <c r="C107" i="2"/>
  <c r="D107" i="2" s="1"/>
  <c r="E107" i="2"/>
  <c r="F107" i="2"/>
  <c r="G107" i="2"/>
  <c r="A108" i="2"/>
  <c r="B108" i="2"/>
  <c r="C108" i="2"/>
  <c r="D108" i="2" s="1"/>
  <c r="E108" i="2"/>
  <c r="F108" i="2"/>
  <c r="G108" i="2"/>
  <c r="A109" i="2"/>
  <c r="B109" i="2"/>
  <c r="C109" i="2"/>
  <c r="D109" i="2" s="1"/>
  <c r="E109" i="2"/>
  <c r="F109" i="2"/>
  <c r="G109" i="2"/>
  <c r="A110" i="2"/>
  <c r="B110" i="2"/>
  <c r="C110" i="2"/>
  <c r="D110" i="2" s="1"/>
  <c r="E110" i="2"/>
  <c r="F110" i="2"/>
  <c r="G110" i="2"/>
  <c r="A111" i="2"/>
  <c r="B111" i="2"/>
  <c r="C111" i="2"/>
  <c r="D111" i="2" s="1"/>
  <c r="E111" i="2"/>
  <c r="F111" i="2"/>
  <c r="G111" i="2"/>
  <c r="A112" i="2"/>
  <c r="B112" i="2"/>
  <c r="C112" i="2"/>
  <c r="D112" i="2" s="1"/>
  <c r="E112" i="2"/>
  <c r="F112" i="2"/>
  <c r="G112" i="2"/>
  <c r="A113" i="2"/>
  <c r="B113" i="2"/>
  <c r="C113" i="2"/>
  <c r="D113" i="2" s="1"/>
  <c r="E113" i="2"/>
  <c r="F113" i="2"/>
  <c r="G113" i="2"/>
  <c r="A114" i="2"/>
  <c r="B114" i="2"/>
  <c r="C114" i="2"/>
  <c r="D114" i="2" s="1"/>
  <c r="E114" i="2"/>
  <c r="F114" i="2"/>
  <c r="G114" i="2"/>
  <c r="B115" i="2"/>
  <c r="C115" i="2"/>
  <c r="D115" i="2" s="1"/>
  <c r="E115" i="2"/>
  <c r="F115" i="2"/>
  <c r="G115" i="2"/>
  <c r="D116" i="2"/>
  <c r="A342" i="6"/>
  <c r="B342" i="6"/>
  <c r="C342" i="6"/>
  <c r="D342" i="6"/>
  <c r="E342" i="6"/>
  <c r="F342" i="6"/>
  <c r="G342" i="6"/>
  <c r="A343" i="6"/>
  <c r="B343" i="6"/>
  <c r="C343" i="6"/>
  <c r="D343" i="6" s="1"/>
  <c r="E343" i="6"/>
  <c r="F343" i="6"/>
  <c r="G343" i="6"/>
  <c r="A344" i="6"/>
  <c r="B344" i="6"/>
  <c r="C344" i="6"/>
  <c r="D344" i="6" s="1"/>
  <c r="E344" i="6"/>
  <c r="F344" i="6"/>
  <c r="G344" i="6"/>
  <c r="A345" i="6"/>
  <c r="B345" i="6"/>
  <c r="C345" i="6"/>
  <c r="D345" i="6" s="1"/>
  <c r="E345" i="6"/>
  <c r="F345" i="6"/>
  <c r="G345" i="6"/>
  <c r="A346" i="6"/>
  <c r="B346" i="6"/>
  <c r="C346" i="6"/>
  <c r="D346" i="6"/>
  <c r="E346" i="6"/>
  <c r="F346" i="6"/>
  <c r="G346" i="6"/>
  <c r="A347" i="6"/>
  <c r="B347" i="6"/>
  <c r="C347" i="6"/>
  <c r="D347" i="6" s="1"/>
  <c r="E347" i="6"/>
  <c r="F347" i="6"/>
  <c r="G347" i="6"/>
  <c r="A348" i="6"/>
  <c r="B348" i="6"/>
  <c r="C348" i="6"/>
  <c r="D348" i="6" s="1"/>
  <c r="E348" i="6"/>
  <c r="F348" i="6"/>
  <c r="G348" i="6"/>
  <c r="A349" i="6"/>
  <c r="B349" i="6"/>
  <c r="C349" i="6"/>
  <c r="D349" i="6" s="1"/>
  <c r="E349" i="6"/>
  <c r="F349" i="6"/>
  <c r="G349" i="6"/>
  <c r="A350" i="6"/>
  <c r="B350" i="6"/>
  <c r="C350" i="6"/>
  <c r="D350" i="6"/>
  <c r="E350" i="6"/>
  <c r="F350" i="6"/>
  <c r="G350" i="6"/>
  <c r="A351" i="6"/>
  <c r="B351" i="6"/>
  <c r="C351" i="6"/>
  <c r="D351" i="6" s="1"/>
  <c r="E351" i="6"/>
  <c r="F351" i="6"/>
  <c r="G351" i="6"/>
  <c r="A352" i="6"/>
  <c r="B352" i="6"/>
  <c r="C352" i="6"/>
  <c r="D352" i="6" s="1"/>
  <c r="E352" i="6"/>
  <c r="F352" i="6"/>
  <c r="G352" i="6"/>
  <c r="A353" i="6"/>
  <c r="B353" i="6"/>
  <c r="C353" i="6"/>
  <c r="D353" i="6" s="1"/>
  <c r="E353" i="6"/>
  <c r="F353" i="6"/>
  <c r="G353" i="6"/>
  <c r="A354" i="6"/>
  <c r="B354" i="6"/>
  <c r="C354" i="6"/>
  <c r="D354" i="6"/>
  <c r="E354" i="6"/>
  <c r="F354" i="6"/>
  <c r="G354" i="6"/>
  <c r="A355" i="6"/>
  <c r="B355" i="6"/>
  <c r="C355" i="6"/>
  <c r="D355" i="6" s="1"/>
  <c r="E355" i="6"/>
  <c r="F355" i="6"/>
  <c r="G355" i="6"/>
  <c r="A356" i="6"/>
  <c r="B356" i="6"/>
  <c r="C356" i="6"/>
  <c r="D356" i="6" s="1"/>
  <c r="E356" i="6"/>
  <c r="F356" i="6"/>
  <c r="G356" i="6"/>
  <c r="D334" i="6"/>
  <c r="A335" i="6"/>
  <c r="B335" i="6"/>
  <c r="C335" i="6"/>
  <c r="D335" i="6" s="1"/>
  <c r="E335" i="6"/>
  <c r="F335" i="6"/>
  <c r="G335" i="6"/>
  <c r="A336" i="6"/>
  <c r="B336" i="6"/>
  <c r="C336" i="6"/>
  <c r="D336" i="6" s="1"/>
  <c r="E336" i="6"/>
  <c r="F336" i="6"/>
  <c r="G336" i="6"/>
  <c r="A337" i="6"/>
  <c r="B337" i="6"/>
  <c r="C337" i="6"/>
  <c r="D337" i="6" s="1"/>
  <c r="E337" i="6"/>
  <c r="F337" i="6"/>
  <c r="G337" i="6"/>
  <c r="A338" i="6"/>
  <c r="B338" i="6"/>
  <c r="C338" i="6"/>
  <c r="D338" i="6"/>
  <c r="E338" i="6"/>
  <c r="F338" i="6"/>
  <c r="G338" i="6"/>
  <c r="A339" i="6"/>
  <c r="B339" i="6"/>
  <c r="C339" i="6"/>
  <c r="D339" i="6" s="1"/>
  <c r="E339" i="6"/>
  <c r="F339" i="6"/>
  <c r="G339" i="6"/>
  <c r="A340" i="6"/>
  <c r="B340" i="6"/>
  <c r="C340" i="6"/>
  <c r="D340" i="6" s="1"/>
  <c r="E340" i="6"/>
  <c r="F340" i="6"/>
  <c r="G340" i="6"/>
  <c r="A341" i="6"/>
  <c r="B341" i="6"/>
  <c r="C341" i="6"/>
  <c r="D341" i="6" s="1"/>
  <c r="E341" i="6"/>
  <c r="F341" i="6"/>
  <c r="G341" i="6"/>
  <c r="A10" i="6"/>
  <c r="B10" i="6"/>
  <c r="C10" i="6"/>
  <c r="E10" i="6"/>
  <c r="F10" i="6"/>
  <c r="G10" i="6"/>
  <c r="A11" i="6"/>
  <c r="B11" i="6"/>
  <c r="C11" i="6"/>
  <c r="E11" i="6"/>
  <c r="F11" i="6"/>
  <c r="G11" i="6"/>
  <c r="A12" i="6"/>
  <c r="B12" i="6"/>
  <c r="C12" i="6"/>
  <c r="E12" i="6"/>
  <c r="F12" i="6"/>
  <c r="G12" i="6"/>
  <c r="A13" i="6"/>
  <c r="B13" i="6"/>
  <c r="C13" i="6"/>
  <c r="E13" i="6"/>
  <c r="F13" i="6"/>
  <c r="G13" i="6"/>
  <c r="A14" i="6"/>
  <c r="B14" i="6"/>
  <c r="C14" i="6"/>
  <c r="E14" i="6"/>
  <c r="F14" i="6"/>
  <c r="G14" i="6"/>
  <c r="A15" i="6"/>
  <c r="B15" i="6"/>
  <c r="C15" i="6"/>
  <c r="E15" i="6"/>
  <c r="F15" i="6"/>
  <c r="G15" i="6"/>
  <c r="A16" i="6"/>
  <c r="B16" i="6"/>
  <c r="C16" i="6"/>
  <c r="E16" i="6"/>
  <c r="F16" i="6"/>
  <c r="G16" i="6"/>
  <c r="A17" i="6"/>
  <c r="B17" i="6"/>
  <c r="C17" i="6"/>
  <c r="E17" i="6"/>
  <c r="F17" i="6"/>
  <c r="G17" i="6"/>
  <c r="A18" i="6"/>
  <c r="B18" i="6"/>
  <c r="C18" i="6"/>
  <c r="E18" i="6"/>
  <c r="F18" i="6"/>
  <c r="G18" i="6"/>
  <c r="D20" i="6"/>
  <c r="A21" i="6"/>
  <c r="B21" i="6"/>
  <c r="C21" i="6"/>
  <c r="E21" i="6"/>
  <c r="F21" i="6"/>
  <c r="G21" i="6"/>
  <c r="A22" i="6"/>
  <c r="B22" i="6"/>
  <c r="C22" i="6"/>
  <c r="E22" i="6"/>
  <c r="F22" i="6"/>
  <c r="G22" i="6"/>
  <c r="A23" i="6"/>
  <c r="B23" i="6"/>
  <c r="C23" i="6"/>
  <c r="E23" i="6"/>
  <c r="F23" i="6"/>
  <c r="G23" i="6"/>
  <c r="A24" i="6"/>
  <c r="B24" i="6"/>
  <c r="C24" i="6"/>
  <c r="E24" i="6"/>
  <c r="F24" i="6"/>
  <c r="G24" i="6"/>
  <c r="A25" i="6"/>
  <c r="B25" i="6"/>
  <c r="C25" i="6"/>
  <c r="E25" i="6"/>
  <c r="F25" i="6"/>
  <c r="G25" i="6"/>
  <c r="A26" i="6"/>
  <c r="B26" i="6"/>
  <c r="C26" i="6"/>
  <c r="E26" i="6"/>
  <c r="F26" i="6"/>
  <c r="G26" i="6"/>
  <c r="A27" i="6"/>
  <c r="B27" i="6"/>
  <c r="C27" i="6"/>
  <c r="E27" i="6"/>
  <c r="F27" i="6"/>
  <c r="G27" i="6"/>
  <c r="A28" i="6"/>
  <c r="B28" i="6"/>
  <c r="C28" i="6"/>
  <c r="E28" i="6"/>
  <c r="F28" i="6"/>
  <c r="G28" i="6"/>
  <c r="A29" i="6"/>
  <c r="B29" i="6"/>
  <c r="C29" i="6"/>
  <c r="E29" i="6"/>
  <c r="F29" i="6"/>
  <c r="G29" i="6"/>
  <c r="A30" i="6"/>
  <c r="B30" i="6"/>
  <c r="C30" i="6"/>
  <c r="E30" i="6"/>
  <c r="F30" i="6"/>
  <c r="G30" i="6"/>
  <c r="D32" i="6"/>
  <c r="A33" i="6"/>
  <c r="B33" i="6"/>
  <c r="C33" i="6"/>
  <c r="E33" i="6"/>
  <c r="F33" i="6"/>
  <c r="G33" i="6"/>
  <c r="A34" i="6"/>
  <c r="B34" i="6"/>
  <c r="C34" i="6"/>
  <c r="E34" i="6"/>
  <c r="F34" i="6"/>
  <c r="G34" i="6"/>
  <c r="A35" i="6"/>
  <c r="B35" i="6"/>
  <c r="C35" i="6"/>
  <c r="E35" i="6"/>
  <c r="F35" i="6"/>
  <c r="G35" i="6"/>
  <c r="A36" i="6"/>
  <c r="B36" i="6"/>
  <c r="C36" i="6"/>
  <c r="E36" i="6"/>
  <c r="F36" i="6"/>
  <c r="G36" i="6"/>
  <c r="A37" i="6"/>
  <c r="B37" i="6"/>
  <c r="C37" i="6"/>
  <c r="E37" i="6"/>
  <c r="F37" i="6"/>
  <c r="G37" i="6"/>
  <c r="A38" i="6"/>
  <c r="B38" i="6"/>
  <c r="C38" i="6"/>
  <c r="E38" i="6"/>
  <c r="F38" i="6"/>
  <c r="G38" i="6"/>
  <c r="A39" i="6"/>
  <c r="B39" i="6"/>
  <c r="C39" i="6"/>
  <c r="E39" i="6"/>
  <c r="F39" i="6"/>
  <c r="G39" i="6"/>
  <c r="A40" i="6"/>
  <c r="B40" i="6"/>
  <c r="C40" i="6"/>
  <c r="E40" i="6"/>
  <c r="F40" i="6"/>
  <c r="G40" i="6"/>
  <c r="A41" i="6"/>
  <c r="B41" i="6"/>
  <c r="C41" i="6"/>
  <c r="E41" i="6"/>
  <c r="F41" i="6"/>
  <c r="G41" i="6"/>
  <c r="A42" i="6"/>
  <c r="B42" i="6"/>
  <c r="C42" i="6"/>
  <c r="E42" i="6"/>
  <c r="F42" i="6"/>
  <c r="G42" i="6"/>
  <c r="D44" i="6"/>
  <c r="A45" i="6"/>
  <c r="B45" i="6"/>
  <c r="C45" i="6"/>
  <c r="E45" i="6"/>
  <c r="F45" i="6"/>
  <c r="G45" i="6"/>
  <c r="A46" i="6"/>
  <c r="B46" i="6"/>
  <c r="C46" i="6"/>
  <c r="E46" i="6"/>
  <c r="F46" i="6"/>
  <c r="G46" i="6"/>
  <c r="A47" i="6"/>
  <c r="B47" i="6"/>
  <c r="C47" i="6"/>
  <c r="E47" i="6"/>
  <c r="F47" i="6"/>
  <c r="G47" i="6"/>
  <c r="A48" i="6"/>
  <c r="B48" i="6"/>
  <c r="C48" i="6"/>
  <c r="E48" i="6"/>
  <c r="F48" i="6"/>
  <c r="G48" i="6"/>
  <c r="A49" i="6"/>
  <c r="B49" i="6"/>
  <c r="C49" i="6"/>
  <c r="E49" i="6"/>
  <c r="F49" i="6"/>
  <c r="G49" i="6"/>
  <c r="A50" i="6"/>
  <c r="B50" i="6"/>
  <c r="C50" i="6"/>
  <c r="E50" i="6"/>
  <c r="F50" i="6"/>
  <c r="G50" i="6"/>
  <c r="A51" i="6"/>
  <c r="B51" i="6"/>
  <c r="C51" i="6"/>
  <c r="E51" i="6"/>
  <c r="F51" i="6"/>
  <c r="G51" i="6"/>
  <c r="A52" i="6"/>
  <c r="B52" i="6"/>
  <c r="C52" i="6"/>
  <c r="E52" i="6"/>
  <c r="F52" i="6"/>
  <c r="G52" i="6"/>
  <c r="A53" i="6"/>
  <c r="B53" i="6"/>
  <c r="C53" i="6"/>
  <c r="E53" i="6"/>
  <c r="F53" i="6"/>
  <c r="G53" i="6"/>
  <c r="A54" i="6"/>
  <c r="B54" i="6"/>
  <c r="C54" i="6"/>
  <c r="E54" i="6"/>
  <c r="F54" i="6"/>
  <c r="G54" i="6"/>
  <c r="D56" i="6"/>
  <c r="A57" i="6"/>
  <c r="B57" i="6"/>
  <c r="C57" i="6"/>
  <c r="E57" i="6"/>
  <c r="F57" i="6"/>
  <c r="G57" i="6"/>
  <c r="A58" i="6"/>
  <c r="B58" i="6"/>
  <c r="C58" i="6"/>
  <c r="E58" i="6"/>
  <c r="F58" i="6"/>
  <c r="G58" i="6"/>
  <c r="A59" i="6"/>
  <c r="B59" i="6"/>
  <c r="C59" i="6"/>
  <c r="E59" i="6"/>
  <c r="F59" i="6"/>
  <c r="G59" i="6"/>
  <c r="A60" i="6"/>
  <c r="B60" i="6"/>
  <c r="C60" i="6"/>
  <c r="E60" i="6"/>
  <c r="F60" i="6"/>
  <c r="G60" i="6"/>
  <c r="A61" i="6"/>
  <c r="B61" i="6"/>
  <c r="C61" i="6"/>
  <c r="E61" i="6"/>
  <c r="F61" i="6"/>
  <c r="G61" i="6"/>
  <c r="A62" i="6"/>
  <c r="B62" i="6"/>
  <c r="C62" i="6"/>
  <c r="E62" i="6"/>
  <c r="F62" i="6"/>
  <c r="G62" i="6"/>
  <c r="A63" i="6"/>
  <c r="B63" i="6"/>
  <c r="C63" i="6"/>
  <c r="E63" i="6"/>
  <c r="F63" i="6"/>
  <c r="G63" i="6"/>
  <c r="A64" i="6"/>
  <c r="B64" i="6"/>
  <c r="C64" i="6"/>
  <c r="E64" i="6"/>
  <c r="F64" i="6"/>
  <c r="G64" i="6"/>
  <c r="A65" i="6"/>
  <c r="B65" i="6"/>
  <c r="C65" i="6"/>
  <c r="E65" i="6"/>
  <c r="F65" i="6"/>
  <c r="G65" i="6"/>
  <c r="A66" i="6"/>
  <c r="B66" i="6"/>
  <c r="C66" i="6"/>
  <c r="E66" i="6"/>
  <c r="F66" i="6"/>
  <c r="G66" i="6"/>
  <c r="B67" i="6"/>
  <c r="C67" i="6"/>
  <c r="E67" i="6"/>
  <c r="F67" i="6"/>
  <c r="G67" i="6"/>
  <c r="D68" i="6"/>
  <c r="A69" i="6"/>
  <c r="B69" i="6"/>
  <c r="C69" i="6"/>
  <c r="E69" i="6"/>
  <c r="F69" i="6"/>
  <c r="G69" i="6"/>
  <c r="A70" i="6"/>
  <c r="B70" i="6"/>
  <c r="C70" i="6"/>
  <c r="E70" i="6"/>
  <c r="F70" i="6"/>
  <c r="G70" i="6"/>
  <c r="A71" i="6"/>
  <c r="B71" i="6"/>
  <c r="C71" i="6"/>
  <c r="E71" i="6"/>
  <c r="F71" i="6"/>
  <c r="G71" i="6"/>
  <c r="A72" i="6"/>
  <c r="B72" i="6"/>
  <c r="C72" i="6"/>
  <c r="E72" i="6"/>
  <c r="F72" i="6"/>
  <c r="G72" i="6"/>
  <c r="A73" i="6"/>
  <c r="B73" i="6"/>
  <c r="C73" i="6"/>
  <c r="E73" i="6"/>
  <c r="F73" i="6"/>
  <c r="G73" i="6"/>
  <c r="A74" i="6"/>
  <c r="B74" i="6"/>
  <c r="C74" i="6"/>
  <c r="E74" i="6"/>
  <c r="F74" i="6"/>
  <c r="G74" i="6"/>
  <c r="A75" i="6"/>
  <c r="B75" i="6"/>
  <c r="C75" i="6"/>
  <c r="E75" i="6"/>
  <c r="F75" i="6"/>
  <c r="G75" i="6"/>
  <c r="A76" i="6"/>
  <c r="B76" i="6"/>
  <c r="C76" i="6"/>
  <c r="E76" i="6"/>
  <c r="F76" i="6"/>
  <c r="G76" i="6"/>
  <c r="A77" i="6"/>
  <c r="B77" i="6"/>
  <c r="C77" i="6"/>
  <c r="E77" i="6"/>
  <c r="F77" i="6"/>
  <c r="G77" i="6"/>
  <c r="A78" i="6"/>
  <c r="B78" i="6"/>
  <c r="C78" i="6"/>
  <c r="E78" i="6"/>
  <c r="F78" i="6"/>
  <c r="G78" i="6"/>
  <c r="B79" i="6"/>
  <c r="C79" i="6"/>
  <c r="E79" i="6"/>
  <c r="F79" i="6"/>
  <c r="G79" i="6"/>
  <c r="D80" i="6"/>
  <c r="A81" i="6"/>
  <c r="B81" i="6"/>
  <c r="C81" i="6"/>
  <c r="E81" i="6"/>
  <c r="F81" i="6"/>
  <c r="G81" i="6"/>
  <c r="A82" i="6"/>
  <c r="B82" i="6"/>
  <c r="C82" i="6"/>
  <c r="E82" i="6"/>
  <c r="F82" i="6"/>
  <c r="G82" i="6"/>
  <c r="A83" i="6"/>
  <c r="B83" i="6"/>
  <c r="C83" i="6"/>
  <c r="E83" i="6"/>
  <c r="F83" i="6"/>
  <c r="G83" i="6"/>
  <c r="A84" i="6"/>
  <c r="B84" i="6"/>
  <c r="C84" i="6"/>
  <c r="E84" i="6"/>
  <c r="F84" i="6"/>
  <c r="G84" i="6"/>
  <c r="A85" i="6"/>
  <c r="B85" i="6"/>
  <c r="C85" i="6"/>
  <c r="E85" i="6"/>
  <c r="F85" i="6"/>
  <c r="G85" i="6"/>
  <c r="A86" i="6"/>
  <c r="B86" i="6"/>
  <c r="C86" i="6"/>
  <c r="E86" i="6"/>
  <c r="F86" i="6"/>
  <c r="G86" i="6"/>
  <c r="A87" i="6"/>
  <c r="B87" i="6"/>
  <c r="C87" i="6"/>
  <c r="E87" i="6"/>
  <c r="F87" i="6"/>
  <c r="G87" i="6"/>
  <c r="A88" i="6"/>
  <c r="B88" i="6"/>
  <c r="C88" i="6"/>
  <c r="E88" i="6"/>
  <c r="F88" i="6"/>
  <c r="G88" i="6"/>
  <c r="A89" i="6"/>
  <c r="B89" i="6"/>
  <c r="C89" i="6"/>
  <c r="E89" i="6"/>
  <c r="F89" i="6"/>
  <c r="G89" i="6"/>
  <c r="A90" i="6"/>
  <c r="B90" i="6"/>
  <c r="C90" i="6"/>
  <c r="E90" i="6"/>
  <c r="F90" i="6"/>
  <c r="G90" i="6"/>
  <c r="B91" i="6"/>
  <c r="C91" i="6"/>
  <c r="E91" i="6"/>
  <c r="F91" i="6"/>
  <c r="G91" i="6"/>
  <c r="D92" i="6"/>
  <c r="A93" i="6"/>
  <c r="B93" i="6"/>
  <c r="C93" i="6"/>
  <c r="E93" i="6"/>
  <c r="F93" i="6"/>
  <c r="G93" i="6"/>
  <c r="A94" i="6"/>
  <c r="B94" i="6"/>
  <c r="C94" i="6"/>
  <c r="E94" i="6"/>
  <c r="F94" i="6"/>
  <c r="G94" i="6"/>
  <c r="A95" i="6"/>
  <c r="B95" i="6"/>
  <c r="C95" i="6"/>
  <c r="E95" i="6"/>
  <c r="F95" i="6"/>
  <c r="G95" i="6"/>
  <c r="A96" i="6"/>
  <c r="B96" i="6"/>
  <c r="C96" i="6"/>
  <c r="E96" i="6"/>
  <c r="F96" i="6"/>
  <c r="G96" i="6"/>
  <c r="A97" i="6"/>
  <c r="B97" i="6"/>
  <c r="C97" i="6"/>
  <c r="E97" i="6"/>
  <c r="F97" i="6"/>
  <c r="G97" i="6"/>
  <c r="A98" i="6"/>
  <c r="B98" i="6"/>
  <c r="C98" i="6"/>
  <c r="E98" i="6"/>
  <c r="F98" i="6"/>
  <c r="G98" i="6"/>
  <c r="A99" i="6"/>
  <c r="B99" i="6"/>
  <c r="C99" i="6"/>
  <c r="E99" i="6"/>
  <c r="F99" i="6"/>
  <c r="G99" i="6"/>
  <c r="A100" i="6"/>
  <c r="B100" i="6"/>
  <c r="C100" i="6"/>
  <c r="E100" i="6"/>
  <c r="F100" i="6"/>
  <c r="G100" i="6"/>
  <c r="A101" i="6"/>
  <c r="B101" i="6"/>
  <c r="C101" i="6"/>
  <c r="E101" i="6"/>
  <c r="F101" i="6"/>
  <c r="G101" i="6"/>
  <c r="A102" i="6"/>
  <c r="B102" i="6"/>
  <c r="C102" i="6"/>
  <c r="E102" i="6"/>
  <c r="F102" i="6"/>
  <c r="G102" i="6"/>
  <c r="D104" i="6"/>
  <c r="A105" i="6"/>
  <c r="B105" i="6"/>
  <c r="C105" i="6"/>
  <c r="E105" i="6"/>
  <c r="F105" i="6"/>
  <c r="G105" i="6"/>
  <c r="A106" i="6"/>
  <c r="B106" i="6"/>
  <c r="C106" i="6"/>
  <c r="E106" i="6"/>
  <c r="F106" i="6"/>
  <c r="G106" i="6"/>
  <c r="A107" i="6"/>
  <c r="B107" i="6"/>
  <c r="C107" i="6"/>
  <c r="E107" i="6"/>
  <c r="F107" i="6"/>
  <c r="G107" i="6"/>
  <c r="A108" i="6"/>
  <c r="B108" i="6"/>
  <c r="C108" i="6"/>
  <c r="E108" i="6"/>
  <c r="F108" i="6"/>
  <c r="G108" i="6"/>
  <c r="A109" i="6"/>
  <c r="B109" i="6"/>
  <c r="C109" i="6"/>
  <c r="E109" i="6"/>
  <c r="F109" i="6"/>
  <c r="G109" i="6"/>
  <c r="A110" i="6"/>
  <c r="B110" i="6"/>
  <c r="C110" i="6"/>
  <c r="E110" i="6"/>
  <c r="F110" i="6"/>
  <c r="G110" i="6"/>
  <c r="A111" i="6"/>
  <c r="B111" i="6"/>
  <c r="C111" i="6"/>
  <c r="E111" i="6"/>
  <c r="F111" i="6"/>
  <c r="G111" i="6"/>
  <c r="A112" i="6"/>
  <c r="B112" i="6"/>
  <c r="C112" i="6"/>
  <c r="E112" i="6"/>
  <c r="F112" i="6"/>
  <c r="G112" i="6"/>
  <c r="A113" i="6"/>
  <c r="B113" i="6"/>
  <c r="C113" i="6"/>
  <c r="E113" i="6"/>
  <c r="F113" i="6"/>
  <c r="G113" i="6"/>
  <c r="A114" i="6"/>
  <c r="B114" i="6"/>
  <c r="C114" i="6"/>
  <c r="E114" i="6"/>
  <c r="F114" i="6"/>
  <c r="G114" i="6"/>
  <c r="D116" i="6"/>
  <c r="A117" i="6"/>
  <c r="B117" i="6"/>
  <c r="C117" i="6"/>
  <c r="E117" i="6"/>
  <c r="F117" i="6"/>
  <c r="G117" i="6"/>
  <c r="A118" i="6"/>
  <c r="B118" i="6"/>
  <c r="C118" i="6"/>
  <c r="E118" i="6"/>
  <c r="F118" i="6"/>
  <c r="G118" i="6"/>
  <c r="A119" i="6"/>
  <c r="B119" i="6"/>
  <c r="C119" i="6"/>
  <c r="E119" i="6"/>
  <c r="F119" i="6"/>
  <c r="G119" i="6"/>
  <c r="A120" i="6"/>
  <c r="B120" i="6"/>
  <c r="C120" i="6"/>
  <c r="E120" i="6"/>
  <c r="F120" i="6"/>
  <c r="G120" i="6"/>
  <c r="A121" i="6"/>
  <c r="B121" i="6"/>
  <c r="C121" i="6"/>
  <c r="E121" i="6"/>
  <c r="F121" i="6"/>
  <c r="G121" i="6"/>
  <c r="A122" i="6"/>
  <c r="B122" i="6"/>
  <c r="C122" i="6"/>
  <c r="E122" i="6"/>
  <c r="F122" i="6"/>
  <c r="G122" i="6"/>
  <c r="A123" i="6"/>
  <c r="B123" i="6"/>
  <c r="C123" i="6"/>
  <c r="E123" i="6"/>
  <c r="F123" i="6"/>
  <c r="G123" i="6"/>
  <c r="A124" i="6"/>
  <c r="B124" i="6"/>
  <c r="C124" i="6"/>
  <c r="E124" i="6"/>
  <c r="F124" i="6"/>
  <c r="G124" i="6"/>
  <c r="A125" i="6"/>
  <c r="B125" i="6"/>
  <c r="C125" i="6"/>
  <c r="E125" i="6"/>
  <c r="F125" i="6"/>
  <c r="G125" i="6"/>
  <c r="A126" i="6"/>
  <c r="B126" i="6"/>
  <c r="C126" i="6"/>
  <c r="E126" i="6"/>
  <c r="F126" i="6"/>
  <c r="G126" i="6"/>
  <c r="A127" i="6"/>
  <c r="B127" i="6"/>
  <c r="C127" i="6"/>
  <c r="E127" i="6"/>
  <c r="F127" i="6"/>
  <c r="G127" i="6"/>
  <c r="A128" i="6"/>
  <c r="B128" i="6"/>
  <c r="C128" i="6"/>
  <c r="E128" i="6"/>
  <c r="F128" i="6"/>
  <c r="G128" i="6"/>
  <c r="A129" i="6"/>
  <c r="B129" i="6"/>
  <c r="C129" i="6"/>
  <c r="E129" i="6"/>
  <c r="F129" i="6"/>
  <c r="G129" i="6"/>
  <c r="A130" i="6"/>
  <c r="B130" i="6"/>
  <c r="C130" i="6"/>
  <c r="E130" i="6"/>
  <c r="F130" i="6"/>
  <c r="G130" i="6"/>
  <c r="A131" i="6"/>
  <c r="B131" i="6"/>
  <c r="C131" i="6"/>
  <c r="E131" i="6"/>
  <c r="F131" i="6"/>
  <c r="G131" i="6"/>
  <c r="A132" i="6"/>
  <c r="B132" i="6"/>
  <c r="C132" i="6"/>
  <c r="E132" i="6"/>
  <c r="F132" i="6"/>
  <c r="G132" i="6"/>
  <c r="A133" i="6"/>
  <c r="B133" i="6"/>
  <c r="C133" i="6"/>
  <c r="E133" i="6"/>
  <c r="F133" i="6"/>
  <c r="G133" i="6"/>
  <c r="A134" i="6"/>
  <c r="B134" i="6"/>
  <c r="C134" i="6"/>
  <c r="E134" i="6"/>
  <c r="F134" i="6"/>
  <c r="G134" i="6"/>
  <c r="A135" i="6"/>
  <c r="B135" i="6"/>
  <c r="C135" i="6"/>
  <c r="E135" i="6"/>
  <c r="F135" i="6"/>
  <c r="G135" i="6"/>
  <c r="A136" i="6"/>
  <c r="B136" i="6"/>
  <c r="C136" i="6"/>
  <c r="E136" i="6"/>
  <c r="F136" i="6"/>
  <c r="G136" i="6"/>
  <c r="A137" i="6"/>
  <c r="B137" i="6"/>
  <c r="C137" i="6"/>
  <c r="E137" i="6"/>
  <c r="F137" i="6"/>
  <c r="G137" i="6"/>
  <c r="A138" i="6"/>
  <c r="B138" i="6"/>
  <c r="C138" i="6"/>
  <c r="E138" i="6"/>
  <c r="F138" i="6"/>
  <c r="G138" i="6"/>
  <c r="A139" i="6"/>
  <c r="B139" i="6"/>
  <c r="C139" i="6"/>
  <c r="E139" i="6"/>
  <c r="F139" i="6"/>
  <c r="G139" i="6"/>
  <c r="A140" i="6"/>
  <c r="B140" i="6"/>
  <c r="C140" i="6"/>
  <c r="E140" i="6"/>
  <c r="F140" i="6"/>
  <c r="G140" i="6"/>
  <c r="A141" i="6"/>
  <c r="B141" i="6"/>
  <c r="C141" i="6"/>
  <c r="E141" i="6"/>
  <c r="F141" i="6"/>
  <c r="G141" i="6"/>
  <c r="A142" i="6"/>
  <c r="B142" i="6"/>
  <c r="C142" i="6"/>
  <c r="E142" i="6"/>
  <c r="F142" i="6"/>
  <c r="G142" i="6"/>
  <c r="A143" i="6"/>
  <c r="B143" i="6"/>
  <c r="C143" i="6"/>
  <c r="E143" i="6"/>
  <c r="F143" i="6"/>
  <c r="G143" i="6"/>
  <c r="A144" i="6"/>
  <c r="B144" i="6"/>
  <c r="C144" i="6"/>
  <c r="E144" i="6"/>
  <c r="F144" i="6"/>
  <c r="G144" i="6"/>
  <c r="A145" i="6"/>
  <c r="B145" i="6"/>
  <c r="C145" i="6"/>
  <c r="E145" i="6"/>
  <c r="F145" i="6"/>
  <c r="G145" i="6"/>
  <c r="A146" i="6"/>
  <c r="B146" i="6"/>
  <c r="C146" i="6"/>
  <c r="E146" i="6"/>
  <c r="F146" i="6"/>
  <c r="G146" i="6"/>
  <c r="A147" i="6"/>
  <c r="B147" i="6"/>
  <c r="C147" i="6"/>
  <c r="E147" i="6"/>
  <c r="F147" i="6"/>
  <c r="G147" i="6"/>
  <c r="A148" i="6"/>
  <c r="B148" i="6"/>
  <c r="C148" i="6"/>
  <c r="E148" i="6"/>
  <c r="F148" i="6"/>
  <c r="G148" i="6"/>
  <c r="A149" i="6"/>
  <c r="B149" i="6"/>
  <c r="C149" i="6"/>
  <c r="E149" i="6"/>
  <c r="F149" i="6"/>
  <c r="G149" i="6"/>
  <c r="A344" i="8"/>
  <c r="B344" i="8"/>
  <c r="C344" i="8"/>
  <c r="D344" i="8"/>
  <c r="E344" i="8"/>
  <c r="F344" i="8"/>
  <c r="G344" i="8"/>
  <c r="A345" i="8"/>
  <c r="B345" i="8"/>
  <c r="C345" i="8"/>
  <c r="D345" i="8" s="1"/>
  <c r="E345" i="8"/>
  <c r="F345" i="8"/>
  <c r="G345" i="8"/>
  <c r="A346" i="8"/>
  <c r="B346" i="8"/>
  <c r="C346" i="8"/>
  <c r="D346" i="8"/>
  <c r="E346" i="8"/>
  <c r="F346" i="8"/>
  <c r="G346" i="8"/>
  <c r="A347" i="8"/>
  <c r="B347" i="8"/>
  <c r="C347" i="8"/>
  <c r="D347" i="8" s="1"/>
  <c r="E347" i="8"/>
  <c r="F347" i="8"/>
  <c r="G347" i="8"/>
  <c r="A348" i="8"/>
  <c r="B348" i="8"/>
  <c r="C348" i="8"/>
  <c r="D348" i="8"/>
  <c r="E348" i="8"/>
  <c r="F348" i="8"/>
  <c r="G348" i="8"/>
  <c r="A349" i="8"/>
  <c r="B349" i="8"/>
  <c r="C349" i="8"/>
  <c r="D349" i="8" s="1"/>
  <c r="E349" i="8"/>
  <c r="F349" i="8"/>
  <c r="G349" i="8"/>
  <c r="A350" i="8"/>
  <c r="B350" i="8"/>
  <c r="C350" i="8"/>
  <c r="D350" i="8"/>
  <c r="E350" i="8"/>
  <c r="F350" i="8"/>
  <c r="G350" i="8"/>
  <c r="A351" i="8"/>
  <c r="B351" i="8"/>
  <c r="C351" i="8"/>
  <c r="D351" i="8" s="1"/>
  <c r="E351" i="8"/>
  <c r="F351" i="8"/>
  <c r="G351" i="8"/>
  <c r="A352" i="8"/>
  <c r="B352" i="8"/>
  <c r="C352" i="8"/>
  <c r="D352" i="8"/>
  <c r="E352" i="8"/>
  <c r="F352" i="8"/>
  <c r="G352" i="8"/>
  <c r="A353" i="8"/>
  <c r="B353" i="8"/>
  <c r="C353" i="8"/>
  <c r="D353" i="8" s="1"/>
  <c r="E353" i="8"/>
  <c r="F353" i="8"/>
  <c r="G353" i="8"/>
  <c r="A354" i="8"/>
  <c r="B354" i="8"/>
  <c r="C354" i="8"/>
  <c r="D354" i="8"/>
  <c r="E354" i="8"/>
  <c r="F354" i="8"/>
  <c r="G354" i="8"/>
  <c r="A355" i="8"/>
  <c r="B355" i="8"/>
  <c r="C355" i="8"/>
  <c r="D355" i="8" s="1"/>
  <c r="E355" i="8"/>
  <c r="F355" i="8"/>
  <c r="G355" i="8"/>
  <c r="A356" i="8"/>
  <c r="B356" i="8"/>
  <c r="C356" i="8"/>
  <c r="D356" i="8"/>
  <c r="E356" i="8"/>
  <c r="F356" i="8"/>
  <c r="G356" i="8"/>
  <c r="A357" i="8"/>
  <c r="B357" i="8"/>
  <c r="C357" i="8"/>
  <c r="D357" i="8" s="1"/>
  <c r="E357" i="8"/>
  <c r="F357" i="8"/>
  <c r="G357" i="8"/>
  <c r="A358" i="8"/>
  <c r="B358" i="8"/>
  <c r="C358" i="8"/>
  <c r="D358" i="8"/>
  <c r="E358" i="8"/>
  <c r="F358" i="8"/>
  <c r="G358" i="8"/>
  <c r="A359" i="8"/>
  <c r="B359" i="8"/>
  <c r="C359" i="8"/>
  <c r="D359" i="8" s="1"/>
  <c r="E359" i="8"/>
  <c r="F359" i="8"/>
  <c r="G359" i="8"/>
  <c r="A360" i="8"/>
  <c r="B360" i="8"/>
  <c r="C360" i="8"/>
  <c r="D360" i="8"/>
  <c r="E360" i="8"/>
  <c r="F360" i="8"/>
  <c r="G360" i="8"/>
  <c r="A361" i="8"/>
  <c r="B361" i="8"/>
  <c r="C361" i="8"/>
  <c r="D361" i="8" s="1"/>
  <c r="E361" i="8"/>
  <c r="F361" i="8"/>
  <c r="G361" i="8"/>
  <c r="A362" i="8"/>
  <c r="B362" i="8"/>
  <c r="C362" i="8"/>
  <c r="D362" i="8"/>
  <c r="E362" i="8"/>
  <c r="F362" i="8"/>
  <c r="G362" i="8"/>
  <c r="A363" i="8"/>
  <c r="B363" i="8"/>
  <c r="C363" i="8"/>
  <c r="D363" i="8" s="1"/>
  <c r="E363" i="8"/>
  <c r="F363" i="8"/>
  <c r="G363" i="8"/>
  <c r="A364" i="8"/>
  <c r="B364" i="8"/>
  <c r="C364" i="8"/>
  <c r="D364" i="8"/>
  <c r="E364" i="8"/>
  <c r="F364" i="8"/>
  <c r="G364" i="8"/>
  <c r="A365" i="8"/>
  <c r="B365" i="8"/>
  <c r="C365" i="8"/>
  <c r="D365" i="8" s="1"/>
  <c r="E365" i="8"/>
  <c r="F365" i="8"/>
  <c r="G365" i="8"/>
  <c r="A335" i="8"/>
  <c r="B335" i="8"/>
  <c r="C335" i="8"/>
  <c r="D335" i="8"/>
  <c r="E335" i="8"/>
  <c r="F335" i="8"/>
  <c r="G335" i="8"/>
  <c r="A336" i="8"/>
  <c r="B336" i="8"/>
  <c r="C336" i="8"/>
  <c r="D336" i="8" s="1"/>
  <c r="E336" i="8"/>
  <c r="F336" i="8"/>
  <c r="G336" i="8"/>
  <c r="A337" i="8"/>
  <c r="B337" i="8"/>
  <c r="C337" i="8"/>
  <c r="D337" i="8"/>
  <c r="E337" i="8"/>
  <c r="F337" i="8"/>
  <c r="G337" i="8"/>
  <c r="A338" i="8"/>
  <c r="B338" i="8"/>
  <c r="C338" i="8"/>
  <c r="D338" i="8" s="1"/>
  <c r="E338" i="8"/>
  <c r="F338" i="8"/>
  <c r="G338" i="8"/>
  <c r="A339" i="8"/>
  <c r="B339" i="8"/>
  <c r="C339" i="8"/>
  <c r="D339" i="8"/>
  <c r="E339" i="8"/>
  <c r="F339" i="8"/>
  <c r="G339" i="8"/>
  <c r="A340" i="8"/>
  <c r="B340" i="8"/>
  <c r="C340" i="8"/>
  <c r="D340" i="8" s="1"/>
  <c r="E340" i="8"/>
  <c r="F340" i="8"/>
  <c r="G340" i="8"/>
  <c r="A341" i="8"/>
  <c r="B341" i="8"/>
  <c r="C341" i="8"/>
  <c r="D341" i="8"/>
  <c r="E341" i="8"/>
  <c r="F341" i="8"/>
  <c r="G341" i="8"/>
  <c r="A342" i="8"/>
  <c r="B342" i="8"/>
  <c r="C342" i="8"/>
  <c r="D342" i="8" s="1"/>
  <c r="E342" i="8"/>
  <c r="F342" i="8"/>
  <c r="G342" i="8"/>
  <c r="A343" i="8"/>
  <c r="B343" i="8"/>
  <c r="C343" i="8"/>
  <c r="D343" i="8"/>
  <c r="E343" i="8"/>
  <c r="F343" i="8"/>
  <c r="G343" i="8"/>
  <c r="E141" i="8"/>
  <c r="F141" i="8"/>
  <c r="G141" i="8"/>
  <c r="E142" i="8"/>
  <c r="F142" i="8"/>
  <c r="G142" i="8"/>
  <c r="E143" i="8"/>
  <c r="F143" i="8"/>
  <c r="G143" i="8"/>
  <c r="E119" i="8"/>
  <c r="F119" i="8"/>
  <c r="G119" i="8"/>
  <c r="E120" i="8"/>
  <c r="F120" i="8"/>
  <c r="G120" i="8"/>
  <c r="E121" i="8"/>
  <c r="F121" i="8"/>
  <c r="G121" i="8"/>
  <c r="E122" i="8"/>
  <c r="F122" i="8"/>
  <c r="G122" i="8"/>
  <c r="E123" i="8"/>
  <c r="F123" i="8"/>
  <c r="G123" i="8"/>
  <c r="E124" i="8"/>
  <c r="F124" i="8"/>
  <c r="G124" i="8"/>
  <c r="E125" i="8"/>
  <c r="F125" i="8"/>
  <c r="G125" i="8"/>
  <c r="E126" i="8"/>
  <c r="F126" i="8"/>
  <c r="G126" i="8"/>
  <c r="E127" i="8"/>
  <c r="F127" i="8"/>
  <c r="G127" i="8"/>
  <c r="E128" i="8"/>
  <c r="F128" i="8"/>
  <c r="G128" i="8"/>
  <c r="E129" i="8"/>
  <c r="F129" i="8"/>
  <c r="G129" i="8"/>
  <c r="E130" i="8"/>
  <c r="F130" i="8"/>
  <c r="G130" i="8"/>
  <c r="E131" i="8"/>
  <c r="F131" i="8"/>
  <c r="G131" i="8"/>
  <c r="E132" i="8"/>
  <c r="F132" i="8"/>
  <c r="G132" i="8"/>
  <c r="E133" i="8"/>
  <c r="F133" i="8"/>
  <c r="G133" i="8"/>
  <c r="E134" i="8"/>
  <c r="F134" i="8"/>
  <c r="G134" i="8"/>
  <c r="E135" i="8"/>
  <c r="F135" i="8"/>
  <c r="G135" i="8"/>
  <c r="E136" i="8"/>
  <c r="F136" i="8"/>
  <c r="G136" i="8"/>
  <c r="E137" i="8"/>
  <c r="F137" i="8"/>
  <c r="G137" i="8"/>
  <c r="E138" i="8"/>
  <c r="F138" i="8"/>
  <c r="G138" i="8"/>
  <c r="E139" i="8"/>
  <c r="F139" i="8"/>
  <c r="G139" i="8"/>
  <c r="E140" i="8"/>
  <c r="F140" i="8"/>
  <c r="G140" i="8"/>
  <c r="F118" i="8"/>
  <c r="G118" i="8"/>
  <c r="E118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E107" i="8"/>
  <c r="E108" i="8"/>
  <c r="E109" i="8"/>
  <c r="E110" i="8"/>
  <c r="E111" i="8"/>
  <c r="E112" i="8"/>
  <c r="E113" i="8"/>
  <c r="E114" i="8"/>
  <c r="E115" i="8"/>
  <c r="E106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E95" i="8"/>
  <c r="E96" i="8"/>
  <c r="E97" i="8"/>
  <c r="E98" i="8"/>
  <c r="E99" i="8"/>
  <c r="E100" i="8"/>
  <c r="E101" i="8"/>
  <c r="E102" i="8"/>
  <c r="E103" i="8"/>
  <c r="E94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E83" i="8"/>
  <c r="E84" i="8"/>
  <c r="E85" i="8"/>
  <c r="E86" i="8"/>
  <c r="E87" i="8"/>
  <c r="E88" i="8"/>
  <c r="E89" i="8"/>
  <c r="E90" i="8"/>
  <c r="E91" i="8"/>
  <c r="E92" i="8"/>
  <c r="E82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E71" i="8"/>
  <c r="E72" i="8"/>
  <c r="E73" i="8"/>
  <c r="E74" i="8"/>
  <c r="E75" i="8"/>
  <c r="E76" i="8"/>
  <c r="E77" i="8"/>
  <c r="E78" i="8"/>
  <c r="E79" i="8"/>
  <c r="E80" i="8"/>
  <c r="E70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E59" i="8"/>
  <c r="E60" i="8"/>
  <c r="E61" i="8"/>
  <c r="E62" i="8"/>
  <c r="E63" i="8"/>
  <c r="E64" i="8"/>
  <c r="E65" i="8"/>
  <c r="E66" i="8"/>
  <c r="E67" i="8"/>
  <c r="E68" i="8"/>
  <c r="E58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E47" i="8"/>
  <c r="E48" i="8"/>
  <c r="E49" i="8"/>
  <c r="E50" i="8"/>
  <c r="E51" i="8"/>
  <c r="E52" i="8"/>
  <c r="E53" i="8"/>
  <c r="E54" i="8"/>
  <c r="E55" i="8"/>
  <c r="E46" i="8"/>
  <c r="E35" i="8"/>
  <c r="F35" i="8"/>
  <c r="G35" i="8"/>
  <c r="E36" i="8"/>
  <c r="F36" i="8"/>
  <c r="G36" i="8"/>
  <c r="E37" i="8"/>
  <c r="F37" i="8"/>
  <c r="G37" i="8"/>
  <c r="E38" i="8"/>
  <c r="F38" i="8"/>
  <c r="G38" i="8"/>
  <c r="E39" i="8"/>
  <c r="F39" i="8"/>
  <c r="G39" i="8"/>
  <c r="E40" i="8"/>
  <c r="F40" i="8"/>
  <c r="G40" i="8"/>
  <c r="E41" i="8"/>
  <c r="F41" i="8"/>
  <c r="G41" i="8"/>
  <c r="E42" i="8"/>
  <c r="F42" i="8"/>
  <c r="G42" i="8"/>
  <c r="E43" i="8"/>
  <c r="F43" i="8"/>
  <c r="G43" i="8"/>
  <c r="F34" i="8"/>
  <c r="G34" i="8"/>
  <c r="E34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F22" i="8"/>
  <c r="G22" i="8"/>
  <c r="E22" i="8"/>
  <c r="E11" i="8"/>
  <c r="F11" i="8"/>
  <c r="G11" i="8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E19" i="8"/>
  <c r="F19" i="8"/>
  <c r="G19" i="8"/>
  <c r="F10" i="8"/>
  <c r="G10" i="8"/>
  <c r="E10" i="8"/>
  <c r="A133" i="8"/>
  <c r="B133" i="8"/>
  <c r="C133" i="8"/>
  <c r="D133" i="8" s="1"/>
  <c r="A134" i="8"/>
  <c r="B134" i="8"/>
  <c r="C134" i="8"/>
  <c r="D134" i="8" s="1"/>
  <c r="A135" i="8"/>
  <c r="B135" i="8"/>
  <c r="C135" i="8"/>
  <c r="D135" i="8" s="1"/>
  <c r="A136" i="8"/>
  <c r="B136" i="8"/>
  <c r="C136" i="8"/>
  <c r="D136" i="8" s="1"/>
  <c r="A137" i="8"/>
  <c r="B137" i="8"/>
  <c r="C137" i="8"/>
  <c r="D137" i="8" s="1"/>
  <c r="A138" i="8"/>
  <c r="B138" i="8"/>
  <c r="C138" i="8"/>
  <c r="D138" i="8" s="1"/>
  <c r="A139" i="8"/>
  <c r="B139" i="8"/>
  <c r="C139" i="8"/>
  <c r="D139" i="8" s="1"/>
  <c r="A140" i="8"/>
  <c r="B140" i="8"/>
  <c r="C140" i="8"/>
  <c r="D140" i="8" s="1"/>
  <c r="A141" i="8"/>
  <c r="B141" i="8"/>
  <c r="C141" i="8"/>
  <c r="D141" i="8" s="1"/>
  <c r="A142" i="8"/>
  <c r="B142" i="8"/>
  <c r="C142" i="8"/>
  <c r="D142" i="8" s="1"/>
  <c r="A143" i="8"/>
  <c r="B143" i="8"/>
  <c r="C143" i="8"/>
  <c r="D143" i="8" s="1"/>
  <c r="A29" i="8"/>
  <c r="B29" i="8"/>
  <c r="C29" i="8"/>
  <c r="D29" i="8" s="1"/>
  <c r="A30" i="8"/>
  <c r="B30" i="8"/>
  <c r="C30" i="8"/>
  <c r="D30" i="8" s="1"/>
  <c r="A31" i="8"/>
  <c r="B31" i="8"/>
  <c r="C31" i="8"/>
  <c r="D31" i="8" s="1"/>
  <c r="D33" i="8"/>
  <c r="A34" i="8"/>
  <c r="B34" i="8"/>
  <c r="C34" i="8"/>
  <c r="D34" i="8" s="1"/>
  <c r="A35" i="8"/>
  <c r="B35" i="8"/>
  <c r="C35" i="8"/>
  <c r="D35" i="8" s="1"/>
  <c r="A36" i="8"/>
  <c r="B36" i="8"/>
  <c r="C36" i="8"/>
  <c r="D36" i="8" s="1"/>
  <c r="A37" i="8"/>
  <c r="B37" i="8"/>
  <c r="C37" i="8"/>
  <c r="D37" i="8" s="1"/>
  <c r="A38" i="8"/>
  <c r="B38" i="8"/>
  <c r="C38" i="8"/>
  <c r="D38" i="8" s="1"/>
  <c r="A39" i="8"/>
  <c r="B39" i="8"/>
  <c r="C39" i="8"/>
  <c r="D39" i="8" s="1"/>
  <c r="A40" i="8"/>
  <c r="B40" i="8"/>
  <c r="C40" i="8"/>
  <c r="D40" i="8" s="1"/>
  <c r="A41" i="8"/>
  <c r="B41" i="8"/>
  <c r="C41" i="8"/>
  <c r="D41" i="8" s="1"/>
  <c r="A42" i="8"/>
  <c r="B42" i="8"/>
  <c r="C42" i="8"/>
  <c r="D42" i="8" s="1"/>
  <c r="A43" i="8"/>
  <c r="B43" i="8"/>
  <c r="C43" i="8"/>
  <c r="D43" i="8" s="1"/>
  <c r="D45" i="8"/>
  <c r="A46" i="8"/>
  <c r="B46" i="8"/>
  <c r="C46" i="8"/>
  <c r="D46" i="8" s="1"/>
  <c r="A47" i="8"/>
  <c r="B47" i="8"/>
  <c r="C47" i="8"/>
  <c r="D47" i="8" s="1"/>
  <c r="A48" i="8"/>
  <c r="B48" i="8"/>
  <c r="C48" i="8"/>
  <c r="D48" i="8" s="1"/>
  <c r="A49" i="8"/>
  <c r="B49" i="8"/>
  <c r="C49" i="8"/>
  <c r="D49" i="8" s="1"/>
  <c r="A50" i="8"/>
  <c r="B50" i="8"/>
  <c r="C50" i="8"/>
  <c r="D50" i="8" s="1"/>
  <c r="A51" i="8"/>
  <c r="B51" i="8"/>
  <c r="C51" i="8"/>
  <c r="D51" i="8" s="1"/>
  <c r="A52" i="8"/>
  <c r="B52" i="8"/>
  <c r="C52" i="8"/>
  <c r="D52" i="8" s="1"/>
  <c r="A53" i="8"/>
  <c r="B53" i="8"/>
  <c r="C53" i="8"/>
  <c r="D53" i="8" s="1"/>
  <c r="A54" i="8"/>
  <c r="B54" i="8"/>
  <c r="C54" i="8"/>
  <c r="D54" i="8" s="1"/>
  <c r="A55" i="8"/>
  <c r="B55" i="8"/>
  <c r="C55" i="8"/>
  <c r="D55" i="8" s="1"/>
  <c r="D57" i="8"/>
  <c r="A58" i="8"/>
  <c r="B58" i="8"/>
  <c r="C58" i="8"/>
  <c r="D58" i="8" s="1"/>
  <c r="A59" i="8"/>
  <c r="B59" i="8"/>
  <c r="C59" i="8"/>
  <c r="D59" i="8" s="1"/>
  <c r="A60" i="8"/>
  <c r="B60" i="8"/>
  <c r="C60" i="8"/>
  <c r="D60" i="8" s="1"/>
  <c r="A61" i="8"/>
  <c r="B61" i="8"/>
  <c r="C61" i="8"/>
  <c r="D61" i="8" s="1"/>
  <c r="A62" i="8"/>
  <c r="B62" i="8"/>
  <c r="C62" i="8"/>
  <c r="D62" i="8" s="1"/>
  <c r="A63" i="8"/>
  <c r="B63" i="8"/>
  <c r="C63" i="8"/>
  <c r="D63" i="8" s="1"/>
  <c r="A64" i="8"/>
  <c r="B64" i="8"/>
  <c r="C64" i="8"/>
  <c r="D64" i="8" s="1"/>
  <c r="A65" i="8"/>
  <c r="B65" i="8"/>
  <c r="C65" i="8"/>
  <c r="D65" i="8" s="1"/>
  <c r="A66" i="8"/>
  <c r="B66" i="8"/>
  <c r="C66" i="8"/>
  <c r="D66" i="8" s="1"/>
  <c r="A67" i="8"/>
  <c r="B67" i="8"/>
  <c r="C67" i="8"/>
  <c r="D67" i="8" s="1"/>
  <c r="B68" i="8"/>
  <c r="C68" i="8"/>
  <c r="D68" i="8" s="1"/>
  <c r="D69" i="8"/>
  <c r="A70" i="8"/>
  <c r="B70" i="8"/>
  <c r="C70" i="8"/>
  <c r="D70" i="8" s="1"/>
  <c r="A71" i="8"/>
  <c r="B71" i="8"/>
  <c r="C71" i="8"/>
  <c r="D71" i="8" s="1"/>
  <c r="A72" i="8"/>
  <c r="B72" i="8"/>
  <c r="C72" i="8"/>
  <c r="D72" i="8" s="1"/>
  <c r="A73" i="8"/>
  <c r="B73" i="8"/>
  <c r="C73" i="8"/>
  <c r="D73" i="8" s="1"/>
  <c r="A74" i="8"/>
  <c r="B74" i="8"/>
  <c r="C74" i="8"/>
  <c r="D74" i="8" s="1"/>
  <c r="A75" i="8"/>
  <c r="B75" i="8"/>
  <c r="C75" i="8"/>
  <c r="D75" i="8" s="1"/>
  <c r="A76" i="8"/>
  <c r="B76" i="8"/>
  <c r="C76" i="8"/>
  <c r="D76" i="8" s="1"/>
  <c r="A77" i="8"/>
  <c r="B77" i="8"/>
  <c r="C77" i="8"/>
  <c r="D77" i="8" s="1"/>
  <c r="A78" i="8"/>
  <c r="B78" i="8"/>
  <c r="C78" i="8"/>
  <c r="D78" i="8" s="1"/>
  <c r="A79" i="8"/>
  <c r="B79" i="8"/>
  <c r="C79" i="8"/>
  <c r="D79" i="8" s="1"/>
  <c r="B80" i="8"/>
  <c r="C80" i="8"/>
  <c r="D80" i="8" s="1"/>
  <c r="D81" i="8"/>
  <c r="A82" i="8"/>
  <c r="B82" i="8"/>
  <c r="C82" i="8"/>
  <c r="D82" i="8" s="1"/>
  <c r="A83" i="8"/>
  <c r="B83" i="8"/>
  <c r="C83" i="8"/>
  <c r="D83" i="8" s="1"/>
  <c r="A84" i="8"/>
  <c r="B84" i="8"/>
  <c r="C84" i="8"/>
  <c r="D84" i="8" s="1"/>
  <c r="A85" i="8"/>
  <c r="B85" i="8"/>
  <c r="C85" i="8"/>
  <c r="D85" i="8" s="1"/>
  <c r="A86" i="8"/>
  <c r="B86" i="8"/>
  <c r="C86" i="8"/>
  <c r="D86" i="8" s="1"/>
  <c r="A87" i="8"/>
  <c r="B87" i="8"/>
  <c r="C87" i="8"/>
  <c r="D87" i="8" s="1"/>
  <c r="A88" i="8"/>
  <c r="B88" i="8"/>
  <c r="C88" i="8"/>
  <c r="D88" i="8" s="1"/>
  <c r="A89" i="8"/>
  <c r="B89" i="8"/>
  <c r="C89" i="8"/>
  <c r="D89" i="8" s="1"/>
  <c r="A90" i="8"/>
  <c r="B90" i="8"/>
  <c r="C90" i="8"/>
  <c r="D90" i="8" s="1"/>
  <c r="A91" i="8"/>
  <c r="B91" i="8"/>
  <c r="C91" i="8"/>
  <c r="D91" i="8" s="1"/>
  <c r="B92" i="8"/>
  <c r="C92" i="8"/>
  <c r="D92" i="8" s="1"/>
  <c r="D93" i="8"/>
  <c r="A94" i="8"/>
  <c r="B94" i="8"/>
  <c r="C94" i="8"/>
  <c r="D94" i="8" s="1"/>
  <c r="A95" i="8"/>
  <c r="B95" i="8"/>
  <c r="C95" i="8"/>
  <c r="D95" i="8" s="1"/>
  <c r="A96" i="8"/>
  <c r="B96" i="8"/>
  <c r="C96" i="8"/>
  <c r="D96" i="8" s="1"/>
  <c r="A97" i="8"/>
  <c r="B97" i="8"/>
  <c r="C97" i="8"/>
  <c r="D97" i="8" s="1"/>
  <c r="A98" i="8"/>
  <c r="B98" i="8"/>
  <c r="C98" i="8"/>
  <c r="D98" i="8" s="1"/>
  <c r="A99" i="8"/>
  <c r="B99" i="8"/>
  <c r="C99" i="8"/>
  <c r="D99" i="8" s="1"/>
  <c r="A100" i="8"/>
  <c r="B100" i="8"/>
  <c r="C100" i="8"/>
  <c r="D100" i="8" s="1"/>
  <c r="A101" i="8"/>
  <c r="B101" i="8"/>
  <c r="C101" i="8"/>
  <c r="D101" i="8" s="1"/>
  <c r="A102" i="8"/>
  <c r="B102" i="8"/>
  <c r="C102" i="8"/>
  <c r="D102" i="8" s="1"/>
  <c r="A103" i="8"/>
  <c r="B103" i="8"/>
  <c r="C103" i="8"/>
  <c r="D103" i="8" s="1"/>
  <c r="D105" i="8"/>
  <c r="A106" i="8"/>
  <c r="B106" i="8"/>
  <c r="C106" i="8"/>
  <c r="D106" i="8" s="1"/>
  <c r="A107" i="8"/>
  <c r="B107" i="8"/>
  <c r="C107" i="8"/>
  <c r="D107" i="8" s="1"/>
  <c r="A108" i="8"/>
  <c r="B108" i="8"/>
  <c r="C108" i="8"/>
  <c r="D108" i="8" s="1"/>
  <c r="A109" i="8"/>
  <c r="B109" i="8"/>
  <c r="C109" i="8"/>
  <c r="D109" i="8" s="1"/>
  <c r="A110" i="8"/>
  <c r="B110" i="8"/>
  <c r="C110" i="8"/>
  <c r="D110" i="8" s="1"/>
  <c r="A111" i="8"/>
  <c r="B111" i="8"/>
  <c r="C111" i="8"/>
  <c r="D111" i="8" s="1"/>
  <c r="A112" i="8"/>
  <c r="B112" i="8"/>
  <c r="C112" i="8"/>
  <c r="D112" i="8" s="1"/>
  <c r="A113" i="8"/>
  <c r="B113" i="8"/>
  <c r="C113" i="8"/>
  <c r="D113" i="8" s="1"/>
  <c r="A114" i="8"/>
  <c r="B114" i="8"/>
  <c r="C114" i="8"/>
  <c r="D114" i="8" s="1"/>
  <c r="A115" i="8"/>
  <c r="B115" i="8"/>
  <c r="C115" i="8"/>
  <c r="D115" i="8" s="1"/>
  <c r="D117" i="8"/>
  <c r="A118" i="8"/>
  <c r="B118" i="8"/>
  <c r="C118" i="8"/>
  <c r="D118" i="8" s="1"/>
  <c r="A119" i="8"/>
  <c r="B119" i="8"/>
  <c r="C119" i="8"/>
  <c r="D119" i="8" s="1"/>
  <c r="A120" i="8"/>
  <c r="B120" i="8"/>
  <c r="C120" i="8"/>
  <c r="D120" i="8" s="1"/>
  <c r="A121" i="8"/>
  <c r="B121" i="8"/>
  <c r="C121" i="8"/>
  <c r="D121" i="8" s="1"/>
  <c r="A122" i="8"/>
  <c r="B122" i="8"/>
  <c r="C122" i="8"/>
  <c r="D122" i="8" s="1"/>
  <c r="A123" i="8"/>
  <c r="B123" i="8"/>
  <c r="C123" i="8"/>
  <c r="D123" i="8" s="1"/>
  <c r="A124" i="8"/>
  <c r="B124" i="8"/>
  <c r="C124" i="8"/>
  <c r="D124" i="8" s="1"/>
  <c r="A125" i="8"/>
  <c r="B125" i="8"/>
  <c r="C125" i="8"/>
  <c r="D125" i="8" s="1"/>
  <c r="A126" i="8"/>
  <c r="B126" i="8"/>
  <c r="C126" i="8"/>
  <c r="D126" i="8" s="1"/>
  <c r="A127" i="8"/>
  <c r="B127" i="8"/>
  <c r="C127" i="8"/>
  <c r="D127" i="8" s="1"/>
  <c r="A128" i="8"/>
  <c r="B128" i="8"/>
  <c r="C128" i="8"/>
  <c r="D128" i="8" s="1"/>
  <c r="A129" i="8"/>
  <c r="B129" i="8"/>
  <c r="C129" i="8"/>
  <c r="D129" i="8" s="1"/>
  <c r="A130" i="8"/>
  <c r="B130" i="8"/>
  <c r="C130" i="8"/>
  <c r="D130" i="8" s="1"/>
  <c r="A131" i="8"/>
  <c r="B131" i="8"/>
  <c r="C131" i="8"/>
  <c r="D131" i="8" s="1"/>
  <c r="A132" i="8"/>
  <c r="B132" i="8"/>
  <c r="C132" i="8"/>
  <c r="D132" i="8" s="1"/>
  <c r="A10" i="8"/>
  <c r="B10" i="8"/>
  <c r="C10" i="8"/>
  <c r="D10" i="8" s="1"/>
  <c r="A11" i="8"/>
  <c r="B11" i="8"/>
  <c r="C11" i="8"/>
  <c r="D11" i="8" s="1"/>
  <c r="A12" i="8"/>
  <c r="B12" i="8"/>
  <c r="C12" i="8"/>
  <c r="D12" i="8" s="1"/>
  <c r="A13" i="8"/>
  <c r="B13" i="8"/>
  <c r="C13" i="8"/>
  <c r="D13" i="8" s="1"/>
  <c r="A14" i="8"/>
  <c r="B14" i="8"/>
  <c r="C14" i="8"/>
  <c r="D14" i="8" s="1"/>
  <c r="A15" i="8"/>
  <c r="B15" i="8"/>
  <c r="C15" i="8"/>
  <c r="D15" i="8" s="1"/>
  <c r="A16" i="8"/>
  <c r="B16" i="8"/>
  <c r="C16" i="8"/>
  <c r="D16" i="8" s="1"/>
  <c r="A17" i="8"/>
  <c r="B17" i="8"/>
  <c r="C17" i="8"/>
  <c r="D17" i="8" s="1"/>
  <c r="A18" i="8"/>
  <c r="B18" i="8"/>
  <c r="C18" i="8"/>
  <c r="D18" i="8" s="1"/>
  <c r="A19" i="8"/>
  <c r="B19" i="8"/>
  <c r="C19" i="8"/>
  <c r="D19" i="8" s="1"/>
  <c r="D21" i="8"/>
  <c r="A22" i="8"/>
  <c r="B22" i="8"/>
  <c r="C22" i="8"/>
  <c r="D22" i="8" s="1"/>
  <c r="A23" i="8"/>
  <c r="B23" i="8"/>
  <c r="C23" i="8"/>
  <c r="D23" i="8" s="1"/>
  <c r="A24" i="8"/>
  <c r="B24" i="8"/>
  <c r="C24" i="8"/>
  <c r="D24" i="8" s="1"/>
  <c r="A25" i="8"/>
  <c r="B25" i="8"/>
  <c r="C25" i="8"/>
  <c r="D25" i="8" s="1"/>
  <c r="A26" i="8"/>
  <c r="B26" i="8"/>
  <c r="C26" i="8"/>
  <c r="D26" i="8" s="1"/>
  <c r="A27" i="8"/>
  <c r="B27" i="8"/>
  <c r="C27" i="8"/>
  <c r="D27" i="8" s="1"/>
  <c r="A28" i="8"/>
  <c r="B28" i="8"/>
  <c r="C28" i="8"/>
  <c r="D28" i="8" s="1"/>
  <c r="D9" i="8"/>
  <c r="A372" i="5"/>
  <c r="B372" i="5"/>
  <c r="C372" i="5"/>
  <c r="D372" i="5"/>
  <c r="E372" i="5"/>
  <c r="F372" i="5"/>
  <c r="G372" i="5"/>
  <c r="A373" i="5"/>
  <c r="B373" i="5"/>
  <c r="C373" i="5"/>
  <c r="D373" i="5" s="1"/>
  <c r="E373" i="5"/>
  <c r="F373" i="5"/>
  <c r="G373" i="5"/>
  <c r="A374" i="5"/>
  <c r="B374" i="5"/>
  <c r="C374" i="5"/>
  <c r="D374" i="5" s="1"/>
  <c r="E374" i="5"/>
  <c r="F374" i="5"/>
  <c r="G374" i="5"/>
  <c r="A358" i="5"/>
  <c r="B358" i="5"/>
  <c r="C358" i="5"/>
  <c r="D358" i="5"/>
  <c r="E358" i="5"/>
  <c r="F358" i="5"/>
  <c r="G358" i="5"/>
  <c r="A359" i="5"/>
  <c r="B359" i="5"/>
  <c r="C359" i="5"/>
  <c r="D359" i="5" s="1"/>
  <c r="E359" i="5"/>
  <c r="F359" i="5"/>
  <c r="G359" i="5"/>
  <c r="A360" i="5"/>
  <c r="B360" i="5"/>
  <c r="C360" i="5"/>
  <c r="D360" i="5" s="1"/>
  <c r="E360" i="5"/>
  <c r="F360" i="5"/>
  <c r="G360" i="5"/>
  <c r="A361" i="5"/>
  <c r="B361" i="5"/>
  <c r="C361" i="5"/>
  <c r="D361" i="5" s="1"/>
  <c r="E361" i="5"/>
  <c r="F361" i="5"/>
  <c r="G361" i="5"/>
  <c r="A362" i="5"/>
  <c r="B362" i="5"/>
  <c r="C362" i="5"/>
  <c r="D362" i="5"/>
  <c r="E362" i="5"/>
  <c r="F362" i="5"/>
  <c r="G362" i="5"/>
  <c r="A363" i="5"/>
  <c r="B363" i="5"/>
  <c r="C363" i="5"/>
  <c r="D363" i="5" s="1"/>
  <c r="E363" i="5"/>
  <c r="F363" i="5"/>
  <c r="G363" i="5"/>
  <c r="A364" i="5"/>
  <c r="B364" i="5"/>
  <c r="C364" i="5"/>
  <c r="D364" i="5" s="1"/>
  <c r="E364" i="5"/>
  <c r="F364" i="5"/>
  <c r="G364" i="5"/>
  <c r="A365" i="5"/>
  <c r="B365" i="5"/>
  <c r="C365" i="5"/>
  <c r="D365" i="5" s="1"/>
  <c r="E365" i="5"/>
  <c r="F365" i="5"/>
  <c r="G365" i="5"/>
  <c r="A366" i="5"/>
  <c r="B366" i="5"/>
  <c r="C366" i="5"/>
  <c r="D366" i="5"/>
  <c r="E366" i="5"/>
  <c r="F366" i="5"/>
  <c r="G366" i="5"/>
  <c r="A367" i="5"/>
  <c r="B367" i="5"/>
  <c r="C367" i="5"/>
  <c r="D367" i="5" s="1"/>
  <c r="E367" i="5"/>
  <c r="F367" i="5"/>
  <c r="G367" i="5"/>
  <c r="A368" i="5"/>
  <c r="B368" i="5"/>
  <c r="C368" i="5"/>
  <c r="D368" i="5" s="1"/>
  <c r="E368" i="5"/>
  <c r="F368" i="5"/>
  <c r="G368" i="5"/>
  <c r="A369" i="5"/>
  <c r="B369" i="5"/>
  <c r="C369" i="5"/>
  <c r="D369" i="5" s="1"/>
  <c r="E369" i="5"/>
  <c r="F369" i="5"/>
  <c r="G369" i="5"/>
  <c r="A370" i="5"/>
  <c r="B370" i="5"/>
  <c r="C370" i="5"/>
  <c r="D370" i="5"/>
  <c r="E370" i="5"/>
  <c r="F370" i="5"/>
  <c r="G370" i="5"/>
  <c r="A371" i="5"/>
  <c r="B371" i="5"/>
  <c r="C371" i="5"/>
  <c r="D371" i="5" s="1"/>
  <c r="E371" i="5"/>
  <c r="F371" i="5"/>
  <c r="G371" i="5"/>
  <c r="A345" i="5"/>
  <c r="B345" i="5"/>
  <c r="C345" i="5"/>
  <c r="D345" i="5" s="1"/>
  <c r="E345" i="5"/>
  <c r="F345" i="5"/>
  <c r="G345" i="5"/>
  <c r="A346" i="5"/>
  <c r="B346" i="5"/>
  <c r="C346" i="5"/>
  <c r="D346" i="5" s="1"/>
  <c r="E346" i="5"/>
  <c r="F346" i="5"/>
  <c r="G346" i="5"/>
  <c r="A347" i="5"/>
  <c r="B347" i="5"/>
  <c r="C347" i="5"/>
  <c r="D347" i="5"/>
  <c r="E347" i="5"/>
  <c r="F347" i="5"/>
  <c r="G347" i="5"/>
  <c r="A348" i="5"/>
  <c r="B348" i="5"/>
  <c r="C348" i="5"/>
  <c r="D348" i="5" s="1"/>
  <c r="E348" i="5"/>
  <c r="F348" i="5"/>
  <c r="G348" i="5"/>
  <c r="A349" i="5"/>
  <c r="B349" i="5"/>
  <c r="C349" i="5"/>
  <c r="D349" i="5" s="1"/>
  <c r="E349" i="5"/>
  <c r="F349" i="5"/>
  <c r="G349" i="5"/>
  <c r="A350" i="5"/>
  <c r="B350" i="5"/>
  <c r="C350" i="5"/>
  <c r="D350" i="5" s="1"/>
  <c r="E350" i="5"/>
  <c r="F350" i="5"/>
  <c r="G350" i="5"/>
  <c r="A351" i="5"/>
  <c r="B351" i="5"/>
  <c r="C351" i="5"/>
  <c r="D351" i="5"/>
  <c r="E351" i="5"/>
  <c r="F351" i="5"/>
  <c r="G351" i="5"/>
  <c r="A352" i="5"/>
  <c r="B352" i="5"/>
  <c r="C352" i="5"/>
  <c r="D352" i="5" s="1"/>
  <c r="E352" i="5"/>
  <c r="F352" i="5"/>
  <c r="G352" i="5"/>
  <c r="A353" i="5"/>
  <c r="B353" i="5"/>
  <c r="C353" i="5"/>
  <c r="D353" i="5" s="1"/>
  <c r="E353" i="5"/>
  <c r="F353" i="5"/>
  <c r="G353" i="5"/>
  <c r="A354" i="5"/>
  <c r="B354" i="5"/>
  <c r="C354" i="5"/>
  <c r="D354" i="5" s="1"/>
  <c r="E354" i="5"/>
  <c r="F354" i="5"/>
  <c r="G354" i="5"/>
  <c r="A355" i="5"/>
  <c r="B355" i="5"/>
  <c r="C355" i="5"/>
  <c r="D355" i="5"/>
  <c r="E355" i="5"/>
  <c r="F355" i="5"/>
  <c r="G355" i="5"/>
  <c r="A356" i="5"/>
  <c r="B356" i="5"/>
  <c r="C356" i="5"/>
  <c r="D356" i="5" s="1"/>
  <c r="E356" i="5"/>
  <c r="F356" i="5"/>
  <c r="G356" i="5"/>
  <c r="A357" i="5"/>
  <c r="B357" i="5"/>
  <c r="C357" i="5"/>
  <c r="D357" i="5" s="1"/>
  <c r="E357" i="5"/>
  <c r="F357" i="5"/>
  <c r="G357" i="5"/>
  <c r="A320" i="5"/>
  <c r="B320" i="5"/>
  <c r="C320" i="5"/>
  <c r="D320" i="5"/>
  <c r="E320" i="5"/>
  <c r="F320" i="5"/>
  <c r="G320" i="5"/>
  <c r="A321" i="5"/>
  <c r="B321" i="5"/>
  <c r="C321" i="5"/>
  <c r="D321" i="5" s="1"/>
  <c r="E321" i="5"/>
  <c r="F321" i="5"/>
  <c r="G321" i="5"/>
  <c r="A322" i="5"/>
  <c r="B322" i="5"/>
  <c r="C322" i="5"/>
  <c r="D322" i="5" s="1"/>
  <c r="E322" i="5"/>
  <c r="F322" i="5"/>
  <c r="G322" i="5"/>
  <c r="A323" i="5"/>
  <c r="B323" i="5"/>
  <c r="C323" i="5"/>
  <c r="D323" i="5" s="1"/>
  <c r="E323" i="5"/>
  <c r="F323" i="5"/>
  <c r="G323" i="5"/>
  <c r="A324" i="5"/>
  <c r="B324" i="5"/>
  <c r="C324" i="5"/>
  <c r="D324" i="5"/>
  <c r="E324" i="5"/>
  <c r="F324" i="5"/>
  <c r="G324" i="5"/>
  <c r="A325" i="5"/>
  <c r="B325" i="5"/>
  <c r="C325" i="5"/>
  <c r="D325" i="5" s="1"/>
  <c r="E325" i="5"/>
  <c r="F325" i="5"/>
  <c r="G325" i="5"/>
  <c r="A326" i="5"/>
  <c r="B326" i="5"/>
  <c r="C326" i="5"/>
  <c r="D326" i="5" s="1"/>
  <c r="E326" i="5"/>
  <c r="F326" i="5"/>
  <c r="G326" i="5"/>
  <c r="A327" i="5"/>
  <c r="B327" i="5"/>
  <c r="C327" i="5"/>
  <c r="D327" i="5" s="1"/>
  <c r="E327" i="5"/>
  <c r="F327" i="5"/>
  <c r="G327" i="5"/>
  <c r="A328" i="5"/>
  <c r="B328" i="5"/>
  <c r="C328" i="5"/>
  <c r="D328" i="5"/>
  <c r="E328" i="5"/>
  <c r="F328" i="5"/>
  <c r="G328" i="5"/>
  <c r="A329" i="5"/>
  <c r="B329" i="5"/>
  <c r="C329" i="5"/>
  <c r="D329" i="5" s="1"/>
  <c r="E329" i="5"/>
  <c r="F329" i="5"/>
  <c r="G329" i="5"/>
  <c r="A330" i="5"/>
  <c r="B330" i="5"/>
  <c r="C330" i="5"/>
  <c r="D330" i="5" s="1"/>
  <c r="E330" i="5"/>
  <c r="F330" i="5"/>
  <c r="G330" i="5"/>
  <c r="A331" i="5"/>
  <c r="B331" i="5"/>
  <c r="C331" i="5"/>
  <c r="D331" i="5" s="1"/>
  <c r="E331" i="5"/>
  <c r="F331" i="5"/>
  <c r="G331" i="5"/>
  <c r="A332" i="5"/>
  <c r="B332" i="5"/>
  <c r="C332" i="5"/>
  <c r="D332" i="5"/>
  <c r="E332" i="5"/>
  <c r="F332" i="5"/>
  <c r="G332" i="5"/>
  <c r="A333" i="5"/>
  <c r="B333" i="5"/>
  <c r="C333" i="5"/>
  <c r="D333" i="5" s="1"/>
  <c r="E333" i="5"/>
  <c r="F333" i="5"/>
  <c r="G333" i="5"/>
  <c r="A334" i="5"/>
  <c r="B334" i="5"/>
  <c r="C334" i="5"/>
  <c r="D334" i="5" s="1"/>
  <c r="E334" i="5"/>
  <c r="F334" i="5"/>
  <c r="G334" i="5"/>
  <c r="A335" i="5"/>
  <c r="B335" i="5"/>
  <c r="C335" i="5"/>
  <c r="D335" i="5" s="1"/>
  <c r="E335" i="5"/>
  <c r="F335" i="5"/>
  <c r="G335" i="5"/>
  <c r="A336" i="5"/>
  <c r="B336" i="5"/>
  <c r="C336" i="5"/>
  <c r="D336" i="5"/>
  <c r="E336" i="5"/>
  <c r="F336" i="5"/>
  <c r="G336" i="5"/>
  <c r="A337" i="5"/>
  <c r="B337" i="5"/>
  <c r="C337" i="5"/>
  <c r="D337" i="5" s="1"/>
  <c r="E337" i="5"/>
  <c r="F337" i="5"/>
  <c r="G337" i="5"/>
  <c r="A338" i="5"/>
  <c r="B338" i="5"/>
  <c r="C338" i="5"/>
  <c r="D338" i="5" s="1"/>
  <c r="E338" i="5"/>
  <c r="F338" i="5"/>
  <c r="G338" i="5"/>
  <c r="A339" i="5"/>
  <c r="B339" i="5"/>
  <c r="C339" i="5"/>
  <c r="D339" i="5" s="1"/>
  <c r="E339" i="5"/>
  <c r="F339" i="5"/>
  <c r="G339" i="5"/>
  <c r="A340" i="5"/>
  <c r="B340" i="5"/>
  <c r="C340" i="5"/>
  <c r="D340" i="5"/>
  <c r="E340" i="5"/>
  <c r="F340" i="5"/>
  <c r="G340" i="5"/>
  <c r="A341" i="5"/>
  <c r="B341" i="5"/>
  <c r="C341" i="5"/>
  <c r="D341" i="5" s="1"/>
  <c r="E341" i="5"/>
  <c r="F341" i="5"/>
  <c r="G341" i="5"/>
  <c r="A342" i="5"/>
  <c r="B342" i="5"/>
  <c r="C342" i="5"/>
  <c r="D342" i="5" s="1"/>
  <c r="E342" i="5"/>
  <c r="F342" i="5"/>
  <c r="G342" i="5"/>
  <c r="A343" i="5"/>
  <c r="B343" i="5"/>
  <c r="C343" i="5"/>
  <c r="D343" i="5" s="1"/>
  <c r="E343" i="5"/>
  <c r="F343" i="5"/>
  <c r="G343" i="5"/>
  <c r="A344" i="5"/>
  <c r="B344" i="5"/>
  <c r="C344" i="5"/>
  <c r="D344" i="5"/>
  <c r="E344" i="5"/>
  <c r="F344" i="5"/>
  <c r="G344" i="5"/>
  <c r="A179" i="5"/>
  <c r="B179" i="5"/>
  <c r="C179" i="5"/>
  <c r="D179" i="5" s="1"/>
  <c r="E179" i="5"/>
  <c r="F179" i="5"/>
  <c r="G179" i="5"/>
  <c r="A180" i="5"/>
  <c r="B180" i="5"/>
  <c r="C180" i="5"/>
  <c r="D180" i="5" s="1"/>
  <c r="E180" i="5"/>
  <c r="F180" i="5"/>
  <c r="G180" i="5"/>
  <c r="A181" i="5"/>
  <c r="B181" i="5"/>
  <c r="C181" i="5"/>
  <c r="D181" i="5"/>
  <c r="E181" i="5"/>
  <c r="F181" i="5"/>
  <c r="G181" i="5"/>
  <c r="A182" i="5"/>
  <c r="B182" i="5"/>
  <c r="C182" i="5"/>
  <c r="D182" i="5" s="1"/>
  <c r="E182" i="5"/>
  <c r="F182" i="5"/>
  <c r="G182" i="5"/>
  <c r="A183" i="5"/>
  <c r="B183" i="5"/>
  <c r="C183" i="5"/>
  <c r="D183" i="5" s="1"/>
  <c r="E183" i="5"/>
  <c r="F183" i="5"/>
  <c r="G183" i="5"/>
  <c r="A184" i="5"/>
  <c r="B184" i="5"/>
  <c r="C184" i="5"/>
  <c r="D184" i="5" s="1"/>
  <c r="E184" i="5"/>
  <c r="F184" i="5"/>
  <c r="G184" i="5"/>
  <c r="A185" i="5"/>
  <c r="B185" i="5"/>
  <c r="C185" i="5"/>
  <c r="D185" i="5"/>
  <c r="E185" i="5"/>
  <c r="F185" i="5"/>
  <c r="G185" i="5"/>
  <c r="A186" i="5"/>
  <c r="B186" i="5"/>
  <c r="C186" i="5"/>
  <c r="D186" i="5" s="1"/>
  <c r="E186" i="5"/>
  <c r="F186" i="5"/>
  <c r="G186" i="5"/>
  <c r="A187" i="5"/>
  <c r="B187" i="5"/>
  <c r="C187" i="5"/>
  <c r="D187" i="5" s="1"/>
  <c r="E187" i="5"/>
  <c r="F187" i="5"/>
  <c r="G187" i="5"/>
  <c r="A188" i="5"/>
  <c r="B188" i="5"/>
  <c r="C188" i="5"/>
  <c r="D188" i="5" s="1"/>
  <c r="E188" i="5"/>
  <c r="F188" i="5"/>
  <c r="G188" i="5"/>
  <c r="A189" i="5"/>
  <c r="B189" i="5"/>
  <c r="C189" i="5"/>
  <c r="D189" i="5"/>
  <c r="E189" i="5"/>
  <c r="F189" i="5"/>
  <c r="G189" i="5"/>
  <c r="A190" i="5"/>
  <c r="B190" i="5"/>
  <c r="C190" i="5"/>
  <c r="D190" i="5" s="1"/>
  <c r="E190" i="5"/>
  <c r="F190" i="5"/>
  <c r="G190" i="5"/>
  <c r="A191" i="5"/>
  <c r="B191" i="5"/>
  <c r="C191" i="5"/>
  <c r="D191" i="5" s="1"/>
  <c r="E191" i="5"/>
  <c r="F191" i="5"/>
  <c r="G191" i="5"/>
  <c r="A192" i="5"/>
  <c r="B192" i="5"/>
  <c r="C192" i="5"/>
  <c r="D192" i="5" s="1"/>
  <c r="E192" i="5"/>
  <c r="F192" i="5"/>
  <c r="G192" i="5"/>
  <c r="A193" i="5"/>
  <c r="B193" i="5"/>
  <c r="C193" i="5"/>
  <c r="D193" i="5"/>
  <c r="E193" i="5"/>
  <c r="F193" i="5"/>
  <c r="G193" i="5"/>
  <c r="A194" i="5"/>
  <c r="B194" i="5"/>
  <c r="C194" i="5"/>
  <c r="D194" i="5" s="1"/>
  <c r="E194" i="5"/>
  <c r="F194" i="5"/>
  <c r="G194" i="5"/>
  <c r="A195" i="5"/>
  <c r="B195" i="5"/>
  <c r="C195" i="5"/>
  <c r="D195" i="5" s="1"/>
  <c r="E195" i="5"/>
  <c r="F195" i="5"/>
  <c r="G195" i="5"/>
  <c r="A196" i="5"/>
  <c r="B196" i="5"/>
  <c r="C196" i="5"/>
  <c r="D196" i="5" s="1"/>
  <c r="E196" i="5"/>
  <c r="F196" i="5"/>
  <c r="G196" i="5"/>
  <c r="A197" i="5"/>
  <c r="B197" i="5"/>
  <c r="C197" i="5"/>
  <c r="D197" i="5"/>
  <c r="E197" i="5"/>
  <c r="F197" i="5"/>
  <c r="G197" i="5"/>
  <c r="A198" i="5"/>
  <c r="B198" i="5"/>
  <c r="C198" i="5"/>
  <c r="D198" i="5" s="1"/>
  <c r="E198" i="5"/>
  <c r="F198" i="5"/>
  <c r="G198" i="5"/>
  <c r="A199" i="5"/>
  <c r="B199" i="5"/>
  <c r="C199" i="5"/>
  <c r="D199" i="5" s="1"/>
  <c r="E199" i="5"/>
  <c r="F199" i="5"/>
  <c r="G199" i="5"/>
  <c r="A200" i="5"/>
  <c r="B200" i="5"/>
  <c r="C200" i="5"/>
  <c r="D200" i="5" s="1"/>
  <c r="E200" i="5"/>
  <c r="F200" i="5"/>
  <c r="G200" i="5"/>
  <c r="A201" i="5"/>
  <c r="B201" i="5"/>
  <c r="C201" i="5"/>
  <c r="D201" i="5"/>
  <c r="E201" i="5"/>
  <c r="F201" i="5"/>
  <c r="G201" i="5"/>
  <c r="A202" i="5"/>
  <c r="B202" i="5"/>
  <c r="C202" i="5"/>
  <c r="D202" i="5" s="1"/>
  <c r="E202" i="5"/>
  <c r="F202" i="5"/>
  <c r="G202" i="5"/>
  <c r="A203" i="5"/>
  <c r="B203" i="5"/>
  <c r="C203" i="5"/>
  <c r="D203" i="5" s="1"/>
  <c r="E203" i="5"/>
  <c r="F203" i="5"/>
  <c r="G203" i="5"/>
  <c r="A204" i="5"/>
  <c r="B204" i="5"/>
  <c r="C204" i="5"/>
  <c r="D204" i="5" s="1"/>
  <c r="E204" i="5"/>
  <c r="F204" i="5"/>
  <c r="G204" i="5"/>
  <c r="A205" i="5"/>
  <c r="B205" i="5"/>
  <c r="C205" i="5"/>
  <c r="D205" i="5"/>
  <c r="E205" i="5"/>
  <c r="F205" i="5"/>
  <c r="G205" i="5"/>
  <c r="A206" i="5"/>
  <c r="B206" i="5"/>
  <c r="C206" i="5"/>
  <c r="D206" i="5" s="1"/>
  <c r="E206" i="5"/>
  <c r="F206" i="5"/>
  <c r="G206" i="5"/>
  <c r="A18" i="4"/>
  <c r="B18" i="4"/>
  <c r="C18" i="4"/>
  <c r="D18" i="4"/>
  <c r="E18" i="4"/>
  <c r="F18" i="4"/>
  <c r="G18" i="4"/>
  <c r="B19" i="4"/>
  <c r="C19" i="4"/>
  <c r="D19" i="4" s="1"/>
  <c r="E19" i="4"/>
  <c r="F19" i="4"/>
  <c r="G19" i="4"/>
  <c r="D20" i="4"/>
  <c r="A21" i="4"/>
  <c r="B21" i="4"/>
  <c r="C21" i="4"/>
  <c r="D21" i="4" s="1"/>
  <c r="E21" i="4"/>
  <c r="F21" i="4"/>
  <c r="G21" i="4"/>
  <c r="A22" i="4"/>
  <c r="B22" i="4"/>
  <c r="C22" i="4"/>
  <c r="D22" i="4" s="1"/>
  <c r="E22" i="4"/>
  <c r="F22" i="4"/>
  <c r="G22" i="4"/>
  <c r="A23" i="4"/>
  <c r="B23" i="4"/>
  <c r="C23" i="4"/>
  <c r="D23" i="4" s="1"/>
  <c r="E23" i="4"/>
  <c r="F23" i="4"/>
  <c r="G23" i="4"/>
  <c r="A24" i="4"/>
  <c r="B24" i="4"/>
  <c r="C24" i="4"/>
  <c r="D24" i="4" s="1"/>
  <c r="E24" i="4"/>
  <c r="F24" i="4"/>
  <c r="G24" i="4"/>
  <c r="A25" i="4"/>
  <c r="B25" i="4"/>
  <c r="C25" i="4"/>
  <c r="D25" i="4" s="1"/>
  <c r="E25" i="4"/>
  <c r="F25" i="4"/>
  <c r="G25" i="4"/>
  <c r="A26" i="4"/>
  <c r="B26" i="4"/>
  <c r="C26" i="4"/>
  <c r="D26" i="4" s="1"/>
  <c r="E26" i="4"/>
  <c r="F26" i="4"/>
  <c r="G26" i="4"/>
  <c r="A27" i="4"/>
  <c r="B27" i="4"/>
  <c r="C27" i="4"/>
  <c r="D27" i="4" s="1"/>
  <c r="E27" i="4"/>
  <c r="F27" i="4"/>
  <c r="G27" i="4"/>
  <c r="A28" i="4"/>
  <c r="B28" i="4"/>
  <c r="C28" i="4"/>
  <c r="D28" i="4" s="1"/>
  <c r="E28" i="4"/>
  <c r="F28" i="4"/>
  <c r="G28" i="4"/>
  <c r="A29" i="4"/>
  <c r="B29" i="4"/>
  <c r="C29" i="4"/>
  <c r="D29" i="4" s="1"/>
  <c r="E29" i="4"/>
  <c r="F29" i="4"/>
  <c r="G29" i="4"/>
  <c r="A30" i="4"/>
  <c r="B30" i="4"/>
  <c r="C30" i="4"/>
  <c r="D30" i="4" s="1"/>
  <c r="E30" i="4"/>
  <c r="F30" i="4"/>
  <c r="G30" i="4"/>
  <c r="B31" i="4"/>
  <c r="C31" i="4"/>
  <c r="D31" i="4" s="1"/>
  <c r="E31" i="4"/>
  <c r="F31" i="4"/>
  <c r="G31" i="4"/>
  <c r="D32" i="4"/>
  <c r="A33" i="4"/>
  <c r="B33" i="4"/>
  <c r="C33" i="4"/>
  <c r="D33" i="4" s="1"/>
  <c r="E33" i="4"/>
  <c r="F33" i="4"/>
  <c r="G33" i="4"/>
  <c r="A34" i="4"/>
  <c r="B34" i="4"/>
  <c r="C34" i="4"/>
  <c r="D34" i="4" s="1"/>
  <c r="E34" i="4"/>
  <c r="F34" i="4"/>
  <c r="G34" i="4"/>
  <c r="A35" i="4"/>
  <c r="B35" i="4"/>
  <c r="C35" i="4"/>
  <c r="D35" i="4" s="1"/>
  <c r="E35" i="4"/>
  <c r="F35" i="4"/>
  <c r="G35" i="4"/>
  <c r="A36" i="4"/>
  <c r="B36" i="4"/>
  <c r="C36" i="4"/>
  <c r="D36" i="4" s="1"/>
  <c r="E36" i="4"/>
  <c r="F36" i="4"/>
  <c r="G36" i="4"/>
  <c r="A37" i="4"/>
  <c r="B37" i="4"/>
  <c r="C37" i="4"/>
  <c r="D37" i="4" s="1"/>
  <c r="E37" i="4"/>
  <c r="F37" i="4"/>
  <c r="G37" i="4"/>
  <c r="A38" i="4"/>
  <c r="B38" i="4"/>
  <c r="C38" i="4"/>
  <c r="D38" i="4" s="1"/>
  <c r="E38" i="4"/>
  <c r="F38" i="4"/>
  <c r="G38" i="4"/>
  <c r="A39" i="4"/>
  <c r="B39" i="4"/>
  <c r="C39" i="4"/>
  <c r="D39" i="4" s="1"/>
  <c r="E39" i="4"/>
  <c r="F39" i="4"/>
  <c r="G39" i="4"/>
  <c r="A40" i="4"/>
  <c r="B40" i="4"/>
  <c r="C40" i="4"/>
  <c r="D40" i="4" s="1"/>
  <c r="E40" i="4"/>
  <c r="F40" i="4"/>
  <c r="G40" i="4"/>
  <c r="A41" i="4"/>
  <c r="B41" i="4"/>
  <c r="C41" i="4"/>
  <c r="D41" i="4" s="1"/>
  <c r="E41" i="4"/>
  <c r="F41" i="4"/>
  <c r="G41" i="4"/>
  <c r="A42" i="4"/>
  <c r="B42" i="4"/>
  <c r="C42" i="4"/>
  <c r="D42" i="4" s="1"/>
  <c r="E42" i="4"/>
  <c r="F42" i="4"/>
  <c r="G42" i="4"/>
  <c r="B43" i="4"/>
  <c r="C43" i="4"/>
  <c r="D43" i="4" s="1"/>
  <c r="E43" i="4"/>
  <c r="F43" i="4"/>
  <c r="G43" i="4"/>
  <c r="D44" i="4"/>
  <c r="A45" i="4"/>
  <c r="B45" i="4"/>
  <c r="C45" i="4"/>
  <c r="D45" i="4" s="1"/>
  <c r="E45" i="4"/>
  <c r="F45" i="4"/>
  <c r="G45" i="4"/>
  <c r="A46" i="4"/>
  <c r="B46" i="4"/>
  <c r="C46" i="4"/>
  <c r="D46" i="4" s="1"/>
  <c r="E46" i="4"/>
  <c r="F46" i="4"/>
  <c r="G46" i="4"/>
  <c r="A47" i="4"/>
  <c r="B47" i="4"/>
  <c r="C47" i="4"/>
  <c r="D47" i="4" s="1"/>
  <c r="E47" i="4"/>
  <c r="F47" i="4"/>
  <c r="G47" i="4"/>
  <c r="A48" i="4"/>
  <c r="B48" i="4"/>
  <c r="C48" i="4"/>
  <c r="D48" i="4" s="1"/>
  <c r="E48" i="4"/>
  <c r="F48" i="4"/>
  <c r="G48" i="4"/>
  <c r="A49" i="4"/>
  <c r="B49" i="4"/>
  <c r="C49" i="4"/>
  <c r="D49" i="4" s="1"/>
  <c r="E49" i="4"/>
  <c r="F49" i="4"/>
  <c r="G49" i="4"/>
  <c r="A50" i="4"/>
  <c r="B50" i="4"/>
  <c r="C50" i="4"/>
  <c r="D50" i="4" s="1"/>
  <c r="E50" i="4"/>
  <c r="F50" i="4"/>
  <c r="G50" i="4"/>
  <c r="A51" i="4"/>
  <c r="B51" i="4"/>
  <c r="C51" i="4"/>
  <c r="D51" i="4" s="1"/>
  <c r="E51" i="4"/>
  <c r="F51" i="4"/>
  <c r="G51" i="4"/>
  <c r="A52" i="4"/>
  <c r="B52" i="4"/>
  <c r="C52" i="4"/>
  <c r="D52" i="4" s="1"/>
  <c r="E52" i="4"/>
  <c r="F52" i="4"/>
  <c r="G52" i="4"/>
  <c r="A53" i="4"/>
  <c r="B53" i="4"/>
  <c r="C53" i="4"/>
  <c r="D53" i="4" s="1"/>
  <c r="E53" i="4"/>
  <c r="F53" i="4"/>
  <c r="G53" i="4"/>
  <c r="A54" i="4"/>
  <c r="B54" i="4"/>
  <c r="C54" i="4"/>
  <c r="D54" i="4" s="1"/>
  <c r="E54" i="4"/>
  <c r="F54" i="4"/>
  <c r="G54" i="4"/>
  <c r="B55" i="4"/>
  <c r="C55" i="4"/>
  <c r="D55" i="4" s="1"/>
  <c r="E55" i="4"/>
  <c r="F55" i="4"/>
  <c r="G55" i="4"/>
  <c r="D56" i="4"/>
  <c r="A57" i="4"/>
  <c r="B57" i="4"/>
  <c r="C57" i="4"/>
  <c r="D57" i="4" s="1"/>
  <c r="E57" i="4"/>
  <c r="F57" i="4"/>
  <c r="G57" i="4"/>
  <c r="A58" i="4"/>
  <c r="B58" i="4"/>
  <c r="C58" i="4"/>
  <c r="D58" i="4" s="1"/>
  <c r="E58" i="4"/>
  <c r="F58" i="4"/>
  <c r="G58" i="4"/>
  <c r="A59" i="4"/>
  <c r="B59" i="4"/>
  <c r="C59" i="4"/>
  <c r="D59" i="4" s="1"/>
  <c r="E59" i="4"/>
  <c r="F59" i="4"/>
  <c r="G59" i="4"/>
  <c r="A60" i="4"/>
  <c r="B60" i="4"/>
  <c r="C60" i="4"/>
  <c r="D60" i="4" s="1"/>
  <c r="E60" i="4"/>
  <c r="F60" i="4"/>
  <c r="G60" i="4"/>
  <c r="A61" i="4"/>
  <c r="B61" i="4"/>
  <c r="C61" i="4"/>
  <c r="D61" i="4" s="1"/>
  <c r="E61" i="4"/>
  <c r="F61" i="4"/>
  <c r="G61" i="4"/>
  <c r="A62" i="4"/>
  <c r="B62" i="4"/>
  <c r="C62" i="4"/>
  <c r="D62" i="4" s="1"/>
  <c r="E62" i="4"/>
  <c r="F62" i="4"/>
  <c r="G62" i="4"/>
  <c r="A63" i="4"/>
  <c r="B63" i="4"/>
  <c r="C63" i="4"/>
  <c r="D63" i="4" s="1"/>
  <c r="E63" i="4"/>
  <c r="F63" i="4"/>
  <c r="G63" i="4"/>
  <c r="A64" i="4"/>
  <c r="B64" i="4"/>
  <c r="C64" i="4"/>
  <c r="D64" i="4" s="1"/>
  <c r="E64" i="4"/>
  <c r="F64" i="4"/>
  <c r="G64" i="4"/>
  <c r="A65" i="4"/>
  <c r="B65" i="4"/>
  <c r="C65" i="4"/>
  <c r="D65" i="4" s="1"/>
  <c r="E65" i="4"/>
  <c r="F65" i="4"/>
  <c r="G65" i="4"/>
  <c r="A66" i="4"/>
  <c r="B66" i="4"/>
  <c r="C66" i="4"/>
  <c r="D66" i="4" s="1"/>
  <c r="E66" i="4"/>
  <c r="F66" i="4"/>
  <c r="G66" i="4"/>
  <c r="B67" i="4"/>
  <c r="C67" i="4"/>
  <c r="D67" i="4" s="1"/>
  <c r="E67" i="4"/>
  <c r="F67" i="4"/>
  <c r="G67" i="4"/>
  <c r="D68" i="4"/>
  <c r="A69" i="4"/>
  <c r="B69" i="4"/>
  <c r="C69" i="4"/>
  <c r="D69" i="4" s="1"/>
  <c r="E69" i="4"/>
  <c r="F69" i="4"/>
  <c r="G69" i="4"/>
  <c r="A70" i="4"/>
  <c r="B70" i="4"/>
  <c r="C70" i="4"/>
  <c r="D70" i="4" s="1"/>
  <c r="E70" i="4"/>
  <c r="F70" i="4"/>
  <c r="G70" i="4"/>
  <c r="A71" i="4"/>
  <c r="B71" i="4"/>
  <c r="C71" i="4"/>
  <c r="D71" i="4" s="1"/>
  <c r="E71" i="4"/>
  <c r="F71" i="4"/>
  <c r="G71" i="4"/>
  <c r="A72" i="4"/>
  <c r="B72" i="4"/>
  <c r="C72" i="4"/>
  <c r="D72" i="4" s="1"/>
  <c r="E72" i="4"/>
  <c r="F72" i="4"/>
  <c r="G72" i="4"/>
  <c r="A73" i="4"/>
  <c r="B73" i="4"/>
  <c r="C73" i="4"/>
  <c r="D73" i="4" s="1"/>
  <c r="E73" i="4"/>
  <c r="F73" i="4"/>
  <c r="G73" i="4"/>
  <c r="A74" i="4"/>
  <c r="B74" i="4"/>
  <c r="C74" i="4"/>
  <c r="D74" i="4" s="1"/>
  <c r="E74" i="4"/>
  <c r="F74" i="4"/>
  <c r="G74" i="4"/>
  <c r="A75" i="4"/>
  <c r="B75" i="4"/>
  <c r="C75" i="4"/>
  <c r="D75" i="4" s="1"/>
  <c r="E75" i="4"/>
  <c r="F75" i="4"/>
  <c r="G75" i="4"/>
  <c r="A76" i="4"/>
  <c r="B76" i="4"/>
  <c r="C76" i="4"/>
  <c r="D76" i="4" s="1"/>
  <c r="E76" i="4"/>
  <c r="F76" i="4"/>
  <c r="G76" i="4"/>
  <c r="A77" i="4"/>
  <c r="B77" i="4"/>
  <c r="C77" i="4"/>
  <c r="D77" i="4" s="1"/>
  <c r="E77" i="4"/>
  <c r="F77" i="4"/>
  <c r="G77" i="4"/>
  <c r="A78" i="4"/>
  <c r="B78" i="4"/>
  <c r="C78" i="4"/>
  <c r="D78" i="4" s="1"/>
  <c r="E78" i="4"/>
  <c r="F78" i="4"/>
  <c r="G78" i="4"/>
  <c r="B79" i="4"/>
  <c r="C79" i="4"/>
  <c r="D79" i="4" s="1"/>
  <c r="E79" i="4"/>
  <c r="F79" i="4"/>
  <c r="G79" i="4"/>
  <c r="D80" i="4"/>
  <c r="A81" i="4"/>
  <c r="B81" i="4"/>
  <c r="C81" i="4"/>
  <c r="D81" i="4" s="1"/>
  <c r="E81" i="4"/>
  <c r="F81" i="4"/>
  <c r="G81" i="4"/>
  <c r="A82" i="4"/>
  <c r="B82" i="4"/>
  <c r="C82" i="4"/>
  <c r="D82" i="4" s="1"/>
  <c r="E82" i="4"/>
  <c r="F82" i="4"/>
  <c r="G82" i="4"/>
  <c r="A83" i="4"/>
  <c r="B83" i="4"/>
  <c r="C83" i="4"/>
  <c r="D83" i="4" s="1"/>
  <c r="E83" i="4"/>
  <c r="F83" i="4"/>
  <c r="G83" i="4"/>
  <c r="A84" i="4"/>
  <c r="B84" i="4"/>
  <c r="C84" i="4"/>
  <c r="D84" i="4" s="1"/>
  <c r="E84" i="4"/>
  <c r="F84" i="4"/>
  <c r="G84" i="4"/>
  <c r="A85" i="4"/>
  <c r="B85" i="4"/>
  <c r="C85" i="4"/>
  <c r="D85" i="4" s="1"/>
  <c r="E85" i="4"/>
  <c r="F85" i="4"/>
  <c r="G85" i="4"/>
  <c r="A86" i="4"/>
  <c r="B86" i="4"/>
  <c r="C86" i="4"/>
  <c r="D86" i="4" s="1"/>
  <c r="E86" i="4"/>
  <c r="F86" i="4"/>
  <c r="G86" i="4"/>
  <c r="A87" i="4"/>
  <c r="B87" i="4"/>
  <c r="C87" i="4"/>
  <c r="D87" i="4" s="1"/>
  <c r="E87" i="4"/>
  <c r="F87" i="4"/>
  <c r="G87" i="4"/>
  <c r="A88" i="4"/>
  <c r="B88" i="4"/>
  <c r="C88" i="4"/>
  <c r="D88" i="4" s="1"/>
  <c r="E88" i="4"/>
  <c r="F88" i="4"/>
  <c r="G88" i="4"/>
  <c r="A89" i="4"/>
  <c r="B89" i="4"/>
  <c r="C89" i="4"/>
  <c r="D89" i="4" s="1"/>
  <c r="E89" i="4"/>
  <c r="F89" i="4"/>
  <c r="G89" i="4"/>
  <c r="A90" i="4"/>
  <c r="B90" i="4"/>
  <c r="C90" i="4"/>
  <c r="D90" i="4" s="1"/>
  <c r="E90" i="4"/>
  <c r="F90" i="4"/>
  <c r="G90" i="4"/>
  <c r="B91" i="4"/>
  <c r="C91" i="4"/>
  <c r="D91" i="4" s="1"/>
  <c r="E91" i="4"/>
  <c r="F91" i="4"/>
  <c r="G91" i="4"/>
  <c r="D92" i="4"/>
  <c r="A93" i="4"/>
  <c r="B93" i="4"/>
  <c r="C93" i="4"/>
  <c r="D93" i="4" s="1"/>
  <c r="E93" i="4"/>
  <c r="F93" i="4"/>
  <c r="G93" i="4"/>
  <c r="A94" i="4"/>
  <c r="B94" i="4"/>
  <c r="C94" i="4"/>
  <c r="D94" i="4" s="1"/>
  <c r="E94" i="4"/>
  <c r="F94" i="4"/>
  <c r="G94" i="4"/>
  <c r="A95" i="4"/>
  <c r="B95" i="4"/>
  <c r="C95" i="4"/>
  <c r="D95" i="4" s="1"/>
  <c r="E95" i="4"/>
  <c r="F95" i="4"/>
  <c r="G95" i="4"/>
  <c r="A96" i="4"/>
  <c r="B96" i="4"/>
  <c r="C96" i="4"/>
  <c r="D96" i="4" s="1"/>
  <c r="E96" i="4"/>
  <c r="F96" i="4"/>
  <c r="G96" i="4"/>
  <c r="A97" i="4"/>
  <c r="B97" i="4"/>
  <c r="C97" i="4"/>
  <c r="D97" i="4" s="1"/>
  <c r="E97" i="4"/>
  <c r="F97" i="4"/>
  <c r="G97" i="4"/>
  <c r="A98" i="4"/>
  <c r="B98" i="4"/>
  <c r="C98" i="4"/>
  <c r="D98" i="4" s="1"/>
  <c r="E98" i="4"/>
  <c r="F98" i="4"/>
  <c r="G98" i="4"/>
  <c r="A99" i="4"/>
  <c r="B99" i="4"/>
  <c r="C99" i="4"/>
  <c r="D99" i="4" s="1"/>
  <c r="E99" i="4"/>
  <c r="F99" i="4"/>
  <c r="G99" i="4"/>
  <c r="A100" i="4"/>
  <c r="B100" i="4"/>
  <c r="C100" i="4"/>
  <c r="D100" i="4" s="1"/>
  <c r="E100" i="4"/>
  <c r="F100" i="4"/>
  <c r="G100" i="4"/>
  <c r="A101" i="4"/>
  <c r="B101" i="4"/>
  <c r="C101" i="4"/>
  <c r="D101" i="4" s="1"/>
  <c r="E101" i="4"/>
  <c r="F101" i="4"/>
  <c r="G101" i="4"/>
  <c r="A102" i="4"/>
  <c r="B102" i="4"/>
  <c r="C102" i="4"/>
  <c r="D102" i="4" s="1"/>
  <c r="E102" i="4"/>
  <c r="F102" i="4"/>
  <c r="G102" i="4"/>
  <c r="D104" i="4"/>
  <c r="A105" i="4"/>
  <c r="B105" i="4"/>
  <c r="C105" i="4"/>
  <c r="D105" i="4" s="1"/>
  <c r="E105" i="4"/>
  <c r="F105" i="4"/>
  <c r="G105" i="4"/>
  <c r="A106" i="4"/>
  <c r="B106" i="4"/>
  <c r="C106" i="4"/>
  <c r="D106" i="4" s="1"/>
  <c r="E106" i="4"/>
  <c r="F106" i="4"/>
  <c r="G106" i="4"/>
  <c r="A107" i="4"/>
  <c r="B107" i="4"/>
  <c r="C107" i="4"/>
  <c r="D107" i="4" s="1"/>
  <c r="E107" i="4"/>
  <c r="F107" i="4"/>
  <c r="G107" i="4"/>
  <c r="A108" i="4"/>
  <c r="B108" i="4"/>
  <c r="C108" i="4"/>
  <c r="D108" i="4" s="1"/>
  <c r="E108" i="4"/>
  <c r="F108" i="4"/>
  <c r="G108" i="4"/>
  <c r="A109" i="4"/>
  <c r="B109" i="4"/>
  <c r="C109" i="4"/>
  <c r="D109" i="4" s="1"/>
  <c r="E109" i="4"/>
  <c r="F109" i="4"/>
  <c r="G109" i="4"/>
  <c r="A110" i="4"/>
  <c r="B110" i="4"/>
  <c r="C110" i="4"/>
  <c r="D110" i="4" s="1"/>
  <c r="E110" i="4"/>
  <c r="F110" i="4"/>
  <c r="G110" i="4"/>
  <c r="A111" i="4"/>
  <c r="B111" i="4"/>
  <c r="C111" i="4"/>
  <c r="D111" i="4" s="1"/>
  <c r="E111" i="4"/>
  <c r="F111" i="4"/>
  <c r="G111" i="4"/>
  <c r="A112" i="4"/>
  <c r="B112" i="4"/>
  <c r="C112" i="4"/>
  <c r="D112" i="4" s="1"/>
  <c r="E112" i="4"/>
  <c r="F112" i="4"/>
  <c r="G112" i="4"/>
  <c r="A113" i="4"/>
  <c r="B113" i="4"/>
  <c r="C113" i="4"/>
  <c r="D113" i="4" s="1"/>
  <c r="E113" i="4"/>
  <c r="F113" i="4"/>
  <c r="G113" i="4"/>
  <c r="A114" i="4"/>
  <c r="B114" i="4"/>
  <c r="C114" i="4"/>
  <c r="D114" i="4" s="1"/>
  <c r="E114" i="4"/>
  <c r="F114" i="4"/>
  <c r="G114" i="4"/>
  <c r="D116" i="4"/>
  <c r="A117" i="4"/>
  <c r="B117" i="4"/>
  <c r="C117" i="4"/>
  <c r="D117" i="4" s="1"/>
  <c r="E117" i="4"/>
  <c r="F117" i="4"/>
  <c r="G117" i="4"/>
  <c r="A118" i="4"/>
  <c r="B118" i="4"/>
  <c r="C118" i="4"/>
  <c r="D118" i="4" s="1"/>
  <c r="E118" i="4"/>
  <c r="F118" i="4"/>
  <c r="G118" i="4"/>
  <c r="A119" i="4"/>
  <c r="B119" i="4"/>
  <c r="C119" i="4"/>
  <c r="D119" i="4" s="1"/>
  <c r="E119" i="4"/>
  <c r="F119" i="4"/>
  <c r="G119" i="4"/>
  <c r="A120" i="4"/>
  <c r="B120" i="4"/>
  <c r="C120" i="4"/>
  <c r="D120" i="4" s="1"/>
  <c r="E120" i="4"/>
  <c r="F120" i="4"/>
  <c r="G120" i="4"/>
  <c r="A121" i="4"/>
  <c r="B121" i="4"/>
  <c r="C121" i="4"/>
  <c r="D121" i="4" s="1"/>
  <c r="E121" i="4"/>
  <c r="F121" i="4"/>
  <c r="G121" i="4"/>
  <c r="A122" i="4"/>
  <c r="B122" i="4"/>
  <c r="C122" i="4"/>
  <c r="D122" i="4" s="1"/>
  <c r="E122" i="4"/>
  <c r="F122" i="4"/>
  <c r="G122" i="4"/>
  <c r="A123" i="4"/>
  <c r="B123" i="4"/>
  <c r="C123" i="4"/>
  <c r="D123" i="4" s="1"/>
  <c r="E123" i="4"/>
  <c r="F123" i="4"/>
  <c r="G123" i="4"/>
  <c r="A124" i="4"/>
  <c r="B124" i="4"/>
  <c r="C124" i="4"/>
  <c r="D124" i="4" s="1"/>
  <c r="E124" i="4"/>
  <c r="F124" i="4"/>
  <c r="G124" i="4"/>
  <c r="A125" i="4"/>
  <c r="B125" i="4"/>
  <c r="C125" i="4"/>
  <c r="D125" i="4" s="1"/>
  <c r="E125" i="4"/>
  <c r="F125" i="4"/>
  <c r="G125" i="4"/>
  <c r="A126" i="4"/>
  <c r="B126" i="4"/>
  <c r="C126" i="4"/>
  <c r="D126" i="4" s="1"/>
  <c r="E126" i="4"/>
  <c r="F126" i="4"/>
  <c r="G126" i="4"/>
  <c r="D128" i="4"/>
  <c r="A129" i="4"/>
  <c r="B129" i="4"/>
  <c r="C129" i="4"/>
  <c r="D129" i="4" s="1"/>
  <c r="E129" i="4"/>
  <c r="F129" i="4"/>
  <c r="G129" i="4"/>
  <c r="A130" i="4"/>
  <c r="B130" i="4"/>
  <c r="C130" i="4"/>
  <c r="D130" i="4" s="1"/>
  <c r="E130" i="4"/>
  <c r="F130" i="4"/>
  <c r="G130" i="4"/>
  <c r="A131" i="4"/>
  <c r="B131" i="4"/>
  <c r="C131" i="4"/>
  <c r="D131" i="4" s="1"/>
  <c r="E131" i="4"/>
  <c r="F131" i="4"/>
  <c r="G131" i="4"/>
  <c r="A132" i="4"/>
  <c r="B132" i="4"/>
  <c r="C132" i="4"/>
  <c r="D132" i="4" s="1"/>
  <c r="E132" i="4"/>
  <c r="F132" i="4"/>
  <c r="G132" i="4"/>
  <c r="A133" i="4"/>
  <c r="B133" i="4"/>
  <c r="C133" i="4"/>
  <c r="D133" i="4" s="1"/>
  <c r="E133" i="4"/>
  <c r="F133" i="4"/>
  <c r="G133" i="4"/>
  <c r="A134" i="4"/>
  <c r="B134" i="4"/>
  <c r="C134" i="4"/>
  <c r="D134" i="4" s="1"/>
  <c r="E134" i="4"/>
  <c r="F134" i="4"/>
  <c r="G134" i="4"/>
  <c r="A135" i="4"/>
  <c r="B135" i="4"/>
  <c r="C135" i="4"/>
  <c r="D135" i="4" s="1"/>
  <c r="E135" i="4"/>
  <c r="F135" i="4"/>
  <c r="G135" i="4"/>
  <c r="A136" i="4"/>
  <c r="B136" i="4"/>
  <c r="C136" i="4"/>
  <c r="D136" i="4" s="1"/>
  <c r="E136" i="4"/>
  <c r="F136" i="4"/>
  <c r="G136" i="4"/>
  <c r="A137" i="4"/>
  <c r="B137" i="4"/>
  <c r="C137" i="4"/>
  <c r="D137" i="4" s="1"/>
  <c r="E137" i="4"/>
  <c r="F137" i="4"/>
  <c r="G137" i="4"/>
  <c r="A138" i="4"/>
  <c r="B138" i="4"/>
  <c r="C138" i="4"/>
  <c r="D138" i="4" s="1"/>
  <c r="E138" i="4"/>
  <c r="F138" i="4"/>
  <c r="G138" i="4"/>
  <c r="D140" i="4"/>
  <c r="A141" i="4"/>
  <c r="B141" i="4"/>
  <c r="C141" i="4"/>
  <c r="D141" i="4" s="1"/>
  <c r="E141" i="4"/>
  <c r="F141" i="4"/>
  <c r="G141" i="4"/>
  <c r="A142" i="4"/>
  <c r="B142" i="4"/>
  <c r="C142" i="4"/>
  <c r="D142" i="4" s="1"/>
  <c r="E142" i="4"/>
  <c r="F142" i="4"/>
  <c r="G142" i="4"/>
  <c r="A143" i="4"/>
  <c r="B143" i="4"/>
  <c r="C143" i="4"/>
  <c r="D143" i="4" s="1"/>
  <c r="E143" i="4"/>
  <c r="F143" i="4"/>
  <c r="G143" i="4"/>
  <c r="A144" i="4"/>
  <c r="B144" i="4"/>
  <c r="C144" i="4"/>
  <c r="D144" i="4" s="1"/>
  <c r="E144" i="4"/>
  <c r="F144" i="4"/>
  <c r="G144" i="4"/>
  <c r="A145" i="4"/>
  <c r="B145" i="4"/>
  <c r="C145" i="4"/>
  <c r="D145" i="4" s="1"/>
  <c r="E145" i="4"/>
  <c r="F145" i="4"/>
  <c r="G145" i="4"/>
  <c r="A146" i="4"/>
  <c r="B146" i="4"/>
  <c r="C146" i="4"/>
  <c r="D146" i="4" s="1"/>
  <c r="E146" i="4"/>
  <c r="F146" i="4"/>
  <c r="G146" i="4"/>
  <c r="A147" i="4"/>
  <c r="B147" i="4"/>
  <c r="C147" i="4"/>
  <c r="D147" i="4" s="1"/>
  <c r="E147" i="4"/>
  <c r="F147" i="4"/>
  <c r="G147" i="4"/>
  <c r="A148" i="4"/>
  <c r="B148" i="4"/>
  <c r="C148" i="4"/>
  <c r="D148" i="4" s="1"/>
  <c r="E148" i="4"/>
  <c r="F148" i="4"/>
  <c r="G148" i="4"/>
  <c r="A149" i="4"/>
  <c r="B149" i="4"/>
  <c r="C149" i="4"/>
  <c r="D149" i="4" s="1"/>
  <c r="E149" i="4"/>
  <c r="F149" i="4"/>
  <c r="G149" i="4"/>
  <c r="A150" i="4"/>
  <c r="B150" i="4"/>
  <c r="C150" i="4"/>
  <c r="D150" i="4" s="1"/>
  <c r="E150" i="4"/>
  <c r="F150" i="4"/>
  <c r="G150" i="4"/>
  <c r="A151" i="4"/>
  <c r="B151" i="4"/>
  <c r="C151" i="4"/>
  <c r="D151" i="4" s="1"/>
  <c r="E151" i="4"/>
  <c r="F151" i="4"/>
  <c r="G151" i="4"/>
  <c r="A152" i="4"/>
  <c r="B152" i="4"/>
  <c r="C152" i="4"/>
  <c r="D152" i="4" s="1"/>
  <c r="E152" i="4"/>
  <c r="F152" i="4"/>
  <c r="G152" i="4"/>
  <c r="A153" i="4"/>
  <c r="B153" i="4"/>
  <c r="C153" i="4"/>
  <c r="D153" i="4" s="1"/>
  <c r="E153" i="4"/>
  <c r="F153" i="4"/>
  <c r="G153" i="4"/>
  <c r="A154" i="4"/>
  <c r="B154" i="4"/>
  <c r="C154" i="4"/>
  <c r="D154" i="4" s="1"/>
  <c r="E154" i="4"/>
  <c r="F154" i="4"/>
  <c r="G154" i="4"/>
  <c r="A155" i="4"/>
  <c r="B155" i="4"/>
  <c r="C155" i="4"/>
  <c r="D155" i="4" s="1"/>
  <c r="E155" i="4"/>
  <c r="F155" i="4"/>
  <c r="G155" i="4"/>
  <c r="A156" i="4"/>
  <c r="B156" i="4"/>
  <c r="C156" i="4"/>
  <c r="D156" i="4" s="1"/>
  <c r="E156" i="4"/>
  <c r="F156" i="4"/>
  <c r="G156" i="4"/>
  <c r="A157" i="4"/>
  <c r="B157" i="4"/>
  <c r="C157" i="4"/>
  <c r="D157" i="4" s="1"/>
  <c r="E157" i="4"/>
  <c r="F157" i="4"/>
  <c r="G157" i="4"/>
  <c r="A158" i="4"/>
  <c r="B158" i="4"/>
  <c r="C158" i="4"/>
  <c r="D158" i="4" s="1"/>
  <c r="E158" i="4"/>
  <c r="F158" i="4"/>
  <c r="G158" i="4"/>
  <c r="A159" i="4"/>
  <c r="B159" i="4"/>
  <c r="C159" i="4"/>
  <c r="D159" i="4" s="1"/>
  <c r="E159" i="4"/>
  <c r="F159" i="4"/>
  <c r="G159" i="4"/>
  <c r="A160" i="4"/>
  <c r="B160" i="4"/>
  <c r="C160" i="4"/>
  <c r="D160" i="4" s="1"/>
  <c r="E160" i="4"/>
  <c r="F160" i="4"/>
  <c r="G160" i="4"/>
  <c r="A161" i="4"/>
  <c r="B161" i="4"/>
  <c r="C161" i="4"/>
  <c r="D161" i="4" s="1"/>
  <c r="E161" i="4"/>
  <c r="F161" i="4"/>
  <c r="G161" i="4"/>
  <c r="A162" i="4"/>
  <c r="B162" i="4"/>
  <c r="C162" i="4"/>
  <c r="D162" i="4" s="1"/>
  <c r="E162" i="4"/>
  <c r="F162" i="4"/>
  <c r="G162" i="4"/>
  <c r="A163" i="4"/>
  <c r="B163" i="4"/>
  <c r="C163" i="4"/>
  <c r="D163" i="4" s="1"/>
  <c r="E163" i="4"/>
  <c r="F163" i="4"/>
  <c r="G163" i="4"/>
  <c r="A133" i="7"/>
  <c r="B133" i="7"/>
  <c r="C133" i="7"/>
  <c r="D133" i="7"/>
  <c r="E133" i="7"/>
  <c r="F133" i="7"/>
  <c r="G133" i="7"/>
  <c r="A134" i="7"/>
  <c r="B134" i="7"/>
  <c r="C134" i="7"/>
  <c r="D134" i="7"/>
  <c r="E134" i="7"/>
  <c r="F134" i="7"/>
  <c r="G134" i="7"/>
  <c r="A135" i="7"/>
  <c r="B135" i="7"/>
  <c r="C135" i="7"/>
  <c r="D135" i="7"/>
  <c r="E135" i="7"/>
  <c r="F135" i="7"/>
  <c r="G135" i="7"/>
  <c r="A116" i="7"/>
  <c r="B116" i="7"/>
  <c r="C116" i="7"/>
  <c r="D116" i="7"/>
  <c r="E116" i="7"/>
  <c r="F116" i="7"/>
  <c r="G116" i="7"/>
  <c r="A117" i="7"/>
  <c r="B117" i="7"/>
  <c r="C117" i="7"/>
  <c r="D117" i="7" s="1"/>
  <c r="E117" i="7"/>
  <c r="F117" i="7"/>
  <c r="G117" i="7"/>
  <c r="A118" i="7"/>
  <c r="B118" i="7"/>
  <c r="C118" i="7"/>
  <c r="D118" i="7"/>
  <c r="E118" i="7"/>
  <c r="F118" i="7"/>
  <c r="G118" i="7"/>
  <c r="A119" i="7"/>
  <c r="B119" i="7"/>
  <c r="C119" i="7"/>
  <c r="D119" i="7"/>
  <c r="E119" i="7"/>
  <c r="F119" i="7"/>
  <c r="G119" i="7"/>
  <c r="A120" i="7"/>
  <c r="B120" i="7"/>
  <c r="C120" i="7"/>
  <c r="D120" i="7"/>
  <c r="E120" i="7"/>
  <c r="F120" i="7"/>
  <c r="G120" i="7"/>
  <c r="A121" i="7"/>
  <c r="B121" i="7"/>
  <c r="C121" i="7"/>
  <c r="D121" i="7" s="1"/>
  <c r="E121" i="7"/>
  <c r="F121" i="7"/>
  <c r="G121" i="7"/>
  <c r="A122" i="7"/>
  <c r="B122" i="7"/>
  <c r="C122" i="7"/>
  <c r="D122" i="7"/>
  <c r="E122" i="7"/>
  <c r="F122" i="7"/>
  <c r="G122" i="7"/>
  <c r="A123" i="7"/>
  <c r="B123" i="7"/>
  <c r="C123" i="7"/>
  <c r="D123" i="7"/>
  <c r="E123" i="7"/>
  <c r="F123" i="7"/>
  <c r="G123" i="7"/>
  <c r="A124" i="7"/>
  <c r="B124" i="7"/>
  <c r="C124" i="7"/>
  <c r="D124" i="7"/>
  <c r="E124" i="7"/>
  <c r="F124" i="7"/>
  <c r="G124" i="7"/>
  <c r="A125" i="7"/>
  <c r="B125" i="7"/>
  <c r="C125" i="7"/>
  <c r="D125" i="7" s="1"/>
  <c r="E125" i="7"/>
  <c r="F125" i="7"/>
  <c r="G125" i="7"/>
  <c r="A126" i="7"/>
  <c r="B126" i="7"/>
  <c r="C126" i="7"/>
  <c r="D126" i="7"/>
  <c r="E126" i="7"/>
  <c r="F126" i="7"/>
  <c r="G126" i="7"/>
  <c r="A127" i="7"/>
  <c r="B127" i="7"/>
  <c r="C127" i="7"/>
  <c r="D127" i="7"/>
  <c r="E127" i="7"/>
  <c r="F127" i="7"/>
  <c r="G127" i="7"/>
  <c r="A128" i="7"/>
  <c r="B128" i="7"/>
  <c r="C128" i="7"/>
  <c r="D128" i="7"/>
  <c r="E128" i="7"/>
  <c r="F128" i="7"/>
  <c r="G128" i="7"/>
  <c r="A129" i="7"/>
  <c r="B129" i="7"/>
  <c r="C129" i="7"/>
  <c r="D129" i="7" s="1"/>
  <c r="E129" i="7"/>
  <c r="F129" i="7"/>
  <c r="G129" i="7"/>
  <c r="A130" i="7"/>
  <c r="B130" i="7"/>
  <c r="C130" i="7"/>
  <c r="D130" i="7"/>
  <c r="E130" i="7"/>
  <c r="F130" i="7"/>
  <c r="G130" i="7"/>
  <c r="A131" i="7"/>
  <c r="B131" i="7"/>
  <c r="C131" i="7"/>
  <c r="D131" i="7"/>
  <c r="E131" i="7"/>
  <c r="F131" i="7"/>
  <c r="G131" i="7"/>
  <c r="A132" i="7"/>
  <c r="B132" i="7"/>
  <c r="C132" i="7"/>
  <c r="D132" i="7"/>
  <c r="E132" i="7"/>
  <c r="F132" i="7"/>
  <c r="G132" i="7"/>
  <c r="A337" i="7"/>
  <c r="B337" i="7"/>
  <c r="C337" i="7"/>
  <c r="D337" i="7"/>
  <c r="E337" i="7"/>
  <c r="F337" i="7"/>
  <c r="G337" i="7"/>
  <c r="A338" i="7"/>
  <c r="B338" i="7"/>
  <c r="C338" i="7"/>
  <c r="D338" i="7" s="1"/>
  <c r="E338" i="7"/>
  <c r="F338" i="7"/>
  <c r="G338" i="7"/>
  <c r="A339" i="7"/>
  <c r="B339" i="7"/>
  <c r="C339" i="7"/>
  <c r="D339" i="7" s="1"/>
  <c r="E339" i="7"/>
  <c r="F339" i="7"/>
  <c r="G339" i="7"/>
  <c r="A340" i="7"/>
  <c r="B340" i="7"/>
  <c r="C340" i="7"/>
  <c r="D340" i="7" s="1"/>
  <c r="E340" i="7"/>
  <c r="F340" i="7"/>
  <c r="G340" i="7"/>
  <c r="A341" i="7"/>
  <c r="B341" i="7"/>
  <c r="C341" i="7"/>
  <c r="D341" i="7" s="1"/>
  <c r="E341" i="7"/>
  <c r="F341" i="7"/>
  <c r="G341" i="7"/>
  <c r="A342" i="7"/>
  <c r="B342" i="7"/>
  <c r="C342" i="7"/>
  <c r="D342" i="7" s="1"/>
  <c r="E342" i="7"/>
  <c r="F342" i="7"/>
  <c r="G342" i="7"/>
  <c r="A343" i="7"/>
  <c r="B343" i="7"/>
  <c r="C343" i="7"/>
  <c r="D343" i="7" s="1"/>
  <c r="E343" i="7"/>
  <c r="F343" i="7"/>
  <c r="G343" i="7"/>
  <c r="A344" i="7"/>
  <c r="B344" i="7"/>
  <c r="C344" i="7"/>
  <c r="D344" i="7" s="1"/>
  <c r="E344" i="7"/>
  <c r="F344" i="7"/>
  <c r="G344" i="7"/>
  <c r="A345" i="7"/>
  <c r="B345" i="7"/>
  <c r="C345" i="7"/>
  <c r="D345" i="7" s="1"/>
  <c r="E345" i="7"/>
  <c r="F345" i="7"/>
  <c r="G345" i="7"/>
  <c r="A346" i="7"/>
  <c r="B346" i="7"/>
  <c r="C346" i="7"/>
  <c r="D346" i="7" s="1"/>
  <c r="E346" i="7"/>
  <c r="F346" i="7"/>
  <c r="G346" i="7"/>
  <c r="A370" i="4"/>
  <c r="B370" i="4"/>
  <c r="C370" i="4"/>
  <c r="D370" i="4" s="1"/>
  <c r="E370" i="4"/>
  <c r="F370" i="4"/>
  <c r="G370" i="4"/>
  <c r="A371" i="4"/>
  <c r="B371" i="4"/>
  <c r="C371" i="4"/>
  <c r="D371" i="4" s="1"/>
  <c r="E371" i="4"/>
  <c r="F371" i="4"/>
  <c r="G371" i="4"/>
  <c r="A372" i="4"/>
  <c r="B372" i="4"/>
  <c r="C372" i="4"/>
  <c r="D372" i="4" s="1"/>
  <c r="E372" i="4"/>
  <c r="F372" i="4"/>
  <c r="G372" i="4"/>
  <c r="A373" i="4"/>
  <c r="B373" i="4"/>
  <c r="C373" i="4"/>
  <c r="D373" i="4" s="1"/>
  <c r="E373" i="4"/>
  <c r="F373" i="4"/>
  <c r="G373" i="4"/>
  <c r="A374" i="4"/>
  <c r="B374" i="4"/>
  <c r="C374" i="4"/>
  <c r="D374" i="4" s="1"/>
  <c r="E374" i="4"/>
  <c r="F374" i="4"/>
  <c r="G374" i="4"/>
  <c r="A375" i="4"/>
  <c r="B375" i="4"/>
  <c r="C375" i="4"/>
  <c r="D375" i="4" s="1"/>
  <c r="E375" i="4"/>
  <c r="F375" i="4"/>
  <c r="G375" i="4"/>
  <c r="A376" i="4"/>
  <c r="B376" i="4"/>
  <c r="C376" i="4"/>
  <c r="D376" i="4" s="1"/>
  <c r="E376" i="4"/>
  <c r="F376" i="4"/>
  <c r="G376" i="4"/>
  <c r="A377" i="4"/>
  <c r="B377" i="4"/>
  <c r="C377" i="4"/>
  <c r="D377" i="4" s="1"/>
  <c r="E377" i="4"/>
  <c r="F377" i="4"/>
  <c r="G377" i="4"/>
  <c r="A378" i="4"/>
  <c r="B378" i="4"/>
  <c r="C378" i="4"/>
  <c r="D378" i="4" s="1"/>
  <c r="E378" i="4"/>
  <c r="F378" i="4"/>
  <c r="G378" i="4"/>
  <c r="A379" i="4"/>
  <c r="B379" i="4"/>
  <c r="C379" i="4"/>
  <c r="D379" i="4" s="1"/>
  <c r="E379" i="4"/>
  <c r="F379" i="4"/>
  <c r="G379" i="4"/>
  <c r="A380" i="4"/>
  <c r="B380" i="4"/>
  <c r="C380" i="4"/>
  <c r="D380" i="4" s="1"/>
  <c r="E380" i="4"/>
  <c r="F380" i="4"/>
  <c r="G380" i="4"/>
  <c r="A381" i="4"/>
  <c r="B381" i="4"/>
  <c r="C381" i="4"/>
  <c r="D381" i="4" s="1"/>
  <c r="E381" i="4"/>
  <c r="F381" i="4"/>
  <c r="G381" i="4"/>
  <c r="A382" i="4"/>
  <c r="B382" i="4"/>
  <c r="C382" i="4"/>
  <c r="D382" i="4" s="1"/>
  <c r="E382" i="4"/>
  <c r="F382" i="4"/>
  <c r="G382" i="4"/>
  <c r="A383" i="4"/>
  <c r="B383" i="4"/>
  <c r="C383" i="4"/>
  <c r="D383" i="4" s="1"/>
  <c r="E383" i="4"/>
  <c r="F383" i="4"/>
  <c r="G383" i="4"/>
  <c r="A384" i="4"/>
  <c r="B384" i="4"/>
  <c r="C384" i="4"/>
  <c r="D384" i="4" s="1"/>
  <c r="E384" i="4"/>
  <c r="F384" i="4"/>
  <c r="G384" i="4"/>
  <c r="A385" i="4"/>
  <c r="B385" i="4"/>
  <c r="C385" i="4"/>
  <c r="D385" i="4" s="1"/>
  <c r="E385" i="4"/>
  <c r="F385" i="4"/>
  <c r="G385" i="4"/>
  <c r="A386" i="4"/>
  <c r="B386" i="4"/>
  <c r="C386" i="4"/>
  <c r="D386" i="4" s="1"/>
  <c r="E386" i="4"/>
  <c r="F386" i="4"/>
  <c r="G386" i="4"/>
  <c r="A387" i="4"/>
  <c r="B387" i="4"/>
  <c r="C387" i="4"/>
  <c r="D387" i="4" s="1"/>
  <c r="E387" i="4"/>
  <c r="F387" i="4"/>
  <c r="G387" i="4"/>
  <c r="A354" i="4"/>
  <c r="B354" i="4"/>
  <c r="C354" i="4"/>
  <c r="D354" i="4" s="1"/>
  <c r="E354" i="4"/>
  <c r="F354" i="4"/>
  <c r="G354" i="4"/>
  <c r="A355" i="4"/>
  <c r="B355" i="4"/>
  <c r="C355" i="4"/>
  <c r="D355" i="4" s="1"/>
  <c r="E355" i="4"/>
  <c r="F355" i="4"/>
  <c r="G355" i="4"/>
  <c r="A356" i="4"/>
  <c r="B356" i="4"/>
  <c r="C356" i="4"/>
  <c r="D356" i="4" s="1"/>
  <c r="E356" i="4"/>
  <c r="F356" i="4"/>
  <c r="G356" i="4"/>
  <c r="A357" i="4"/>
  <c r="B357" i="4"/>
  <c r="C357" i="4"/>
  <c r="D357" i="4" s="1"/>
  <c r="E357" i="4"/>
  <c r="F357" i="4"/>
  <c r="G357" i="4"/>
  <c r="A358" i="4"/>
  <c r="B358" i="4"/>
  <c r="C358" i="4"/>
  <c r="D358" i="4" s="1"/>
  <c r="E358" i="4"/>
  <c r="F358" i="4"/>
  <c r="G358" i="4"/>
  <c r="A359" i="4"/>
  <c r="B359" i="4"/>
  <c r="C359" i="4"/>
  <c r="D359" i="4" s="1"/>
  <c r="E359" i="4"/>
  <c r="F359" i="4"/>
  <c r="G359" i="4"/>
  <c r="A360" i="4"/>
  <c r="B360" i="4"/>
  <c r="C360" i="4"/>
  <c r="D360" i="4" s="1"/>
  <c r="E360" i="4"/>
  <c r="F360" i="4"/>
  <c r="G360" i="4"/>
  <c r="A361" i="4"/>
  <c r="B361" i="4"/>
  <c r="C361" i="4"/>
  <c r="D361" i="4" s="1"/>
  <c r="E361" i="4"/>
  <c r="F361" i="4"/>
  <c r="G361" i="4"/>
  <c r="D363" i="4"/>
  <c r="A364" i="4"/>
  <c r="B364" i="4"/>
  <c r="C364" i="4"/>
  <c r="D364" i="4" s="1"/>
  <c r="E364" i="4"/>
  <c r="F364" i="4"/>
  <c r="G364" i="4"/>
  <c r="A365" i="4"/>
  <c r="B365" i="4"/>
  <c r="C365" i="4"/>
  <c r="D365" i="4" s="1"/>
  <c r="E365" i="4"/>
  <c r="F365" i="4"/>
  <c r="G365" i="4"/>
  <c r="A366" i="4"/>
  <c r="B366" i="4"/>
  <c r="C366" i="4"/>
  <c r="D366" i="4" s="1"/>
  <c r="E366" i="4"/>
  <c r="F366" i="4"/>
  <c r="G366" i="4"/>
  <c r="A367" i="4"/>
  <c r="B367" i="4"/>
  <c r="C367" i="4"/>
  <c r="D367" i="4" s="1"/>
  <c r="E367" i="4"/>
  <c r="F367" i="4"/>
  <c r="G367" i="4"/>
  <c r="A368" i="4"/>
  <c r="B368" i="4"/>
  <c r="C368" i="4"/>
  <c r="D368" i="4" s="1"/>
  <c r="E368" i="4"/>
  <c r="F368" i="4"/>
  <c r="G368" i="4"/>
  <c r="A369" i="4"/>
  <c r="B369" i="4"/>
  <c r="C369" i="4"/>
  <c r="D369" i="4" s="1"/>
  <c r="E369" i="4"/>
  <c r="F369" i="4"/>
  <c r="G369" i="4"/>
  <c r="D349" i="4"/>
  <c r="A350" i="4"/>
  <c r="B350" i="4"/>
  <c r="C350" i="4"/>
  <c r="D350" i="4" s="1"/>
  <c r="E350" i="4"/>
  <c r="F350" i="4"/>
  <c r="G350" i="4"/>
  <c r="A351" i="4"/>
  <c r="B351" i="4"/>
  <c r="C351" i="4"/>
  <c r="D351" i="4" s="1"/>
  <c r="E351" i="4"/>
  <c r="F351" i="4"/>
  <c r="G351" i="4"/>
  <c r="A352" i="4"/>
  <c r="B352" i="4"/>
  <c r="C352" i="4"/>
  <c r="D352" i="4" s="1"/>
  <c r="E352" i="4"/>
  <c r="F352" i="4"/>
  <c r="G352" i="4"/>
  <c r="A353" i="4"/>
  <c r="B353" i="4"/>
  <c r="C353" i="4"/>
  <c r="D353" i="4" s="1"/>
  <c r="E353" i="4"/>
  <c r="F353" i="4"/>
  <c r="G353" i="4"/>
  <c r="A335" i="7"/>
  <c r="B335" i="7"/>
  <c r="C335" i="7"/>
  <c r="D335" i="7" s="1"/>
  <c r="E335" i="7"/>
  <c r="F335" i="7"/>
  <c r="G335" i="7"/>
  <c r="A336" i="7"/>
  <c r="B336" i="7"/>
  <c r="C336" i="7"/>
  <c r="D336" i="7" s="1"/>
  <c r="E336" i="7"/>
  <c r="F336" i="7"/>
  <c r="G336" i="7"/>
  <c r="G334" i="7"/>
  <c r="F334" i="7"/>
  <c r="E334" i="7"/>
  <c r="C334" i="7"/>
  <c r="B334" i="7"/>
  <c r="A334" i="7"/>
  <c r="G333" i="7"/>
  <c r="F333" i="7"/>
  <c r="E333" i="7"/>
  <c r="C333" i="7"/>
  <c r="B333" i="7"/>
  <c r="A333" i="7"/>
  <c r="G332" i="7"/>
  <c r="F332" i="7"/>
  <c r="E332" i="7"/>
  <c r="C332" i="7"/>
  <c r="B332" i="7"/>
  <c r="A332" i="7"/>
  <c r="G331" i="7"/>
  <c r="F331" i="7"/>
  <c r="E331" i="7"/>
  <c r="C331" i="7"/>
  <c r="B331" i="7"/>
  <c r="A331" i="7"/>
  <c r="G330" i="7"/>
  <c r="F330" i="7"/>
  <c r="E330" i="7"/>
  <c r="C330" i="7"/>
  <c r="B330" i="7"/>
  <c r="A330" i="7"/>
  <c r="G329" i="7"/>
  <c r="F329" i="7"/>
  <c r="E329" i="7"/>
  <c r="C329" i="7"/>
  <c r="B329" i="7"/>
  <c r="A329" i="7"/>
  <c r="G328" i="7"/>
  <c r="F328" i="7"/>
  <c r="E328" i="7"/>
  <c r="C328" i="7"/>
  <c r="B328" i="7"/>
  <c r="A328" i="7"/>
  <c r="G327" i="7"/>
  <c r="F327" i="7"/>
  <c r="E327" i="7"/>
  <c r="C327" i="7"/>
  <c r="B327" i="7"/>
  <c r="A327" i="7"/>
  <c r="G326" i="7"/>
  <c r="F326" i="7"/>
  <c r="E326" i="7"/>
  <c r="C326" i="7"/>
  <c r="B326" i="7"/>
  <c r="A326" i="7"/>
  <c r="G325" i="7"/>
  <c r="F325" i="7"/>
  <c r="E325" i="7"/>
  <c r="C325" i="7"/>
  <c r="B325" i="7"/>
  <c r="A325" i="7"/>
  <c r="G324" i="7"/>
  <c r="F324" i="7"/>
  <c r="E324" i="7"/>
  <c r="C324" i="7"/>
  <c r="B324" i="7"/>
  <c r="A324" i="7"/>
  <c r="D323" i="7"/>
  <c r="G322" i="7"/>
  <c r="F322" i="7"/>
  <c r="E322" i="7"/>
  <c r="C322" i="7"/>
  <c r="B322" i="7"/>
  <c r="A322" i="7"/>
  <c r="G321" i="7"/>
  <c r="F321" i="7"/>
  <c r="E321" i="7"/>
  <c r="C321" i="7"/>
  <c r="B321" i="7"/>
  <c r="A321" i="7"/>
  <c r="G320" i="7"/>
  <c r="F320" i="7"/>
  <c r="E320" i="7"/>
  <c r="C320" i="7"/>
  <c r="B320" i="7"/>
  <c r="A320" i="7"/>
  <c r="G319" i="7"/>
  <c r="F319" i="7"/>
  <c r="E319" i="7"/>
  <c r="C319" i="7"/>
  <c r="B319" i="7"/>
  <c r="A319" i="7"/>
  <c r="G318" i="7"/>
  <c r="F318" i="7"/>
  <c r="E318" i="7"/>
  <c r="C318" i="7"/>
  <c r="B318" i="7"/>
  <c r="A318" i="7"/>
  <c r="G317" i="7"/>
  <c r="F317" i="7"/>
  <c r="E317" i="7"/>
  <c r="C317" i="7"/>
  <c r="B317" i="7"/>
  <c r="A317" i="7"/>
  <c r="G316" i="7"/>
  <c r="F316" i="7"/>
  <c r="E316" i="7"/>
  <c r="C316" i="7"/>
  <c r="B316" i="7"/>
  <c r="A316" i="7"/>
  <c r="G315" i="7"/>
  <c r="F315" i="7"/>
  <c r="E315" i="7"/>
  <c r="C315" i="7"/>
  <c r="B315" i="7"/>
  <c r="A315" i="7"/>
  <c r="G314" i="7"/>
  <c r="F314" i="7"/>
  <c r="E314" i="7"/>
  <c r="C314" i="7"/>
  <c r="B314" i="7"/>
  <c r="A314" i="7"/>
  <c r="G313" i="7"/>
  <c r="F313" i="7"/>
  <c r="E313" i="7"/>
  <c r="C313" i="7"/>
  <c r="B313" i="7"/>
  <c r="A313" i="7"/>
  <c r="G312" i="7"/>
  <c r="F312" i="7"/>
  <c r="E312" i="7"/>
  <c r="C312" i="7"/>
  <c r="B312" i="7"/>
  <c r="A312" i="7"/>
  <c r="G311" i="7"/>
  <c r="F311" i="7"/>
  <c r="E311" i="7"/>
  <c r="C311" i="7"/>
  <c r="B311" i="7"/>
  <c r="A311" i="7"/>
  <c r="G310" i="7"/>
  <c r="F310" i="7"/>
  <c r="E310" i="7"/>
  <c r="C310" i="7"/>
  <c r="B310" i="7"/>
  <c r="A310" i="7"/>
  <c r="D309" i="7"/>
  <c r="G308" i="7"/>
  <c r="F308" i="7"/>
  <c r="E308" i="7"/>
  <c r="C308" i="7"/>
  <c r="B308" i="7"/>
  <c r="A308" i="7"/>
  <c r="G307" i="7"/>
  <c r="F307" i="7"/>
  <c r="E307" i="7"/>
  <c r="C307" i="7"/>
  <c r="B307" i="7"/>
  <c r="A307" i="7"/>
  <c r="G306" i="7"/>
  <c r="F306" i="7"/>
  <c r="E306" i="7"/>
  <c r="C306" i="7"/>
  <c r="B306" i="7"/>
  <c r="A306" i="7"/>
  <c r="G305" i="7"/>
  <c r="F305" i="7"/>
  <c r="E305" i="7"/>
  <c r="C305" i="7"/>
  <c r="B305" i="7"/>
  <c r="A305" i="7"/>
  <c r="G304" i="7"/>
  <c r="F304" i="7"/>
  <c r="E304" i="7"/>
  <c r="C304" i="7"/>
  <c r="B304" i="7"/>
  <c r="A304" i="7"/>
  <c r="G303" i="7"/>
  <c r="F303" i="7"/>
  <c r="E303" i="7"/>
  <c r="C303" i="7"/>
  <c r="B303" i="7"/>
  <c r="A303" i="7"/>
  <c r="G302" i="7"/>
  <c r="F302" i="7"/>
  <c r="E302" i="7"/>
  <c r="C302" i="7"/>
  <c r="B302" i="7"/>
  <c r="A302" i="7"/>
  <c r="G301" i="7"/>
  <c r="F301" i="7"/>
  <c r="E301" i="7"/>
  <c r="C301" i="7"/>
  <c r="B301" i="7"/>
  <c r="A301" i="7"/>
  <c r="G300" i="7"/>
  <c r="F300" i="7"/>
  <c r="E300" i="7"/>
  <c r="C300" i="7"/>
  <c r="B300" i="7"/>
  <c r="A300" i="7"/>
  <c r="G299" i="7"/>
  <c r="F299" i="7"/>
  <c r="E299" i="7"/>
  <c r="C299" i="7"/>
  <c r="B299" i="7"/>
  <c r="A299" i="7"/>
  <c r="G298" i="7"/>
  <c r="F298" i="7"/>
  <c r="E298" i="7"/>
  <c r="C298" i="7"/>
  <c r="B298" i="7"/>
  <c r="A298" i="7"/>
  <c r="G297" i="7"/>
  <c r="F297" i="7"/>
  <c r="E297" i="7"/>
  <c r="C297" i="7"/>
  <c r="B297" i="7"/>
  <c r="A297" i="7"/>
  <c r="G296" i="7"/>
  <c r="F296" i="7"/>
  <c r="E296" i="7"/>
  <c r="C296" i="7"/>
  <c r="B296" i="7"/>
  <c r="A296" i="7"/>
  <c r="D295" i="7"/>
  <c r="G294" i="7"/>
  <c r="F294" i="7"/>
  <c r="E294" i="7"/>
  <c r="C294" i="7"/>
  <c r="B294" i="7"/>
  <c r="A294" i="7"/>
  <c r="G293" i="7"/>
  <c r="F293" i="7"/>
  <c r="E293" i="7"/>
  <c r="C293" i="7"/>
  <c r="B293" i="7"/>
  <c r="A293" i="7"/>
  <c r="G292" i="7"/>
  <c r="F292" i="7"/>
  <c r="E292" i="7"/>
  <c r="C292" i="7"/>
  <c r="B292" i="7"/>
  <c r="A292" i="7"/>
  <c r="G291" i="7"/>
  <c r="F291" i="7"/>
  <c r="E291" i="7"/>
  <c r="C291" i="7"/>
  <c r="B291" i="7"/>
  <c r="A291" i="7"/>
  <c r="G290" i="7"/>
  <c r="F290" i="7"/>
  <c r="E290" i="7"/>
  <c r="C290" i="7"/>
  <c r="B290" i="7"/>
  <c r="A290" i="7"/>
  <c r="G289" i="7"/>
  <c r="F289" i="7"/>
  <c r="E289" i="7"/>
  <c r="C289" i="7"/>
  <c r="B289" i="7"/>
  <c r="A289" i="7"/>
  <c r="G288" i="7"/>
  <c r="F288" i="7"/>
  <c r="E288" i="7"/>
  <c r="C288" i="7"/>
  <c r="B288" i="7"/>
  <c r="A288" i="7"/>
  <c r="G287" i="7"/>
  <c r="F287" i="7"/>
  <c r="E287" i="7"/>
  <c r="C287" i="7"/>
  <c r="B287" i="7"/>
  <c r="A287" i="7"/>
  <c r="G286" i="7"/>
  <c r="F286" i="7"/>
  <c r="E286" i="7"/>
  <c r="C286" i="7"/>
  <c r="B286" i="7"/>
  <c r="A286" i="7"/>
  <c r="G285" i="7"/>
  <c r="F285" i="7"/>
  <c r="E285" i="7"/>
  <c r="C285" i="7"/>
  <c r="B285" i="7"/>
  <c r="A285" i="7"/>
  <c r="G284" i="7"/>
  <c r="F284" i="7"/>
  <c r="E284" i="7"/>
  <c r="C284" i="7"/>
  <c r="B284" i="7"/>
  <c r="A284" i="7"/>
  <c r="G283" i="7"/>
  <c r="F283" i="7"/>
  <c r="E283" i="7"/>
  <c r="C283" i="7"/>
  <c r="B283" i="7"/>
  <c r="A283" i="7"/>
  <c r="G282" i="7"/>
  <c r="F282" i="7"/>
  <c r="E282" i="7"/>
  <c r="C282" i="7"/>
  <c r="B282" i="7"/>
  <c r="A282" i="7"/>
  <c r="D281" i="7"/>
  <c r="G280" i="7"/>
  <c r="F280" i="7"/>
  <c r="E280" i="7"/>
  <c r="C280" i="7"/>
  <c r="B280" i="7"/>
  <c r="A280" i="7"/>
  <c r="G279" i="7"/>
  <c r="F279" i="7"/>
  <c r="E279" i="7"/>
  <c r="C279" i="7"/>
  <c r="B279" i="7"/>
  <c r="A279" i="7"/>
  <c r="G278" i="7"/>
  <c r="F278" i="7"/>
  <c r="E278" i="7"/>
  <c r="C278" i="7"/>
  <c r="B278" i="7"/>
  <c r="A278" i="7"/>
  <c r="G277" i="7"/>
  <c r="F277" i="7"/>
  <c r="E277" i="7"/>
  <c r="C277" i="7"/>
  <c r="B277" i="7"/>
  <c r="A277" i="7"/>
  <c r="G276" i="7"/>
  <c r="F276" i="7"/>
  <c r="E276" i="7"/>
  <c r="C276" i="7"/>
  <c r="B276" i="7"/>
  <c r="A276" i="7"/>
  <c r="G275" i="7"/>
  <c r="F275" i="7"/>
  <c r="E275" i="7"/>
  <c r="C275" i="7"/>
  <c r="B275" i="7"/>
  <c r="A275" i="7"/>
  <c r="G274" i="7"/>
  <c r="F274" i="7"/>
  <c r="E274" i="7"/>
  <c r="C274" i="7"/>
  <c r="B274" i="7"/>
  <c r="A274" i="7"/>
  <c r="G273" i="7"/>
  <c r="F273" i="7"/>
  <c r="E273" i="7"/>
  <c r="C273" i="7"/>
  <c r="B273" i="7"/>
  <c r="A273" i="7"/>
  <c r="G272" i="7"/>
  <c r="F272" i="7"/>
  <c r="E272" i="7"/>
  <c r="C272" i="7"/>
  <c r="B272" i="7"/>
  <c r="A272" i="7"/>
  <c r="G271" i="7"/>
  <c r="F271" i="7"/>
  <c r="E271" i="7"/>
  <c r="C271" i="7"/>
  <c r="B271" i="7"/>
  <c r="A271" i="7"/>
  <c r="G270" i="7"/>
  <c r="F270" i="7"/>
  <c r="E270" i="7"/>
  <c r="C270" i="7"/>
  <c r="B270" i="7"/>
  <c r="A270" i="7"/>
  <c r="G269" i="7"/>
  <c r="F269" i="7"/>
  <c r="E269" i="7"/>
  <c r="C269" i="7"/>
  <c r="B269" i="7"/>
  <c r="A269" i="7"/>
  <c r="G268" i="7"/>
  <c r="F268" i="7"/>
  <c r="E268" i="7"/>
  <c r="C268" i="7"/>
  <c r="B268" i="7"/>
  <c r="A268" i="7"/>
  <c r="D267" i="7"/>
  <c r="G266" i="7"/>
  <c r="F266" i="7"/>
  <c r="E266" i="7"/>
  <c r="C266" i="7"/>
  <c r="B266" i="7"/>
  <c r="A266" i="7"/>
  <c r="G265" i="7"/>
  <c r="F265" i="7"/>
  <c r="E265" i="7"/>
  <c r="C265" i="7"/>
  <c r="B265" i="7"/>
  <c r="A265" i="7"/>
  <c r="G264" i="7"/>
  <c r="F264" i="7"/>
  <c r="E264" i="7"/>
  <c r="C264" i="7"/>
  <c r="B264" i="7"/>
  <c r="A264" i="7"/>
  <c r="G263" i="7"/>
  <c r="F263" i="7"/>
  <c r="E263" i="7"/>
  <c r="C263" i="7"/>
  <c r="B263" i="7"/>
  <c r="A263" i="7"/>
  <c r="G262" i="7"/>
  <c r="F262" i="7"/>
  <c r="E262" i="7"/>
  <c r="C262" i="7"/>
  <c r="B262" i="7"/>
  <c r="A262" i="7"/>
  <c r="G261" i="7"/>
  <c r="F261" i="7"/>
  <c r="E261" i="7"/>
  <c r="C261" i="7"/>
  <c r="B261" i="7"/>
  <c r="A261" i="7"/>
  <c r="G260" i="7"/>
  <c r="F260" i="7"/>
  <c r="E260" i="7"/>
  <c r="C260" i="7"/>
  <c r="B260" i="7"/>
  <c r="A260" i="7"/>
  <c r="G259" i="7"/>
  <c r="F259" i="7"/>
  <c r="E259" i="7"/>
  <c r="C259" i="7"/>
  <c r="B259" i="7"/>
  <c r="A259" i="7"/>
  <c r="G258" i="7"/>
  <c r="F258" i="7"/>
  <c r="E258" i="7"/>
  <c r="C258" i="7"/>
  <c r="B258" i="7"/>
  <c r="A258" i="7"/>
  <c r="G257" i="7"/>
  <c r="F257" i="7"/>
  <c r="E257" i="7"/>
  <c r="C257" i="7"/>
  <c r="B257" i="7"/>
  <c r="A257" i="7"/>
  <c r="G256" i="7"/>
  <c r="F256" i="7"/>
  <c r="E256" i="7"/>
  <c r="C256" i="7"/>
  <c r="B256" i="7"/>
  <c r="A256" i="7"/>
  <c r="G255" i="7"/>
  <c r="F255" i="7"/>
  <c r="E255" i="7"/>
  <c r="C255" i="7"/>
  <c r="B255" i="7"/>
  <c r="A255" i="7"/>
  <c r="G254" i="7"/>
  <c r="F254" i="7"/>
  <c r="E254" i="7"/>
  <c r="C254" i="7"/>
  <c r="B254" i="7"/>
  <c r="A254" i="7"/>
  <c r="D253" i="7"/>
  <c r="G252" i="7"/>
  <c r="F252" i="7"/>
  <c r="E252" i="7"/>
  <c r="C252" i="7"/>
  <c r="B252" i="7"/>
  <c r="A252" i="7"/>
  <c r="G251" i="7"/>
  <c r="F251" i="7"/>
  <c r="E251" i="7"/>
  <c r="C251" i="7"/>
  <c r="B251" i="7"/>
  <c r="A251" i="7"/>
  <c r="G250" i="7"/>
  <c r="F250" i="7"/>
  <c r="E250" i="7"/>
  <c r="C250" i="7"/>
  <c r="B250" i="7"/>
  <c r="A250" i="7"/>
  <c r="G249" i="7"/>
  <c r="F249" i="7"/>
  <c r="E249" i="7"/>
  <c r="C249" i="7"/>
  <c r="B249" i="7"/>
  <c r="A249" i="7"/>
  <c r="G248" i="7"/>
  <c r="F248" i="7"/>
  <c r="E248" i="7"/>
  <c r="C248" i="7"/>
  <c r="B248" i="7"/>
  <c r="A248" i="7"/>
  <c r="G247" i="7"/>
  <c r="F247" i="7"/>
  <c r="E247" i="7"/>
  <c r="C247" i="7"/>
  <c r="B247" i="7"/>
  <c r="A247" i="7"/>
  <c r="G246" i="7"/>
  <c r="F246" i="7"/>
  <c r="E246" i="7"/>
  <c r="C246" i="7"/>
  <c r="B246" i="7"/>
  <c r="A246" i="7"/>
  <c r="G245" i="7"/>
  <c r="F245" i="7"/>
  <c r="E245" i="7"/>
  <c r="C245" i="7"/>
  <c r="B245" i="7"/>
  <c r="A245" i="7"/>
  <c r="G244" i="7"/>
  <c r="F244" i="7"/>
  <c r="E244" i="7"/>
  <c r="C244" i="7"/>
  <c r="B244" i="7"/>
  <c r="A244" i="7"/>
  <c r="G243" i="7"/>
  <c r="F243" i="7"/>
  <c r="E243" i="7"/>
  <c r="C243" i="7"/>
  <c r="B243" i="7"/>
  <c r="A243" i="7"/>
  <c r="G242" i="7"/>
  <c r="F242" i="7"/>
  <c r="E242" i="7"/>
  <c r="C242" i="7"/>
  <c r="B242" i="7"/>
  <c r="A242" i="7"/>
  <c r="G241" i="7"/>
  <c r="F241" i="7"/>
  <c r="E241" i="7"/>
  <c r="C241" i="7"/>
  <c r="B241" i="7"/>
  <c r="A241" i="7"/>
  <c r="G240" i="7"/>
  <c r="F240" i="7"/>
  <c r="E240" i="7"/>
  <c r="C240" i="7"/>
  <c r="B240" i="7"/>
  <c r="A240" i="7"/>
  <c r="D239" i="7"/>
  <c r="G238" i="7"/>
  <c r="F238" i="7"/>
  <c r="E238" i="7"/>
  <c r="C238" i="7"/>
  <c r="B238" i="7"/>
  <c r="A238" i="7"/>
  <c r="G237" i="7"/>
  <c r="F237" i="7"/>
  <c r="E237" i="7"/>
  <c r="C237" i="7"/>
  <c r="B237" i="7"/>
  <c r="A237" i="7"/>
  <c r="G236" i="7"/>
  <c r="F236" i="7"/>
  <c r="E236" i="7"/>
  <c r="C236" i="7"/>
  <c r="B236" i="7"/>
  <c r="A236" i="7"/>
  <c r="G235" i="7"/>
  <c r="F235" i="7"/>
  <c r="E235" i="7"/>
  <c r="C235" i="7"/>
  <c r="B235" i="7"/>
  <c r="A235" i="7"/>
  <c r="G234" i="7"/>
  <c r="F234" i="7"/>
  <c r="E234" i="7"/>
  <c r="C234" i="7"/>
  <c r="B234" i="7"/>
  <c r="A234" i="7"/>
  <c r="G233" i="7"/>
  <c r="F233" i="7"/>
  <c r="E233" i="7"/>
  <c r="C233" i="7"/>
  <c r="B233" i="7"/>
  <c r="A233" i="7"/>
  <c r="G232" i="7"/>
  <c r="F232" i="7"/>
  <c r="E232" i="7"/>
  <c r="C232" i="7"/>
  <c r="B232" i="7"/>
  <c r="A232" i="7"/>
  <c r="G231" i="7"/>
  <c r="F231" i="7"/>
  <c r="E231" i="7"/>
  <c r="C231" i="7"/>
  <c r="B231" i="7"/>
  <c r="A231" i="7"/>
  <c r="G230" i="7"/>
  <c r="F230" i="7"/>
  <c r="E230" i="7"/>
  <c r="C230" i="7"/>
  <c r="B230" i="7"/>
  <c r="A230" i="7"/>
  <c r="G229" i="7"/>
  <c r="F229" i="7"/>
  <c r="E229" i="7"/>
  <c r="C229" i="7"/>
  <c r="B229" i="7"/>
  <c r="A229" i="7"/>
  <c r="G228" i="7"/>
  <c r="F228" i="7"/>
  <c r="E228" i="7"/>
  <c r="C228" i="7"/>
  <c r="B228" i="7"/>
  <c r="A228" i="7"/>
  <c r="G227" i="7"/>
  <c r="F227" i="7"/>
  <c r="E227" i="7"/>
  <c r="C227" i="7"/>
  <c r="B227" i="7"/>
  <c r="A227" i="7"/>
  <c r="G226" i="7"/>
  <c r="F226" i="7"/>
  <c r="E226" i="7"/>
  <c r="C226" i="7"/>
  <c r="B226" i="7"/>
  <c r="A226" i="7"/>
  <c r="D225" i="7"/>
  <c r="G224" i="7"/>
  <c r="F224" i="7"/>
  <c r="E224" i="7"/>
  <c r="C224" i="7"/>
  <c r="B224" i="7"/>
  <c r="G223" i="7"/>
  <c r="F223" i="7"/>
  <c r="E223" i="7"/>
  <c r="C223" i="7"/>
  <c r="B223" i="7"/>
  <c r="A223" i="7"/>
  <c r="G222" i="7"/>
  <c r="F222" i="7"/>
  <c r="E222" i="7"/>
  <c r="C222" i="7"/>
  <c r="B222" i="7"/>
  <c r="A222" i="7"/>
  <c r="G221" i="7"/>
  <c r="F221" i="7"/>
  <c r="E221" i="7"/>
  <c r="C221" i="7"/>
  <c r="B221" i="7"/>
  <c r="A221" i="7"/>
  <c r="G220" i="7"/>
  <c r="F220" i="7"/>
  <c r="E220" i="7"/>
  <c r="C220" i="7"/>
  <c r="B220" i="7"/>
  <c r="A220" i="7"/>
  <c r="G219" i="7"/>
  <c r="F219" i="7"/>
  <c r="E219" i="7"/>
  <c r="C219" i="7"/>
  <c r="B219" i="7"/>
  <c r="A219" i="7"/>
  <c r="G218" i="7"/>
  <c r="F218" i="7"/>
  <c r="E218" i="7"/>
  <c r="C218" i="7"/>
  <c r="B218" i="7"/>
  <c r="A218" i="7"/>
  <c r="G217" i="7"/>
  <c r="F217" i="7"/>
  <c r="E217" i="7"/>
  <c r="C217" i="7"/>
  <c r="B217" i="7"/>
  <c r="A217" i="7"/>
  <c r="G216" i="7"/>
  <c r="F216" i="7"/>
  <c r="E216" i="7"/>
  <c r="C216" i="7"/>
  <c r="B216" i="7"/>
  <c r="A216" i="7"/>
  <c r="G215" i="7"/>
  <c r="F215" i="7"/>
  <c r="E215" i="7"/>
  <c r="C215" i="7"/>
  <c r="B215" i="7"/>
  <c r="A215" i="7"/>
  <c r="G214" i="7"/>
  <c r="F214" i="7"/>
  <c r="E214" i="7"/>
  <c r="C214" i="7"/>
  <c r="B214" i="7"/>
  <c r="A214" i="7"/>
  <c r="G213" i="7"/>
  <c r="F213" i="7"/>
  <c r="E213" i="7"/>
  <c r="C213" i="7"/>
  <c r="B213" i="7"/>
  <c r="A213" i="7"/>
  <c r="G212" i="7"/>
  <c r="F212" i="7"/>
  <c r="E212" i="7"/>
  <c r="C212" i="7"/>
  <c r="B212" i="7"/>
  <c r="A212" i="7"/>
  <c r="D211" i="7"/>
  <c r="G210" i="7"/>
  <c r="F210" i="7"/>
  <c r="E210" i="7"/>
  <c r="C210" i="7"/>
  <c r="B210" i="7"/>
  <c r="G209" i="7"/>
  <c r="F209" i="7"/>
  <c r="E209" i="7"/>
  <c r="C209" i="7"/>
  <c r="B209" i="7"/>
  <c r="A209" i="7"/>
  <c r="G208" i="7"/>
  <c r="F208" i="7"/>
  <c r="E208" i="7"/>
  <c r="C208" i="7"/>
  <c r="B208" i="7"/>
  <c r="A208" i="7"/>
  <c r="G207" i="7"/>
  <c r="F207" i="7"/>
  <c r="E207" i="7"/>
  <c r="C207" i="7"/>
  <c r="B207" i="7"/>
  <c r="A207" i="7"/>
  <c r="G206" i="7"/>
  <c r="F206" i="7"/>
  <c r="E206" i="7"/>
  <c r="C206" i="7"/>
  <c r="B206" i="7"/>
  <c r="A206" i="7"/>
  <c r="G205" i="7"/>
  <c r="F205" i="7"/>
  <c r="E205" i="7"/>
  <c r="C205" i="7"/>
  <c r="B205" i="7"/>
  <c r="A205" i="7"/>
  <c r="G204" i="7"/>
  <c r="F204" i="7"/>
  <c r="E204" i="7"/>
  <c r="C204" i="7"/>
  <c r="B204" i="7"/>
  <c r="A204" i="7"/>
  <c r="G203" i="7"/>
  <c r="F203" i="7"/>
  <c r="E203" i="7"/>
  <c r="C203" i="7"/>
  <c r="B203" i="7"/>
  <c r="A203" i="7"/>
  <c r="G202" i="7"/>
  <c r="F202" i="7"/>
  <c r="E202" i="7"/>
  <c r="C202" i="7"/>
  <c r="B202" i="7"/>
  <c r="A202" i="7"/>
  <c r="G201" i="7"/>
  <c r="F201" i="7"/>
  <c r="E201" i="7"/>
  <c r="C201" i="7"/>
  <c r="B201" i="7"/>
  <c r="A201" i="7"/>
  <c r="G200" i="7"/>
  <c r="F200" i="7"/>
  <c r="E200" i="7"/>
  <c r="C200" i="7"/>
  <c r="B200" i="7"/>
  <c r="A200" i="7"/>
  <c r="G199" i="7"/>
  <c r="F199" i="7"/>
  <c r="E199" i="7"/>
  <c r="C199" i="7"/>
  <c r="B199" i="7"/>
  <c r="A199" i="7"/>
  <c r="G198" i="7"/>
  <c r="F198" i="7"/>
  <c r="E198" i="7"/>
  <c r="C198" i="7"/>
  <c r="B198" i="7"/>
  <c r="A198" i="7"/>
  <c r="D197" i="7"/>
  <c r="G196" i="7"/>
  <c r="F196" i="7"/>
  <c r="E196" i="7"/>
  <c r="C196" i="7"/>
  <c r="B196" i="7"/>
  <c r="G195" i="7"/>
  <c r="F195" i="7"/>
  <c r="E195" i="7"/>
  <c r="C195" i="7"/>
  <c r="B195" i="7"/>
  <c r="A195" i="7"/>
  <c r="G194" i="7"/>
  <c r="F194" i="7"/>
  <c r="E194" i="7"/>
  <c r="C194" i="7"/>
  <c r="B194" i="7"/>
  <c r="A194" i="7"/>
  <c r="G193" i="7"/>
  <c r="F193" i="7"/>
  <c r="E193" i="7"/>
  <c r="C193" i="7"/>
  <c r="B193" i="7"/>
  <c r="A193" i="7"/>
  <c r="G192" i="7"/>
  <c r="F192" i="7"/>
  <c r="E192" i="7"/>
  <c r="C192" i="7"/>
  <c r="B192" i="7"/>
  <c r="A192" i="7"/>
  <c r="G191" i="7"/>
  <c r="F191" i="7"/>
  <c r="E191" i="7"/>
  <c r="C191" i="7"/>
  <c r="B191" i="7"/>
  <c r="A191" i="7"/>
  <c r="G190" i="7"/>
  <c r="F190" i="7"/>
  <c r="E190" i="7"/>
  <c r="C190" i="7"/>
  <c r="B190" i="7"/>
  <c r="A190" i="7"/>
  <c r="G189" i="7"/>
  <c r="F189" i="7"/>
  <c r="E189" i="7"/>
  <c r="C189" i="7"/>
  <c r="B189" i="7"/>
  <c r="A189" i="7"/>
  <c r="G188" i="7"/>
  <c r="F188" i="7"/>
  <c r="E188" i="7"/>
  <c r="C188" i="7"/>
  <c r="B188" i="7"/>
  <c r="A188" i="7"/>
  <c r="G187" i="7"/>
  <c r="F187" i="7"/>
  <c r="E187" i="7"/>
  <c r="C187" i="7"/>
  <c r="B187" i="7"/>
  <c r="A187" i="7"/>
  <c r="G186" i="7"/>
  <c r="F186" i="7"/>
  <c r="E186" i="7"/>
  <c r="C186" i="7"/>
  <c r="B186" i="7"/>
  <c r="A186" i="7"/>
  <c r="G185" i="7"/>
  <c r="F185" i="7"/>
  <c r="E185" i="7"/>
  <c r="C185" i="7"/>
  <c r="B185" i="7"/>
  <c r="A185" i="7"/>
  <c r="G184" i="7"/>
  <c r="F184" i="7"/>
  <c r="E184" i="7"/>
  <c r="C184" i="7"/>
  <c r="B184" i="7"/>
  <c r="A184" i="7"/>
  <c r="D183" i="7"/>
  <c r="G182" i="7"/>
  <c r="F182" i="7"/>
  <c r="E182" i="7"/>
  <c r="C182" i="7"/>
  <c r="B182" i="7"/>
  <c r="G181" i="7"/>
  <c r="F181" i="7"/>
  <c r="E181" i="7"/>
  <c r="C181" i="7"/>
  <c r="B181" i="7"/>
  <c r="A181" i="7"/>
  <c r="G180" i="7"/>
  <c r="F180" i="7"/>
  <c r="E180" i="7"/>
  <c r="C180" i="7"/>
  <c r="B180" i="7"/>
  <c r="A180" i="7"/>
  <c r="G179" i="7"/>
  <c r="F179" i="7"/>
  <c r="E179" i="7"/>
  <c r="C179" i="7"/>
  <c r="B179" i="7"/>
  <c r="A179" i="7"/>
  <c r="G178" i="7"/>
  <c r="F178" i="7"/>
  <c r="E178" i="7"/>
  <c r="C178" i="7"/>
  <c r="B178" i="7"/>
  <c r="A178" i="7"/>
  <c r="G177" i="7"/>
  <c r="F177" i="7"/>
  <c r="E177" i="7"/>
  <c r="C177" i="7"/>
  <c r="B177" i="7"/>
  <c r="A177" i="7"/>
  <c r="G176" i="7"/>
  <c r="F176" i="7"/>
  <c r="E176" i="7"/>
  <c r="C176" i="7"/>
  <c r="B176" i="7"/>
  <c r="A176" i="7"/>
  <c r="G175" i="7"/>
  <c r="F175" i="7"/>
  <c r="E175" i="7"/>
  <c r="C175" i="7"/>
  <c r="B175" i="7"/>
  <c r="A175" i="7"/>
  <c r="G174" i="7"/>
  <c r="F174" i="7"/>
  <c r="E174" i="7"/>
  <c r="C174" i="7"/>
  <c r="B174" i="7"/>
  <c r="A174" i="7"/>
  <c r="G173" i="7"/>
  <c r="F173" i="7"/>
  <c r="E173" i="7"/>
  <c r="C173" i="7"/>
  <c r="B173" i="7"/>
  <c r="A173" i="7"/>
  <c r="G172" i="7"/>
  <c r="F172" i="7"/>
  <c r="E172" i="7"/>
  <c r="C172" i="7"/>
  <c r="B172" i="7"/>
  <c r="A172" i="7"/>
  <c r="G171" i="7"/>
  <c r="F171" i="7"/>
  <c r="E171" i="7"/>
  <c r="C171" i="7"/>
  <c r="B171" i="7"/>
  <c r="A171" i="7"/>
  <c r="G170" i="7"/>
  <c r="F170" i="7"/>
  <c r="E170" i="7"/>
  <c r="C170" i="7"/>
  <c r="B170" i="7"/>
  <c r="A170" i="7"/>
  <c r="D169" i="7"/>
  <c r="G168" i="7"/>
  <c r="F168" i="7"/>
  <c r="E168" i="7"/>
  <c r="C168" i="7"/>
  <c r="B168" i="7"/>
  <c r="G167" i="7"/>
  <c r="F167" i="7"/>
  <c r="E167" i="7"/>
  <c r="C167" i="7"/>
  <c r="B167" i="7"/>
  <c r="A167" i="7"/>
  <c r="G166" i="7"/>
  <c r="F166" i="7"/>
  <c r="E166" i="7"/>
  <c r="C166" i="7"/>
  <c r="B166" i="7"/>
  <c r="A166" i="7"/>
  <c r="G165" i="7"/>
  <c r="F165" i="7"/>
  <c r="E165" i="7"/>
  <c r="C165" i="7"/>
  <c r="B165" i="7"/>
  <c r="A165" i="7"/>
  <c r="G164" i="7"/>
  <c r="F164" i="7"/>
  <c r="E164" i="7"/>
  <c r="C164" i="7"/>
  <c r="B164" i="7"/>
  <c r="A164" i="7"/>
  <c r="G163" i="7"/>
  <c r="F163" i="7"/>
  <c r="E163" i="7"/>
  <c r="C163" i="7"/>
  <c r="B163" i="7"/>
  <c r="A163" i="7"/>
  <c r="G162" i="7"/>
  <c r="F162" i="7"/>
  <c r="E162" i="7"/>
  <c r="C162" i="7"/>
  <c r="B162" i="7"/>
  <c r="A162" i="7"/>
  <c r="G161" i="7"/>
  <c r="F161" i="7"/>
  <c r="E161" i="7"/>
  <c r="C161" i="7"/>
  <c r="B161" i="7"/>
  <c r="A161" i="7"/>
  <c r="G160" i="7"/>
  <c r="F160" i="7"/>
  <c r="E160" i="7"/>
  <c r="C160" i="7"/>
  <c r="B160" i="7"/>
  <c r="A160" i="7"/>
  <c r="G159" i="7"/>
  <c r="F159" i="7"/>
  <c r="E159" i="7"/>
  <c r="C159" i="7"/>
  <c r="B159" i="7"/>
  <c r="A159" i="7"/>
  <c r="G158" i="7"/>
  <c r="F158" i="7"/>
  <c r="E158" i="7"/>
  <c r="C158" i="7"/>
  <c r="B158" i="7"/>
  <c r="A158" i="7"/>
  <c r="G157" i="7"/>
  <c r="F157" i="7"/>
  <c r="E157" i="7"/>
  <c r="C157" i="7"/>
  <c r="B157" i="7"/>
  <c r="A157" i="7"/>
  <c r="G156" i="7"/>
  <c r="F156" i="7"/>
  <c r="E156" i="7"/>
  <c r="C156" i="7"/>
  <c r="B156" i="7"/>
  <c r="A156" i="7"/>
  <c r="D155" i="7"/>
  <c r="G154" i="7"/>
  <c r="F154" i="7"/>
  <c r="E154" i="7"/>
  <c r="C154" i="7"/>
  <c r="B154" i="7"/>
  <c r="G153" i="7"/>
  <c r="F153" i="7"/>
  <c r="E153" i="7"/>
  <c r="C153" i="7"/>
  <c r="B153" i="7"/>
  <c r="A153" i="7"/>
  <c r="G152" i="7"/>
  <c r="F152" i="7"/>
  <c r="E152" i="7"/>
  <c r="C152" i="7"/>
  <c r="B152" i="7"/>
  <c r="A152" i="7"/>
  <c r="G151" i="7"/>
  <c r="F151" i="7"/>
  <c r="E151" i="7"/>
  <c r="C151" i="7"/>
  <c r="B151" i="7"/>
  <c r="A151" i="7"/>
  <c r="G150" i="7"/>
  <c r="F150" i="7"/>
  <c r="E150" i="7"/>
  <c r="C150" i="7"/>
  <c r="B150" i="7"/>
  <c r="A150" i="7"/>
  <c r="G149" i="7"/>
  <c r="F149" i="7"/>
  <c r="E149" i="7"/>
  <c r="C149" i="7"/>
  <c r="B149" i="7"/>
  <c r="A149" i="7"/>
  <c r="G148" i="7"/>
  <c r="F148" i="7"/>
  <c r="E148" i="7"/>
  <c r="C148" i="7"/>
  <c r="B148" i="7"/>
  <c r="A148" i="7"/>
  <c r="G147" i="7"/>
  <c r="F147" i="7"/>
  <c r="E147" i="7"/>
  <c r="C147" i="7"/>
  <c r="B147" i="7"/>
  <c r="A147" i="7"/>
  <c r="G146" i="7"/>
  <c r="F146" i="7"/>
  <c r="E146" i="7"/>
  <c r="C146" i="7"/>
  <c r="B146" i="7"/>
  <c r="A146" i="7"/>
  <c r="G145" i="7"/>
  <c r="F145" i="7"/>
  <c r="E145" i="7"/>
  <c r="C145" i="7"/>
  <c r="B145" i="7"/>
  <c r="A145" i="7"/>
  <c r="G144" i="7"/>
  <c r="F144" i="7"/>
  <c r="E144" i="7"/>
  <c r="C144" i="7"/>
  <c r="B144" i="7"/>
  <c r="A144" i="7"/>
  <c r="G143" i="7"/>
  <c r="F143" i="7"/>
  <c r="E143" i="7"/>
  <c r="C143" i="7"/>
  <c r="B143" i="7"/>
  <c r="A143" i="7"/>
  <c r="G142" i="7"/>
  <c r="F142" i="7"/>
  <c r="E142" i="7"/>
  <c r="C142" i="7"/>
  <c r="B142" i="7"/>
  <c r="A142" i="7"/>
  <c r="D141" i="7"/>
  <c r="B140" i="7"/>
  <c r="G115" i="7"/>
  <c r="F115" i="7"/>
  <c r="E115" i="7"/>
  <c r="C115" i="7"/>
  <c r="B115" i="7"/>
  <c r="A115" i="7"/>
  <c r="G114" i="7"/>
  <c r="F114" i="7"/>
  <c r="E114" i="7"/>
  <c r="C114" i="7"/>
  <c r="B114" i="7"/>
  <c r="A114" i="7"/>
  <c r="G113" i="7"/>
  <c r="F113" i="7"/>
  <c r="E113" i="7"/>
  <c r="C113" i="7"/>
  <c r="B113" i="7"/>
  <c r="A113" i="7"/>
  <c r="G112" i="7"/>
  <c r="F112" i="7"/>
  <c r="E112" i="7"/>
  <c r="C112" i="7"/>
  <c r="B112" i="7"/>
  <c r="A112" i="7"/>
  <c r="G111" i="7"/>
  <c r="F111" i="7"/>
  <c r="E111" i="7"/>
  <c r="C111" i="7"/>
  <c r="B111" i="7"/>
  <c r="A111" i="7"/>
  <c r="G110" i="7"/>
  <c r="F110" i="7"/>
  <c r="E110" i="7"/>
  <c r="C110" i="7"/>
  <c r="B110" i="7"/>
  <c r="A110" i="7"/>
  <c r="G109" i="7"/>
  <c r="F109" i="7"/>
  <c r="E109" i="7"/>
  <c r="C109" i="7"/>
  <c r="B109" i="7"/>
  <c r="A109" i="7"/>
  <c r="G108" i="7"/>
  <c r="F108" i="7"/>
  <c r="E108" i="7"/>
  <c r="C108" i="7"/>
  <c r="B108" i="7"/>
  <c r="A108" i="7"/>
  <c r="G107" i="7"/>
  <c r="F107" i="7"/>
  <c r="E107" i="7"/>
  <c r="C107" i="7"/>
  <c r="B107" i="7"/>
  <c r="A107" i="7"/>
  <c r="G106" i="7"/>
  <c r="F106" i="7"/>
  <c r="E106" i="7"/>
  <c r="C106" i="7"/>
  <c r="B106" i="7"/>
  <c r="A106" i="7"/>
  <c r="G105" i="7"/>
  <c r="F105" i="7"/>
  <c r="E105" i="7"/>
  <c r="C105" i="7"/>
  <c r="B105" i="7"/>
  <c r="A105" i="7"/>
  <c r="D104" i="7"/>
  <c r="G103" i="7"/>
  <c r="F103" i="7"/>
  <c r="E103" i="7"/>
  <c r="C103" i="7"/>
  <c r="B103" i="7"/>
  <c r="A103" i="7"/>
  <c r="G102" i="7"/>
  <c r="F102" i="7"/>
  <c r="E102" i="7"/>
  <c r="C102" i="7"/>
  <c r="B102" i="7"/>
  <c r="A102" i="7"/>
  <c r="G101" i="7"/>
  <c r="F101" i="7"/>
  <c r="E101" i="7"/>
  <c r="C101" i="7"/>
  <c r="B101" i="7"/>
  <c r="A101" i="7"/>
  <c r="G100" i="7"/>
  <c r="F100" i="7"/>
  <c r="E100" i="7"/>
  <c r="C100" i="7"/>
  <c r="B100" i="7"/>
  <c r="A100" i="7"/>
  <c r="G99" i="7"/>
  <c r="F99" i="7"/>
  <c r="E99" i="7"/>
  <c r="C99" i="7"/>
  <c r="B99" i="7"/>
  <c r="A99" i="7"/>
  <c r="G98" i="7"/>
  <c r="F98" i="7"/>
  <c r="E98" i="7"/>
  <c r="C98" i="7"/>
  <c r="B98" i="7"/>
  <c r="A98" i="7"/>
  <c r="G97" i="7"/>
  <c r="F97" i="7"/>
  <c r="E97" i="7"/>
  <c r="C97" i="7"/>
  <c r="B97" i="7"/>
  <c r="A97" i="7"/>
  <c r="G96" i="7"/>
  <c r="F96" i="7"/>
  <c r="E96" i="7"/>
  <c r="C96" i="7"/>
  <c r="B96" i="7"/>
  <c r="A96" i="7"/>
  <c r="G95" i="7"/>
  <c r="F95" i="7"/>
  <c r="E95" i="7"/>
  <c r="C95" i="7"/>
  <c r="B95" i="7"/>
  <c r="A95" i="7"/>
  <c r="G94" i="7"/>
  <c r="F94" i="7"/>
  <c r="E94" i="7"/>
  <c r="C94" i="7"/>
  <c r="B94" i="7"/>
  <c r="A94" i="7"/>
  <c r="G93" i="7"/>
  <c r="F93" i="7"/>
  <c r="E93" i="7"/>
  <c r="C93" i="7"/>
  <c r="B93" i="7"/>
  <c r="A93" i="7"/>
  <c r="D92" i="7"/>
  <c r="G91" i="7"/>
  <c r="F91" i="7"/>
  <c r="E91" i="7"/>
  <c r="C91" i="7"/>
  <c r="B91" i="7"/>
  <c r="A91" i="7"/>
  <c r="G90" i="7"/>
  <c r="F90" i="7"/>
  <c r="E90" i="7"/>
  <c r="C90" i="7"/>
  <c r="B90" i="7"/>
  <c r="A90" i="7"/>
  <c r="G89" i="7"/>
  <c r="F89" i="7"/>
  <c r="E89" i="7"/>
  <c r="C89" i="7"/>
  <c r="B89" i="7"/>
  <c r="A89" i="7"/>
  <c r="G88" i="7"/>
  <c r="F88" i="7"/>
  <c r="E88" i="7"/>
  <c r="C88" i="7"/>
  <c r="B88" i="7"/>
  <c r="A88" i="7"/>
  <c r="G87" i="7"/>
  <c r="F87" i="7"/>
  <c r="E87" i="7"/>
  <c r="C87" i="7"/>
  <c r="B87" i="7"/>
  <c r="A87" i="7"/>
  <c r="G86" i="7"/>
  <c r="F86" i="7"/>
  <c r="E86" i="7"/>
  <c r="C86" i="7"/>
  <c r="B86" i="7"/>
  <c r="A86" i="7"/>
  <c r="G85" i="7"/>
  <c r="F85" i="7"/>
  <c r="E85" i="7"/>
  <c r="C85" i="7"/>
  <c r="B85" i="7"/>
  <c r="A85" i="7"/>
  <c r="G84" i="7"/>
  <c r="F84" i="7"/>
  <c r="E84" i="7"/>
  <c r="C84" i="7"/>
  <c r="B84" i="7"/>
  <c r="A84" i="7"/>
  <c r="G83" i="7"/>
  <c r="F83" i="7"/>
  <c r="E83" i="7"/>
  <c r="C83" i="7"/>
  <c r="B83" i="7"/>
  <c r="A83" i="7"/>
  <c r="G82" i="7"/>
  <c r="F82" i="7"/>
  <c r="E82" i="7"/>
  <c r="C82" i="7"/>
  <c r="B82" i="7"/>
  <c r="A82" i="7"/>
  <c r="G81" i="7"/>
  <c r="F81" i="7"/>
  <c r="E81" i="7"/>
  <c r="C81" i="7"/>
  <c r="B81" i="7"/>
  <c r="A81" i="7"/>
  <c r="D80" i="7"/>
  <c r="G79" i="7"/>
  <c r="F79" i="7"/>
  <c r="E79" i="7"/>
  <c r="C79" i="7"/>
  <c r="B79" i="7"/>
  <c r="A79" i="7"/>
  <c r="G78" i="7"/>
  <c r="F78" i="7"/>
  <c r="E78" i="7"/>
  <c r="C78" i="7"/>
  <c r="B78" i="7"/>
  <c r="A78" i="7"/>
  <c r="G77" i="7"/>
  <c r="F77" i="7"/>
  <c r="E77" i="7"/>
  <c r="C77" i="7"/>
  <c r="B77" i="7"/>
  <c r="A77" i="7"/>
  <c r="G76" i="7"/>
  <c r="F76" i="7"/>
  <c r="E76" i="7"/>
  <c r="C76" i="7"/>
  <c r="B76" i="7"/>
  <c r="A76" i="7"/>
  <c r="G75" i="7"/>
  <c r="F75" i="7"/>
  <c r="E75" i="7"/>
  <c r="C75" i="7"/>
  <c r="B75" i="7"/>
  <c r="A75" i="7"/>
  <c r="G74" i="7"/>
  <c r="F74" i="7"/>
  <c r="E74" i="7"/>
  <c r="C74" i="7"/>
  <c r="B74" i="7"/>
  <c r="A74" i="7"/>
  <c r="G73" i="7"/>
  <c r="F73" i="7"/>
  <c r="E73" i="7"/>
  <c r="C73" i="7"/>
  <c r="B73" i="7"/>
  <c r="A73" i="7"/>
  <c r="G72" i="7"/>
  <c r="F72" i="7"/>
  <c r="E72" i="7"/>
  <c r="C72" i="7"/>
  <c r="B72" i="7"/>
  <c r="A72" i="7"/>
  <c r="G71" i="7"/>
  <c r="F71" i="7"/>
  <c r="E71" i="7"/>
  <c r="C71" i="7"/>
  <c r="B71" i="7"/>
  <c r="A71" i="7"/>
  <c r="G70" i="7"/>
  <c r="F70" i="7"/>
  <c r="E70" i="7"/>
  <c r="C70" i="7"/>
  <c r="B70" i="7"/>
  <c r="A70" i="7"/>
  <c r="G69" i="7"/>
  <c r="F69" i="7"/>
  <c r="E69" i="7"/>
  <c r="C69" i="7"/>
  <c r="B69" i="7"/>
  <c r="A69" i="7"/>
  <c r="D68" i="7"/>
  <c r="G67" i="7"/>
  <c r="F67" i="7"/>
  <c r="E67" i="7"/>
  <c r="C67" i="7"/>
  <c r="B67" i="7"/>
  <c r="A67" i="7"/>
  <c r="G66" i="7"/>
  <c r="F66" i="7"/>
  <c r="E66" i="7"/>
  <c r="C66" i="7"/>
  <c r="B66" i="7"/>
  <c r="A66" i="7"/>
  <c r="G65" i="7"/>
  <c r="F65" i="7"/>
  <c r="E65" i="7"/>
  <c r="C65" i="7"/>
  <c r="B65" i="7"/>
  <c r="A65" i="7"/>
  <c r="G64" i="7"/>
  <c r="F64" i="7"/>
  <c r="E64" i="7"/>
  <c r="C64" i="7"/>
  <c r="B64" i="7"/>
  <c r="A64" i="7"/>
  <c r="G63" i="7"/>
  <c r="F63" i="7"/>
  <c r="E63" i="7"/>
  <c r="C63" i="7"/>
  <c r="B63" i="7"/>
  <c r="A63" i="7"/>
  <c r="G62" i="7"/>
  <c r="F62" i="7"/>
  <c r="E62" i="7"/>
  <c r="C62" i="7"/>
  <c r="B62" i="7"/>
  <c r="A62" i="7"/>
  <c r="G61" i="7"/>
  <c r="F61" i="7"/>
  <c r="E61" i="7"/>
  <c r="C61" i="7"/>
  <c r="B61" i="7"/>
  <c r="A61" i="7"/>
  <c r="G60" i="7"/>
  <c r="F60" i="7"/>
  <c r="E60" i="7"/>
  <c r="C60" i="7"/>
  <c r="B60" i="7"/>
  <c r="A60" i="7"/>
  <c r="G59" i="7"/>
  <c r="F59" i="7"/>
  <c r="E59" i="7"/>
  <c r="C59" i="7"/>
  <c r="B59" i="7"/>
  <c r="A59" i="7"/>
  <c r="G58" i="7"/>
  <c r="F58" i="7"/>
  <c r="E58" i="7"/>
  <c r="C58" i="7"/>
  <c r="B58" i="7"/>
  <c r="A58" i="7"/>
  <c r="G57" i="7"/>
  <c r="F57" i="7"/>
  <c r="E57" i="7"/>
  <c r="C57" i="7"/>
  <c r="B57" i="7"/>
  <c r="A57" i="7"/>
  <c r="D56" i="7"/>
  <c r="G55" i="7"/>
  <c r="F55" i="7"/>
  <c r="E55" i="7"/>
  <c r="C55" i="7"/>
  <c r="B55" i="7"/>
  <c r="A55" i="7"/>
  <c r="G54" i="7"/>
  <c r="F54" i="7"/>
  <c r="E54" i="7"/>
  <c r="C54" i="7"/>
  <c r="B54" i="7"/>
  <c r="A54" i="7"/>
  <c r="G53" i="7"/>
  <c r="F53" i="7"/>
  <c r="E53" i="7"/>
  <c r="C53" i="7"/>
  <c r="B53" i="7"/>
  <c r="A53" i="7"/>
  <c r="G52" i="7"/>
  <c r="F52" i="7"/>
  <c r="E52" i="7"/>
  <c r="C52" i="7"/>
  <c r="B52" i="7"/>
  <c r="A52" i="7"/>
  <c r="G51" i="7"/>
  <c r="F51" i="7"/>
  <c r="E51" i="7"/>
  <c r="C51" i="7"/>
  <c r="B51" i="7"/>
  <c r="A51" i="7"/>
  <c r="G50" i="7"/>
  <c r="F50" i="7"/>
  <c r="E50" i="7"/>
  <c r="C50" i="7"/>
  <c r="B50" i="7"/>
  <c r="A50" i="7"/>
  <c r="G49" i="7"/>
  <c r="F49" i="7"/>
  <c r="E49" i="7"/>
  <c r="C49" i="7"/>
  <c r="B49" i="7"/>
  <c r="A49" i="7"/>
  <c r="G48" i="7"/>
  <c r="F48" i="7"/>
  <c r="E48" i="7"/>
  <c r="C48" i="7"/>
  <c r="B48" i="7"/>
  <c r="A48" i="7"/>
  <c r="G47" i="7"/>
  <c r="F47" i="7"/>
  <c r="E47" i="7"/>
  <c r="C47" i="7"/>
  <c r="B47" i="7"/>
  <c r="A47" i="7"/>
  <c r="G46" i="7"/>
  <c r="F46" i="7"/>
  <c r="E46" i="7"/>
  <c r="C46" i="7"/>
  <c r="B46" i="7"/>
  <c r="A46" i="7"/>
  <c r="G45" i="7"/>
  <c r="F45" i="7"/>
  <c r="E45" i="7"/>
  <c r="C45" i="7"/>
  <c r="B45" i="7"/>
  <c r="A45" i="7"/>
  <c r="D44" i="7"/>
  <c r="G43" i="7"/>
  <c r="F43" i="7"/>
  <c r="E43" i="7"/>
  <c r="C43" i="7"/>
  <c r="B43" i="7"/>
  <c r="A43" i="7"/>
  <c r="G42" i="7"/>
  <c r="F42" i="7"/>
  <c r="E42" i="7"/>
  <c r="C42" i="7"/>
  <c r="B42" i="7"/>
  <c r="A42" i="7"/>
  <c r="G41" i="7"/>
  <c r="F41" i="7"/>
  <c r="E41" i="7"/>
  <c r="C41" i="7"/>
  <c r="B41" i="7"/>
  <c r="A41" i="7"/>
  <c r="G40" i="7"/>
  <c r="F40" i="7"/>
  <c r="E40" i="7"/>
  <c r="C40" i="7"/>
  <c r="B40" i="7"/>
  <c r="A40" i="7"/>
  <c r="G39" i="7"/>
  <c r="F39" i="7"/>
  <c r="E39" i="7"/>
  <c r="C39" i="7"/>
  <c r="B39" i="7"/>
  <c r="A39" i="7"/>
  <c r="G38" i="7"/>
  <c r="F38" i="7"/>
  <c r="E38" i="7"/>
  <c r="C38" i="7"/>
  <c r="B38" i="7"/>
  <c r="A38" i="7"/>
  <c r="G37" i="7"/>
  <c r="F37" i="7"/>
  <c r="E37" i="7"/>
  <c r="C37" i="7"/>
  <c r="B37" i="7"/>
  <c r="A37" i="7"/>
  <c r="G36" i="7"/>
  <c r="F36" i="7"/>
  <c r="E36" i="7"/>
  <c r="C36" i="7"/>
  <c r="B36" i="7"/>
  <c r="A36" i="7"/>
  <c r="G35" i="7"/>
  <c r="F35" i="7"/>
  <c r="E35" i="7"/>
  <c r="C35" i="7"/>
  <c r="B35" i="7"/>
  <c r="A35" i="7"/>
  <c r="G34" i="7"/>
  <c r="F34" i="7"/>
  <c r="E34" i="7"/>
  <c r="C34" i="7"/>
  <c r="B34" i="7"/>
  <c r="A34" i="7"/>
  <c r="G33" i="7"/>
  <c r="F33" i="7"/>
  <c r="E33" i="7"/>
  <c r="C33" i="7"/>
  <c r="B33" i="7"/>
  <c r="A33" i="7"/>
  <c r="D32" i="7"/>
  <c r="G31" i="7"/>
  <c r="F31" i="7"/>
  <c r="E31" i="7"/>
  <c r="C31" i="7"/>
  <c r="B31" i="7"/>
  <c r="A31" i="7"/>
  <c r="G30" i="7"/>
  <c r="F30" i="7"/>
  <c r="E30" i="7"/>
  <c r="C30" i="7"/>
  <c r="B30" i="7"/>
  <c r="A30" i="7"/>
  <c r="G29" i="7"/>
  <c r="F29" i="7"/>
  <c r="E29" i="7"/>
  <c r="C29" i="7"/>
  <c r="B29" i="7"/>
  <c r="A29" i="7"/>
  <c r="G28" i="7"/>
  <c r="F28" i="7"/>
  <c r="E28" i="7"/>
  <c r="C28" i="7"/>
  <c r="B28" i="7"/>
  <c r="A28" i="7"/>
  <c r="G27" i="7"/>
  <c r="F27" i="7"/>
  <c r="E27" i="7"/>
  <c r="C27" i="7"/>
  <c r="B27" i="7"/>
  <c r="A27" i="7"/>
  <c r="G26" i="7"/>
  <c r="F26" i="7"/>
  <c r="E26" i="7"/>
  <c r="C26" i="7"/>
  <c r="B26" i="7"/>
  <c r="A26" i="7"/>
  <c r="G25" i="7"/>
  <c r="F25" i="7"/>
  <c r="E25" i="7"/>
  <c r="C25" i="7"/>
  <c r="B25" i="7"/>
  <c r="A25" i="7"/>
  <c r="G24" i="7"/>
  <c r="F24" i="7"/>
  <c r="E24" i="7"/>
  <c r="C24" i="7"/>
  <c r="B24" i="7"/>
  <c r="A24" i="7"/>
  <c r="G23" i="7"/>
  <c r="F23" i="7"/>
  <c r="E23" i="7"/>
  <c r="C23" i="7"/>
  <c r="B23" i="7"/>
  <c r="A23" i="7"/>
  <c r="G22" i="7"/>
  <c r="F22" i="7"/>
  <c r="E22" i="7"/>
  <c r="C22" i="7"/>
  <c r="B22" i="7"/>
  <c r="A22" i="7"/>
  <c r="G21" i="7"/>
  <c r="F21" i="7"/>
  <c r="E21" i="7"/>
  <c r="C21" i="7"/>
  <c r="B21" i="7"/>
  <c r="A21" i="7"/>
  <c r="D20" i="7"/>
  <c r="G19" i="7"/>
  <c r="F19" i="7"/>
  <c r="E19" i="7"/>
  <c r="C19" i="7"/>
  <c r="B19" i="7"/>
  <c r="A19" i="7"/>
  <c r="G18" i="7"/>
  <c r="F18" i="7"/>
  <c r="E18" i="7"/>
  <c r="C18" i="7"/>
  <c r="B18" i="7"/>
  <c r="A18" i="7"/>
  <c r="G17" i="7"/>
  <c r="F17" i="7"/>
  <c r="E17" i="7"/>
  <c r="C17" i="7"/>
  <c r="B17" i="7"/>
  <c r="A17" i="7"/>
  <c r="G16" i="7"/>
  <c r="F16" i="7"/>
  <c r="E16" i="7"/>
  <c r="C16" i="7"/>
  <c r="B16" i="7"/>
  <c r="A16" i="7"/>
  <c r="G15" i="7"/>
  <c r="F15" i="7"/>
  <c r="E15" i="7"/>
  <c r="C15" i="7"/>
  <c r="B15" i="7"/>
  <c r="A15" i="7"/>
  <c r="G14" i="7"/>
  <c r="F14" i="7"/>
  <c r="E14" i="7"/>
  <c r="C14" i="7"/>
  <c r="B14" i="7"/>
  <c r="A14" i="7"/>
  <c r="G13" i="7"/>
  <c r="F13" i="7"/>
  <c r="E13" i="7"/>
  <c r="C13" i="7"/>
  <c r="B13" i="7"/>
  <c r="A13" i="7"/>
  <c r="G12" i="7"/>
  <c r="F12" i="7"/>
  <c r="E12" i="7"/>
  <c r="C12" i="7"/>
  <c r="B12" i="7"/>
  <c r="A12" i="7"/>
  <c r="G11" i="7"/>
  <c r="F11" i="7"/>
  <c r="E11" i="7"/>
  <c r="C11" i="7"/>
  <c r="B11" i="7"/>
  <c r="A11" i="7"/>
  <c r="G10" i="7"/>
  <c r="F10" i="7"/>
  <c r="E10" i="7"/>
  <c r="C10" i="7"/>
  <c r="B10" i="7"/>
  <c r="A10" i="7"/>
  <c r="G9" i="7"/>
  <c r="F9" i="7"/>
  <c r="E9" i="7"/>
  <c r="C9" i="7"/>
  <c r="B9" i="7"/>
  <c r="A9" i="7"/>
  <c r="D8" i="7"/>
  <c r="B6" i="7"/>
  <c r="G319" i="5"/>
  <c r="F319" i="5"/>
  <c r="E319" i="5"/>
  <c r="C319" i="5"/>
  <c r="B319" i="5"/>
  <c r="A319" i="5"/>
  <c r="G318" i="5"/>
  <c r="F318" i="5"/>
  <c r="E318" i="5"/>
  <c r="C318" i="5"/>
  <c r="B318" i="5"/>
  <c r="A318" i="5"/>
  <c r="G317" i="5"/>
  <c r="F317" i="5"/>
  <c r="E317" i="5"/>
  <c r="C317" i="5"/>
  <c r="B317" i="5"/>
  <c r="A317" i="5"/>
  <c r="G316" i="5"/>
  <c r="F316" i="5"/>
  <c r="E316" i="5"/>
  <c r="C316" i="5"/>
  <c r="B316" i="5"/>
  <c r="A316" i="5"/>
  <c r="G315" i="5"/>
  <c r="F315" i="5"/>
  <c r="E315" i="5"/>
  <c r="C315" i="5"/>
  <c r="B315" i="5"/>
  <c r="A315" i="5"/>
  <c r="G314" i="5"/>
  <c r="F314" i="5"/>
  <c r="E314" i="5"/>
  <c r="C314" i="5"/>
  <c r="B314" i="5"/>
  <c r="A314" i="5"/>
  <c r="G313" i="5"/>
  <c r="F313" i="5"/>
  <c r="E313" i="5"/>
  <c r="C313" i="5"/>
  <c r="B313" i="5"/>
  <c r="A313" i="5"/>
  <c r="G312" i="5"/>
  <c r="F312" i="5"/>
  <c r="E312" i="5"/>
  <c r="C312" i="5"/>
  <c r="B312" i="5"/>
  <c r="A312" i="5"/>
  <c r="G311" i="5"/>
  <c r="F311" i="5"/>
  <c r="E311" i="5"/>
  <c r="C311" i="5"/>
  <c r="B311" i="5"/>
  <c r="A311" i="5"/>
  <c r="G310" i="5"/>
  <c r="F310" i="5"/>
  <c r="E310" i="5"/>
  <c r="C310" i="5"/>
  <c r="B310" i="5"/>
  <c r="A310" i="5"/>
  <c r="E309" i="5"/>
  <c r="G308" i="5"/>
  <c r="F308" i="5"/>
  <c r="E308" i="5"/>
  <c r="C308" i="5"/>
  <c r="B308" i="5"/>
  <c r="A308" i="5"/>
  <c r="G307" i="5"/>
  <c r="F307" i="5"/>
  <c r="E307" i="5"/>
  <c r="C307" i="5"/>
  <c r="B307" i="5"/>
  <c r="A307" i="5"/>
  <c r="G306" i="5"/>
  <c r="F306" i="5"/>
  <c r="E306" i="5"/>
  <c r="C306" i="5"/>
  <c r="B306" i="5"/>
  <c r="A306" i="5"/>
  <c r="G305" i="5"/>
  <c r="F305" i="5"/>
  <c r="E305" i="5"/>
  <c r="C305" i="5"/>
  <c r="B305" i="5"/>
  <c r="A305" i="5"/>
  <c r="G304" i="5"/>
  <c r="F304" i="5"/>
  <c r="E304" i="5"/>
  <c r="C304" i="5"/>
  <c r="B304" i="5"/>
  <c r="A304" i="5"/>
  <c r="G303" i="5"/>
  <c r="F303" i="5"/>
  <c r="E303" i="5"/>
  <c r="C303" i="5"/>
  <c r="B303" i="5"/>
  <c r="A303" i="5"/>
  <c r="G302" i="5"/>
  <c r="F302" i="5"/>
  <c r="E302" i="5"/>
  <c r="C302" i="5"/>
  <c r="B302" i="5"/>
  <c r="A302" i="5"/>
  <c r="G301" i="5"/>
  <c r="F301" i="5"/>
  <c r="E301" i="5"/>
  <c r="C301" i="5"/>
  <c r="B301" i="5"/>
  <c r="A301" i="5"/>
  <c r="G300" i="5"/>
  <c r="F300" i="5"/>
  <c r="E300" i="5"/>
  <c r="C300" i="5"/>
  <c r="B300" i="5"/>
  <c r="A300" i="5"/>
  <c r="G299" i="5"/>
  <c r="F299" i="5"/>
  <c r="E299" i="5"/>
  <c r="C299" i="5"/>
  <c r="B299" i="5"/>
  <c r="A299" i="5"/>
  <c r="E298" i="5"/>
  <c r="G297" i="5"/>
  <c r="F297" i="5"/>
  <c r="E297" i="5"/>
  <c r="C297" i="5"/>
  <c r="B297" i="5"/>
  <c r="G296" i="5"/>
  <c r="F296" i="5"/>
  <c r="E296" i="5"/>
  <c r="C296" i="5"/>
  <c r="B296" i="5"/>
  <c r="A296" i="5"/>
  <c r="G295" i="5"/>
  <c r="F295" i="5"/>
  <c r="E295" i="5"/>
  <c r="C295" i="5"/>
  <c r="B295" i="5"/>
  <c r="A295" i="5"/>
  <c r="G294" i="5"/>
  <c r="F294" i="5"/>
  <c r="E294" i="5"/>
  <c r="C294" i="5"/>
  <c r="B294" i="5"/>
  <c r="A294" i="5"/>
  <c r="G293" i="5"/>
  <c r="F293" i="5"/>
  <c r="E293" i="5"/>
  <c r="C293" i="5"/>
  <c r="B293" i="5"/>
  <c r="A293" i="5"/>
  <c r="G292" i="5"/>
  <c r="F292" i="5"/>
  <c r="E292" i="5"/>
  <c r="C292" i="5"/>
  <c r="B292" i="5"/>
  <c r="A292" i="5"/>
  <c r="G291" i="5"/>
  <c r="F291" i="5"/>
  <c r="E291" i="5"/>
  <c r="C291" i="5"/>
  <c r="B291" i="5"/>
  <c r="A291" i="5"/>
  <c r="G290" i="5"/>
  <c r="F290" i="5"/>
  <c r="E290" i="5"/>
  <c r="C290" i="5"/>
  <c r="B290" i="5"/>
  <c r="A290" i="5"/>
  <c r="G289" i="5"/>
  <c r="F289" i="5"/>
  <c r="E289" i="5"/>
  <c r="C289" i="5"/>
  <c r="B289" i="5"/>
  <c r="A289" i="5"/>
  <c r="G288" i="5"/>
  <c r="F288" i="5"/>
  <c r="E288" i="5"/>
  <c r="C288" i="5"/>
  <c r="B288" i="5"/>
  <c r="A288" i="5"/>
  <c r="G287" i="5"/>
  <c r="F287" i="5"/>
  <c r="E287" i="5"/>
  <c r="C287" i="5"/>
  <c r="B287" i="5"/>
  <c r="A287" i="5"/>
  <c r="E286" i="5"/>
  <c r="G285" i="5"/>
  <c r="F285" i="5"/>
  <c r="E285" i="5"/>
  <c r="C285" i="5"/>
  <c r="B285" i="5"/>
  <c r="G284" i="5"/>
  <c r="F284" i="5"/>
  <c r="E284" i="5"/>
  <c r="C284" i="5"/>
  <c r="B284" i="5"/>
  <c r="A284" i="5"/>
  <c r="G283" i="5"/>
  <c r="F283" i="5"/>
  <c r="E283" i="5"/>
  <c r="C283" i="5"/>
  <c r="B283" i="5"/>
  <c r="A283" i="5"/>
  <c r="G282" i="5"/>
  <c r="F282" i="5"/>
  <c r="E282" i="5"/>
  <c r="C282" i="5"/>
  <c r="B282" i="5"/>
  <c r="A282" i="5"/>
  <c r="G281" i="5"/>
  <c r="F281" i="5"/>
  <c r="E281" i="5"/>
  <c r="C281" i="5"/>
  <c r="B281" i="5"/>
  <c r="A281" i="5"/>
  <c r="G280" i="5"/>
  <c r="F280" i="5"/>
  <c r="E280" i="5"/>
  <c r="C280" i="5"/>
  <c r="B280" i="5"/>
  <c r="A280" i="5"/>
  <c r="G279" i="5"/>
  <c r="F279" i="5"/>
  <c r="E279" i="5"/>
  <c r="C279" i="5"/>
  <c r="B279" i="5"/>
  <c r="A279" i="5"/>
  <c r="G278" i="5"/>
  <c r="F278" i="5"/>
  <c r="E278" i="5"/>
  <c r="C278" i="5"/>
  <c r="B278" i="5"/>
  <c r="A278" i="5"/>
  <c r="G277" i="5"/>
  <c r="F277" i="5"/>
  <c r="E277" i="5"/>
  <c r="C277" i="5"/>
  <c r="B277" i="5"/>
  <c r="A277" i="5"/>
  <c r="G276" i="5"/>
  <c r="F276" i="5"/>
  <c r="E276" i="5"/>
  <c r="C276" i="5"/>
  <c r="B276" i="5"/>
  <c r="A276" i="5"/>
  <c r="G275" i="5"/>
  <c r="F275" i="5"/>
  <c r="E275" i="5"/>
  <c r="C275" i="5"/>
  <c r="B275" i="5"/>
  <c r="A275" i="5"/>
  <c r="E274" i="5"/>
  <c r="G273" i="5"/>
  <c r="F273" i="5"/>
  <c r="E273" i="5"/>
  <c r="C273" i="5"/>
  <c r="B273" i="5"/>
  <c r="G272" i="5"/>
  <c r="F272" i="5"/>
  <c r="E272" i="5"/>
  <c r="C272" i="5"/>
  <c r="B272" i="5"/>
  <c r="A272" i="5"/>
  <c r="G271" i="5"/>
  <c r="F271" i="5"/>
  <c r="E271" i="5"/>
  <c r="C271" i="5"/>
  <c r="B271" i="5"/>
  <c r="A271" i="5"/>
  <c r="G270" i="5"/>
  <c r="F270" i="5"/>
  <c r="E270" i="5"/>
  <c r="C270" i="5"/>
  <c r="B270" i="5"/>
  <c r="A270" i="5"/>
  <c r="G269" i="5"/>
  <c r="F269" i="5"/>
  <c r="E269" i="5"/>
  <c r="C269" i="5"/>
  <c r="B269" i="5"/>
  <c r="A269" i="5"/>
  <c r="G268" i="5"/>
  <c r="F268" i="5"/>
  <c r="E268" i="5"/>
  <c r="C268" i="5"/>
  <c r="B268" i="5"/>
  <c r="A268" i="5"/>
  <c r="G267" i="5"/>
  <c r="F267" i="5"/>
  <c r="E267" i="5"/>
  <c r="C267" i="5"/>
  <c r="B267" i="5"/>
  <c r="A267" i="5"/>
  <c r="G266" i="5"/>
  <c r="F266" i="5"/>
  <c r="E266" i="5"/>
  <c r="C266" i="5"/>
  <c r="B266" i="5"/>
  <c r="A266" i="5"/>
  <c r="G265" i="5"/>
  <c r="F265" i="5"/>
  <c r="E265" i="5"/>
  <c r="C265" i="5"/>
  <c r="B265" i="5"/>
  <c r="A265" i="5"/>
  <c r="G264" i="5"/>
  <c r="F264" i="5"/>
  <c r="E264" i="5"/>
  <c r="C264" i="5"/>
  <c r="B264" i="5"/>
  <c r="A264" i="5"/>
  <c r="G263" i="5"/>
  <c r="F263" i="5"/>
  <c r="E263" i="5"/>
  <c r="C263" i="5"/>
  <c r="B263" i="5"/>
  <c r="A263" i="5"/>
  <c r="E262" i="5"/>
  <c r="G261" i="5"/>
  <c r="F261" i="5"/>
  <c r="E261" i="5"/>
  <c r="C261" i="5"/>
  <c r="B261" i="5"/>
  <c r="G260" i="5"/>
  <c r="F260" i="5"/>
  <c r="E260" i="5"/>
  <c r="C260" i="5"/>
  <c r="B260" i="5"/>
  <c r="A260" i="5"/>
  <c r="G259" i="5"/>
  <c r="F259" i="5"/>
  <c r="E259" i="5"/>
  <c r="C259" i="5"/>
  <c r="B259" i="5"/>
  <c r="A259" i="5"/>
  <c r="G258" i="5"/>
  <c r="F258" i="5"/>
  <c r="E258" i="5"/>
  <c r="C258" i="5"/>
  <c r="B258" i="5"/>
  <c r="A258" i="5"/>
  <c r="G257" i="5"/>
  <c r="F257" i="5"/>
  <c r="E257" i="5"/>
  <c r="C257" i="5"/>
  <c r="B257" i="5"/>
  <c r="A257" i="5"/>
  <c r="G256" i="5"/>
  <c r="F256" i="5"/>
  <c r="E256" i="5"/>
  <c r="C256" i="5"/>
  <c r="B256" i="5"/>
  <c r="A256" i="5"/>
  <c r="G255" i="5"/>
  <c r="F255" i="5"/>
  <c r="E255" i="5"/>
  <c r="C255" i="5"/>
  <c r="B255" i="5"/>
  <c r="A255" i="5"/>
  <c r="G254" i="5"/>
  <c r="F254" i="5"/>
  <c r="E254" i="5"/>
  <c r="C254" i="5"/>
  <c r="B254" i="5"/>
  <c r="A254" i="5"/>
  <c r="G253" i="5"/>
  <c r="F253" i="5"/>
  <c r="E253" i="5"/>
  <c r="C253" i="5"/>
  <c r="B253" i="5"/>
  <c r="A253" i="5"/>
  <c r="G252" i="5"/>
  <c r="F252" i="5"/>
  <c r="E252" i="5"/>
  <c r="C252" i="5"/>
  <c r="B252" i="5"/>
  <c r="A252" i="5"/>
  <c r="G251" i="5"/>
  <c r="F251" i="5"/>
  <c r="E251" i="5"/>
  <c r="C251" i="5"/>
  <c r="B251" i="5"/>
  <c r="A251" i="5"/>
  <c r="E250" i="5"/>
  <c r="G249" i="5"/>
  <c r="F249" i="5"/>
  <c r="E249" i="5"/>
  <c r="C249" i="5"/>
  <c r="B249" i="5"/>
  <c r="G248" i="5"/>
  <c r="F248" i="5"/>
  <c r="E248" i="5"/>
  <c r="C248" i="5"/>
  <c r="B248" i="5"/>
  <c r="A248" i="5"/>
  <c r="G247" i="5"/>
  <c r="F247" i="5"/>
  <c r="E247" i="5"/>
  <c r="C247" i="5"/>
  <c r="B247" i="5"/>
  <c r="A247" i="5"/>
  <c r="G246" i="5"/>
  <c r="F246" i="5"/>
  <c r="E246" i="5"/>
  <c r="C246" i="5"/>
  <c r="B246" i="5"/>
  <c r="A246" i="5"/>
  <c r="G245" i="5"/>
  <c r="F245" i="5"/>
  <c r="E245" i="5"/>
  <c r="C245" i="5"/>
  <c r="B245" i="5"/>
  <c r="A245" i="5"/>
  <c r="G244" i="5"/>
  <c r="F244" i="5"/>
  <c r="E244" i="5"/>
  <c r="C244" i="5"/>
  <c r="B244" i="5"/>
  <c r="A244" i="5"/>
  <c r="G243" i="5"/>
  <c r="F243" i="5"/>
  <c r="E243" i="5"/>
  <c r="C243" i="5"/>
  <c r="B243" i="5"/>
  <c r="A243" i="5"/>
  <c r="G242" i="5"/>
  <c r="F242" i="5"/>
  <c r="E242" i="5"/>
  <c r="C242" i="5"/>
  <c r="B242" i="5"/>
  <c r="A242" i="5"/>
  <c r="G241" i="5"/>
  <c r="F241" i="5"/>
  <c r="E241" i="5"/>
  <c r="C241" i="5"/>
  <c r="B241" i="5"/>
  <c r="A241" i="5"/>
  <c r="G240" i="5"/>
  <c r="F240" i="5"/>
  <c r="E240" i="5"/>
  <c r="C240" i="5"/>
  <c r="B240" i="5"/>
  <c r="A240" i="5"/>
  <c r="G239" i="5"/>
  <c r="F239" i="5"/>
  <c r="E239" i="5"/>
  <c r="C239" i="5"/>
  <c r="B239" i="5"/>
  <c r="A239" i="5"/>
  <c r="E238" i="5"/>
  <c r="G237" i="5"/>
  <c r="F237" i="5"/>
  <c r="E237" i="5"/>
  <c r="C237" i="5"/>
  <c r="B237" i="5"/>
  <c r="G236" i="5"/>
  <c r="F236" i="5"/>
  <c r="E236" i="5"/>
  <c r="C236" i="5"/>
  <c r="B236" i="5"/>
  <c r="A236" i="5"/>
  <c r="G235" i="5"/>
  <c r="F235" i="5"/>
  <c r="E235" i="5"/>
  <c r="C235" i="5"/>
  <c r="B235" i="5"/>
  <c r="A235" i="5"/>
  <c r="G234" i="5"/>
  <c r="F234" i="5"/>
  <c r="E234" i="5"/>
  <c r="C234" i="5"/>
  <c r="B234" i="5"/>
  <c r="A234" i="5"/>
  <c r="G233" i="5"/>
  <c r="F233" i="5"/>
  <c r="E233" i="5"/>
  <c r="C233" i="5"/>
  <c r="B233" i="5"/>
  <c r="A233" i="5"/>
  <c r="G232" i="5"/>
  <c r="F232" i="5"/>
  <c r="E232" i="5"/>
  <c r="C232" i="5"/>
  <c r="B232" i="5"/>
  <c r="A232" i="5"/>
  <c r="G231" i="5"/>
  <c r="F231" i="5"/>
  <c r="E231" i="5"/>
  <c r="C231" i="5"/>
  <c r="B231" i="5"/>
  <c r="A231" i="5"/>
  <c r="G230" i="5"/>
  <c r="F230" i="5"/>
  <c r="E230" i="5"/>
  <c r="C230" i="5"/>
  <c r="B230" i="5"/>
  <c r="A230" i="5"/>
  <c r="G229" i="5"/>
  <c r="F229" i="5"/>
  <c r="E229" i="5"/>
  <c r="C229" i="5"/>
  <c r="B229" i="5"/>
  <c r="A229" i="5"/>
  <c r="G228" i="5"/>
  <c r="F228" i="5"/>
  <c r="E228" i="5"/>
  <c r="C228" i="5"/>
  <c r="B228" i="5"/>
  <c r="A228" i="5"/>
  <c r="G227" i="5"/>
  <c r="F227" i="5"/>
  <c r="E227" i="5"/>
  <c r="C227" i="5"/>
  <c r="B227" i="5"/>
  <c r="A227" i="5"/>
  <c r="E226" i="5"/>
  <c r="G225" i="5"/>
  <c r="F225" i="5"/>
  <c r="E225" i="5"/>
  <c r="C225" i="5"/>
  <c r="B225" i="5"/>
  <c r="G224" i="5"/>
  <c r="F224" i="5"/>
  <c r="E224" i="5"/>
  <c r="C224" i="5"/>
  <c r="B224" i="5"/>
  <c r="A224" i="5"/>
  <c r="G223" i="5"/>
  <c r="F223" i="5"/>
  <c r="E223" i="5"/>
  <c r="C223" i="5"/>
  <c r="B223" i="5"/>
  <c r="A223" i="5"/>
  <c r="G222" i="5"/>
  <c r="F222" i="5"/>
  <c r="E222" i="5"/>
  <c r="C222" i="5"/>
  <c r="B222" i="5"/>
  <c r="A222" i="5"/>
  <c r="G221" i="5"/>
  <c r="F221" i="5"/>
  <c r="E221" i="5"/>
  <c r="C221" i="5"/>
  <c r="B221" i="5"/>
  <c r="A221" i="5"/>
  <c r="G220" i="5"/>
  <c r="F220" i="5"/>
  <c r="E220" i="5"/>
  <c r="C220" i="5"/>
  <c r="B220" i="5"/>
  <c r="A220" i="5"/>
  <c r="G219" i="5"/>
  <c r="F219" i="5"/>
  <c r="E219" i="5"/>
  <c r="C219" i="5"/>
  <c r="B219" i="5"/>
  <c r="A219" i="5"/>
  <c r="G218" i="5"/>
  <c r="F218" i="5"/>
  <c r="E218" i="5"/>
  <c r="C218" i="5"/>
  <c r="B218" i="5"/>
  <c r="A218" i="5"/>
  <c r="G217" i="5"/>
  <c r="F217" i="5"/>
  <c r="E217" i="5"/>
  <c r="C217" i="5"/>
  <c r="B217" i="5"/>
  <c r="A217" i="5"/>
  <c r="G216" i="5"/>
  <c r="F216" i="5"/>
  <c r="E216" i="5"/>
  <c r="C216" i="5"/>
  <c r="B216" i="5"/>
  <c r="A216" i="5"/>
  <c r="G215" i="5"/>
  <c r="F215" i="5"/>
  <c r="E215" i="5"/>
  <c r="C215" i="5"/>
  <c r="B215" i="5"/>
  <c r="A215" i="5"/>
  <c r="E214" i="5"/>
  <c r="G213" i="5"/>
  <c r="F213" i="5"/>
  <c r="E213" i="5"/>
  <c r="B213" i="5"/>
  <c r="G178" i="5"/>
  <c r="F178" i="5"/>
  <c r="E178" i="5"/>
  <c r="C178" i="5"/>
  <c r="B178" i="5"/>
  <c r="A178" i="5"/>
  <c r="D177" i="5"/>
  <c r="G176" i="5"/>
  <c r="F176" i="5"/>
  <c r="E176" i="5"/>
  <c r="C176" i="5"/>
  <c r="B176" i="5"/>
  <c r="G175" i="5"/>
  <c r="F175" i="5"/>
  <c r="E175" i="5"/>
  <c r="C175" i="5"/>
  <c r="B175" i="5"/>
  <c r="A175" i="5"/>
  <c r="G174" i="5"/>
  <c r="F174" i="5"/>
  <c r="E174" i="5"/>
  <c r="C174" i="5"/>
  <c r="B174" i="5"/>
  <c r="A174" i="5"/>
  <c r="G173" i="5"/>
  <c r="F173" i="5"/>
  <c r="E173" i="5"/>
  <c r="C173" i="5"/>
  <c r="B173" i="5"/>
  <c r="A173" i="5"/>
  <c r="G172" i="5"/>
  <c r="F172" i="5"/>
  <c r="E172" i="5"/>
  <c r="C172" i="5"/>
  <c r="B172" i="5"/>
  <c r="A172" i="5"/>
  <c r="G171" i="5"/>
  <c r="F171" i="5"/>
  <c r="E171" i="5"/>
  <c r="C171" i="5"/>
  <c r="B171" i="5"/>
  <c r="A171" i="5"/>
  <c r="G170" i="5"/>
  <c r="F170" i="5"/>
  <c r="E170" i="5"/>
  <c r="C170" i="5"/>
  <c r="B170" i="5"/>
  <c r="A170" i="5"/>
  <c r="G169" i="5"/>
  <c r="F169" i="5"/>
  <c r="E169" i="5"/>
  <c r="C169" i="5"/>
  <c r="B169" i="5"/>
  <c r="A169" i="5"/>
  <c r="G168" i="5"/>
  <c r="F168" i="5"/>
  <c r="E168" i="5"/>
  <c r="C168" i="5"/>
  <c r="B168" i="5"/>
  <c r="A168" i="5"/>
  <c r="G167" i="5"/>
  <c r="F167" i="5"/>
  <c r="E167" i="5"/>
  <c r="C167" i="5"/>
  <c r="B167" i="5"/>
  <c r="A167" i="5"/>
  <c r="G166" i="5"/>
  <c r="F166" i="5"/>
  <c r="E166" i="5"/>
  <c r="C166" i="5"/>
  <c r="B166" i="5"/>
  <c r="A166" i="5"/>
  <c r="G165" i="5"/>
  <c r="F165" i="5"/>
  <c r="E165" i="5"/>
  <c r="C165" i="5"/>
  <c r="B165" i="5"/>
  <c r="A165" i="5"/>
  <c r="G164" i="5"/>
  <c r="F164" i="5"/>
  <c r="E164" i="5"/>
  <c r="C164" i="5"/>
  <c r="B164" i="5"/>
  <c r="A164" i="5"/>
  <c r="D163" i="5"/>
  <c r="G162" i="5"/>
  <c r="F162" i="5"/>
  <c r="E162" i="5"/>
  <c r="C162" i="5"/>
  <c r="B162" i="5"/>
  <c r="G161" i="5"/>
  <c r="F161" i="5"/>
  <c r="E161" i="5"/>
  <c r="C161" i="5"/>
  <c r="B161" i="5"/>
  <c r="A161" i="5"/>
  <c r="G160" i="5"/>
  <c r="F160" i="5"/>
  <c r="E160" i="5"/>
  <c r="C160" i="5"/>
  <c r="B160" i="5"/>
  <c r="A160" i="5"/>
  <c r="G159" i="5"/>
  <c r="F159" i="5"/>
  <c r="E159" i="5"/>
  <c r="C159" i="5"/>
  <c r="B159" i="5"/>
  <c r="A159" i="5"/>
  <c r="G158" i="5"/>
  <c r="F158" i="5"/>
  <c r="E158" i="5"/>
  <c r="C158" i="5"/>
  <c r="B158" i="5"/>
  <c r="A158" i="5"/>
  <c r="G157" i="5"/>
  <c r="F157" i="5"/>
  <c r="E157" i="5"/>
  <c r="C157" i="5"/>
  <c r="B157" i="5"/>
  <c r="A157" i="5"/>
  <c r="G156" i="5"/>
  <c r="F156" i="5"/>
  <c r="E156" i="5"/>
  <c r="C156" i="5"/>
  <c r="B156" i="5"/>
  <c r="A156" i="5"/>
  <c r="G155" i="5"/>
  <c r="F155" i="5"/>
  <c r="E155" i="5"/>
  <c r="C155" i="5"/>
  <c r="B155" i="5"/>
  <c r="A155" i="5"/>
  <c r="G154" i="5"/>
  <c r="F154" i="5"/>
  <c r="E154" i="5"/>
  <c r="C154" i="5"/>
  <c r="B154" i="5"/>
  <c r="A154" i="5"/>
  <c r="G153" i="5"/>
  <c r="F153" i="5"/>
  <c r="E153" i="5"/>
  <c r="C153" i="5"/>
  <c r="B153" i="5"/>
  <c r="A153" i="5"/>
  <c r="G152" i="5"/>
  <c r="F152" i="5"/>
  <c r="E152" i="5"/>
  <c r="C152" i="5"/>
  <c r="B152" i="5"/>
  <c r="A152" i="5"/>
  <c r="G151" i="5"/>
  <c r="F151" i="5"/>
  <c r="E151" i="5"/>
  <c r="C151" i="5"/>
  <c r="B151" i="5"/>
  <c r="A151" i="5"/>
  <c r="G150" i="5"/>
  <c r="F150" i="5"/>
  <c r="E150" i="5"/>
  <c r="C150" i="5"/>
  <c r="B150" i="5"/>
  <c r="A150" i="5"/>
  <c r="D149" i="5"/>
  <c r="G148" i="5"/>
  <c r="F148" i="5"/>
  <c r="E148" i="5"/>
  <c r="C148" i="5"/>
  <c r="B148" i="5"/>
  <c r="G147" i="5"/>
  <c r="F147" i="5"/>
  <c r="E147" i="5"/>
  <c r="C147" i="5"/>
  <c r="B147" i="5"/>
  <c r="A147" i="5"/>
  <c r="G146" i="5"/>
  <c r="F146" i="5"/>
  <c r="E146" i="5"/>
  <c r="C146" i="5"/>
  <c r="B146" i="5"/>
  <c r="A146" i="5"/>
  <c r="G145" i="5"/>
  <c r="F145" i="5"/>
  <c r="E145" i="5"/>
  <c r="C145" i="5"/>
  <c r="B145" i="5"/>
  <c r="A145" i="5"/>
  <c r="G144" i="5"/>
  <c r="F144" i="5"/>
  <c r="E144" i="5"/>
  <c r="C144" i="5"/>
  <c r="B144" i="5"/>
  <c r="A144" i="5"/>
  <c r="G143" i="5"/>
  <c r="F143" i="5"/>
  <c r="E143" i="5"/>
  <c r="C143" i="5"/>
  <c r="B143" i="5"/>
  <c r="A143" i="5"/>
  <c r="G142" i="5"/>
  <c r="F142" i="5"/>
  <c r="E142" i="5"/>
  <c r="C142" i="5"/>
  <c r="B142" i="5"/>
  <c r="A142" i="5"/>
  <c r="G141" i="5"/>
  <c r="F141" i="5"/>
  <c r="E141" i="5"/>
  <c r="C141" i="5"/>
  <c r="B141" i="5"/>
  <c r="A141" i="5"/>
  <c r="G140" i="5"/>
  <c r="F140" i="5"/>
  <c r="E140" i="5"/>
  <c r="C140" i="5"/>
  <c r="B140" i="5"/>
  <c r="A140" i="5"/>
  <c r="G139" i="5"/>
  <c r="F139" i="5"/>
  <c r="E139" i="5"/>
  <c r="C139" i="5"/>
  <c r="B139" i="5"/>
  <c r="A139" i="5"/>
  <c r="G138" i="5"/>
  <c r="F138" i="5"/>
  <c r="E138" i="5"/>
  <c r="C138" i="5"/>
  <c r="B138" i="5"/>
  <c r="A138" i="5"/>
  <c r="G137" i="5"/>
  <c r="F137" i="5"/>
  <c r="E137" i="5"/>
  <c r="C137" i="5"/>
  <c r="B137" i="5"/>
  <c r="A137" i="5"/>
  <c r="G136" i="5"/>
  <c r="F136" i="5"/>
  <c r="E136" i="5"/>
  <c r="C136" i="5"/>
  <c r="B136" i="5"/>
  <c r="A136" i="5"/>
  <c r="D135" i="5"/>
  <c r="G134" i="5"/>
  <c r="F134" i="5"/>
  <c r="E134" i="5"/>
  <c r="C134" i="5"/>
  <c r="B134" i="5"/>
  <c r="G133" i="5"/>
  <c r="F133" i="5"/>
  <c r="E133" i="5"/>
  <c r="C133" i="5"/>
  <c r="B133" i="5"/>
  <c r="A133" i="5"/>
  <c r="G132" i="5"/>
  <c r="F132" i="5"/>
  <c r="E132" i="5"/>
  <c r="C132" i="5"/>
  <c r="B132" i="5"/>
  <c r="A132" i="5"/>
  <c r="G131" i="5"/>
  <c r="F131" i="5"/>
  <c r="E131" i="5"/>
  <c r="C131" i="5"/>
  <c r="B131" i="5"/>
  <c r="A131" i="5"/>
  <c r="G130" i="5"/>
  <c r="F130" i="5"/>
  <c r="E130" i="5"/>
  <c r="C130" i="5"/>
  <c r="B130" i="5"/>
  <c r="A130" i="5"/>
  <c r="G129" i="5"/>
  <c r="F129" i="5"/>
  <c r="E129" i="5"/>
  <c r="C129" i="5"/>
  <c r="B129" i="5"/>
  <c r="A129" i="5"/>
  <c r="G128" i="5"/>
  <c r="F128" i="5"/>
  <c r="E128" i="5"/>
  <c r="C128" i="5"/>
  <c r="B128" i="5"/>
  <c r="A128" i="5"/>
  <c r="G127" i="5"/>
  <c r="F127" i="5"/>
  <c r="E127" i="5"/>
  <c r="C127" i="5"/>
  <c r="B127" i="5"/>
  <c r="A127" i="5"/>
  <c r="G126" i="5"/>
  <c r="F126" i="5"/>
  <c r="E126" i="5"/>
  <c r="C126" i="5"/>
  <c r="B126" i="5"/>
  <c r="A126" i="5"/>
  <c r="G125" i="5"/>
  <c r="F125" i="5"/>
  <c r="E125" i="5"/>
  <c r="C125" i="5"/>
  <c r="B125" i="5"/>
  <c r="A125" i="5"/>
  <c r="G124" i="5"/>
  <c r="F124" i="5"/>
  <c r="E124" i="5"/>
  <c r="C124" i="5"/>
  <c r="B124" i="5"/>
  <c r="A124" i="5"/>
  <c r="G123" i="5"/>
  <c r="F123" i="5"/>
  <c r="E123" i="5"/>
  <c r="C123" i="5"/>
  <c r="B123" i="5"/>
  <c r="A123" i="5"/>
  <c r="G122" i="5"/>
  <c r="F122" i="5"/>
  <c r="E122" i="5"/>
  <c r="C122" i="5"/>
  <c r="B122" i="5"/>
  <c r="A122" i="5"/>
  <c r="D121" i="5"/>
  <c r="G120" i="5"/>
  <c r="F120" i="5"/>
  <c r="E120" i="5"/>
  <c r="C120" i="5"/>
  <c r="B120" i="5"/>
  <c r="A120" i="5"/>
  <c r="G119" i="5"/>
  <c r="F119" i="5"/>
  <c r="E119" i="5"/>
  <c r="C119" i="5"/>
  <c r="B119" i="5"/>
  <c r="A119" i="5"/>
  <c r="G118" i="5"/>
  <c r="F118" i="5"/>
  <c r="E118" i="5"/>
  <c r="C118" i="5"/>
  <c r="B118" i="5"/>
  <c r="A118" i="5"/>
  <c r="G117" i="5"/>
  <c r="F117" i="5"/>
  <c r="E117" i="5"/>
  <c r="C117" i="5"/>
  <c r="B117" i="5"/>
  <c r="A117" i="5"/>
  <c r="G116" i="5"/>
  <c r="F116" i="5"/>
  <c r="E116" i="5"/>
  <c r="C116" i="5"/>
  <c r="B116" i="5"/>
  <c r="A116" i="5"/>
  <c r="G115" i="5"/>
  <c r="F115" i="5"/>
  <c r="E115" i="5"/>
  <c r="C115" i="5"/>
  <c r="B115" i="5"/>
  <c r="A115" i="5"/>
  <c r="G114" i="5"/>
  <c r="F114" i="5"/>
  <c r="E114" i="5"/>
  <c r="C114" i="5"/>
  <c r="B114" i="5"/>
  <c r="A114" i="5"/>
  <c r="G113" i="5"/>
  <c r="F113" i="5"/>
  <c r="E113" i="5"/>
  <c r="C113" i="5"/>
  <c r="B113" i="5"/>
  <c r="A113" i="5"/>
  <c r="G112" i="5"/>
  <c r="F112" i="5"/>
  <c r="E112" i="5"/>
  <c r="C112" i="5"/>
  <c r="B112" i="5"/>
  <c r="A112" i="5"/>
  <c r="G111" i="5"/>
  <c r="F111" i="5"/>
  <c r="E111" i="5"/>
  <c r="C111" i="5"/>
  <c r="B111" i="5"/>
  <c r="A111" i="5"/>
  <c r="G110" i="5"/>
  <c r="F110" i="5"/>
  <c r="E110" i="5"/>
  <c r="C110" i="5"/>
  <c r="B110" i="5"/>
  <c r="A110" i="5"/>
  <c r="G109" i="5"/>
  <c r="F109" i="5"/>
  <c r="E109" i="5"/>
  <c r="C109" i="5"/>
  <c r="B109" i="5"/>
  <c r="A109" i="5"/>
  <c r="G108" i="5"/>
  <c r="F108" i="5"/>
  <c r="E108" i="5"/>
  <c r="C108" i="5"/>
  <c r="B108" i="5"/>
  <c r="A108" i="5"/>
  <c r="G106" i="5"/>
  <c r="F106" i="5"/>
  <c r="E106" i="5"/>
  <c r="C106" i="5"/>
  <c r="B106" i="5"/>
  <c r="A106" i="5"/>
  <c r="G105" i="5"/>
  <c r="F105" i="5"/>
  <c r="E105" i="5"/>
  <c r="C105" i="5"/>
  <c r="B105" i="5"/>
  <c r="A105" i="5"/>
  <c r="G104" i="5"/>
  <c r="F104" i="5"/>
  <c r="E104" i="5"/>
  <c r="C104" i="5"/>
  <c r="B104" i="5"/>
  <c r="A104" i="5"/>
  <c r="G103" i="5"/>
  <c r="F103" i="5"/>
  <c r="E103" i="5"/>
  <c r="C103" i="5"/>
  <c r="B103" i="5"/>
  <c r="A103" i="5"/>
  <c r="G102" i="5"/>
  <c r="F102" i="5"/>
  <c r="E102" i="5"/>
  <c r="C102" i="5"/>
  <c r="B102" i="5"/>
  <c r="A102" i="5"/>
  <c r="G101" i="5"/>
  <c r="F101" i="5"/>
  <c r="E101" i="5"/>
  <c r="C101" i="5"/>
  <c r="B101" i="5"/>
  <c r="A101" i="5"/>
  <c r="G100" i="5"/>
  <c r="F100" i="5"/>
  <c r="E100" i="5"/>
  <c r="C100" i="5"/>
  <c r="B100" i="5"/>
  <c r="A100" i="5"/>
  <c r="G99" i="5"/>
  <c r="F99" i="5"/>
  <c r="E99" i="5"/>
  <c r="C99" i="5"/>
  <c r="B99" i="5"/>
  <c r="A99" i="5"/>
  <c r="G98" i="5"/>
  <c r="F98" i="5"/>
  <c r="E98" i="5"/>
  <c r="C98" i="5"/>
  <c r="B98" i="5"/>
  <c r="A98" i="5"/>
  <c r="G97" i="5"/>
  <c r="F97" i="5"/>
  <c r="E97" i="5"/>
  <c r="C97" i="5"/>
  <c r="B97" i="5"/>
  <c r="A97" i="5"/>
  <c r="G96" i="5"/>
  <c r="F96" i="5"/>
  <c r="E96" i="5"/>
  <c r="C96" i="5"/>
  <c r="B96" i="5"/>
  <c r="A96" i="5"/>
  <c r="G95" i="5"/>
  <c r="F95" i="5"/>
  <c r="E95" i="5"/>
  <c r="C95" i="5"/>
  <c r="B95" i="5"/>
  <c r="A95" i="5"/>
  <c r="G94" i="5"/>
  <c r="F94" i="5"/>
  <c r="E94" i="5"/>
  <c r="C94" i="5"/>
  <c r="B94" i="5"/>
  <c r="A94" i="5"/>
  <c r="G92" i="5"/>
  <c r="F92" i="5"/>
  <c r="E92" i="5"/>
  <c r="C92" i="5"/>
  <c r="B92" i="5"/>
  <c r="G91" i="5"/>
  <c r="F91" i="5"/>
  <c r="E91" i="5"/>
  <c r="C91" i="5"/>
  <c r="B91" i="5"/>
  <c r="A91" i="5"/>
  <c r="G90" i="5"/>
  <c r="F90" i="5"/>
  <c r="E90" i="5"/>
  <c r="C90" i="5"/>
  <c r="B90" i="5"/>
  <c r="A90" i="5"/>
  <c r="G89" i="5"/>
  <c r="F89" i="5"/>
  <c r="E89" i="5"/>
  <c r="C89" i="5"/>
  <c r="B89" i="5"/>
  <c r="A89" i="5"/>
  <c r="G88" i="5"/>
  <c r="F88" i="5"/>
  <c r="E88" i="5"/>
  <c r="C88" i="5"/>
  <c r="B88" i="5"/>
  <c r="A88" i="5"/>
  <c r="G87" i="5"/>
  <c r="F87" i="5"/>
  <c r="E87" i="5"/>
  <c r="C87" i="5"/>
  <c r="B87" i="5"/>
  <c r="A87" i="5"/>
  <c r="G86" i="5"/>
  <c r="F86" i="5"/>
  <c r="E86" i="5"/>
  <c r="C86" i="5"/>
  <c r="B86" i="5"/>
  <c r="A86" i="5"/>
  <c r="G85" i="5"/>
  <c r="F85" i="5"/>
  <c r="E85" i="5"/>
  <c r="C85" i="5"/>
  <c r="B85" i="5"/>
  <c r="A85" i="5"/>
  <c r="G84" i="5"/>
  <c r="F84" i="5"/>
  <c r="E84" i="5"/>
  <c r="C84" i="5"/>
  <c r="B84" i="5"/>
  <c r="A84" i="5"/>
  <c r="G83" i="5"/>
  <c r="F83" i="5"/>
  <c r="E83" i="5"/>
  <c r="C83" i="5"/>
  <c r="B83" i="5"/>
  <c r="A83" i="5"/>
  <c r="G82" i="5"/>
  <c r="F82" i="5"/>
  <c r="E82" i="5"/>
  <c r="C82" i="5"/>
  <c r="B82" i="5"/>
  <c r="A82" i="5"/>
  <c r="G81" i="5"/>
  <c r="F81" i="5"/>
  <c r="E81" i="5"/>
  <c r="C81" i="5"/>
  <c r="B81" i="5"/>
  <c r="A81" i="5"/>
  <c r="G80" i="5"/>
  <c r="F80" i="5"/>
  <c r="E80" i="5"/>
  <c r="C80" i="5"/>
  <c r="B80" i="5"/>
  <c r="A80" i="5"/>
  <c r="G78" i="5"/>
  <c r="F78" i="5"/>
  <c r="E78" i="5"/>
  <c r="C78" i="5"/>
  <c r="B78" i="5"/>
  <c r="G77" i="5"/>
  <c r="F77" i="5"/>
  <c r="E77" i="5"/>
  <c r="C77" i="5"/>
  <c r="B77" i="5"/>
  <c r="A77" i="5"/>
  <c r="G76" i="5"/>
  <c r="F76" i="5"/>
  <c r="E76" i="5"/>
  <c r="C76" i="5"/>
  <c r="B76" i="5"/>
  <c r="A76" i="5"/>
  <c r="G75" i="5"/>
  <c r="F75" i="5"/>
  <c r="E75" i="5"/>
  <c r="C75" i="5"/>
  <c r="B75" i="5"/>
  <c r="A75" i="5"/>
  <c r="G74" i="5"/>
  <c r="F74" i="5"/>
  <c r="E74" i="5"/>
  <c r="C74" i="5"/>
  <c r="B74" i="5"/>
  <c r="A74" i="5"/>
  <c r="G73" i="5"/>
  <c r="F73" i="5"/>
  <c r="E73" i="5"/>
  <c r="C73" i="5"/>
  <c r="B73" i="5"/>
  <c r="A73" i="5"/>
  <c r="G72" i="5"/>
  <c r="F72" i="5"/>
  <c r="E72" i="5"/>
  <c r="C72" i="5"/>
  <c r="B72" i="5"/>
  <c r="A72" i="5"/>
  <c r="G71" i="5"/>
  <c r="F71" i="5"/>
  <c r="E71" i="5"/>
  <c r="C71" i="5"/>
  <c r="B71" i="5"/>
  <c r="A71" i="5"/>
  <c r="G70" i="5"/>
  <c r="F70" i="5"/>
  <c r="E70" i="5"/>
  <c r="C70" i="5"/>
  <c r="B70" i="5"/>
  <c r="A70" i="5"/>
  <c r="G69" i="5"/>
  <c r="F69" i="5"/>
  <c r="E69" i="5"/>
  <c r="C69" i="5"/>
  <c r="B69" i="5"/>
  <c r="A69" i="5"/>
  <c r="G68" i="5"/>
  <c r="F68" i="5"/>
  <c r="E68" i="5"/>
  <c r="C68" i="5"/>
  <c r="B68" i="5"/>
  <c r="A68" i="5"/>
  <c r="G67" i="5"/>
  <c r="F67" i="5"/>
  <c r="E67" i="5"/>
  <c r="C67" i="5"/>
  <c r="B67" i="5"/>
  <c r="A67" i="5"/>
  <c r="G66" i="5"/>
  <c r="F66" i="5"/>
  <c r="E66" i="5"/>
  <c r="C66" i="5"/>
  <c r="B66" i="5"/>
  <c r="A66" i="5"/>
  <c r="G64" i="5"/>
  <c r="F64" i="5"/>
  <c r="E64" i="5"/>
  <c r="C64" i="5"/>
  <c r="B64" i="5"/>
  <c r="G63" i="5"/>
  <c r="F63" i="5"/>
  <c r="E63" i="5"/>
  <c r="C63" i="5"/>
  <c r="B63" i="5"/>
  <c r="A63" i="5"/>
  <c r="G62" i="5"/>
  <c r="F62" i="5"/>
  <c r="E62" i="5"/>
  <c r="C62" i="5"/>
  <c r="B62" i="5"/>
  <c r="A62" i="5"/>
  <c r="G61" i="5"/>
  <c r="F61" i="5"/>
  <c r="E61" i="5"/>
  <c r="C61" i="5"/>
  <c r="B61" i="5"/>
  <c r="A61" i="5"/>
  <c r="G60" i="5"/>
  <c r="F60" i="5"/>
  <c r="E60" i="5"/>
  <c r="C60" i="5"/>
  <c r="B60" i="5"/>
  <c r="A60" i="5"/>
  <c r="G59" i="5"/>
  <c r="F59" i="5"/>
  <c r="E59" i="5"/>
  <c r="C59" i="5"/>
  <c r="B59" i="5"/>
  <c r="A59" i="5"/>
  <c r="G58" i="5"/>
  <c r="F58" i="5"/>
  <c r="E58" i="5"/>
  <c r="C58" i="5"/>
  <c r="B58" i="5"/>
  <c r="A58" i="5"/>
  <c r="G57" i="5"/>
  <c r="F57" i="5"/>
  <c r="E57" i="5"/>
  <c r="C57" i="5"/>
  <c r="B57" i="5"/>
  <c r="A57" i="5"/>
  <c r="G56" i="5"/>
  <c r="F56" i="5"/>
  <c r="E56" i="5"/>
  <c r="C56" i="5"/>
  <c r="B56" i="5"/>
  <c r="A56" i="5"/>
  <c r="G55" i="5"/>
  <c r="F55" i="5"/>
  <c r="E55" i="5"/>
  <c r="C55" i="5"/>
  <c r="B55" i="5"/>
  <c r="A55" i="5"/>
  <c r="G54" i="5"/>
  <c r="F54" i="5"/>
  <c r="E54" i="5"/>
  <c r="C54" i="5"/>
  <c r="B54" i="5"/>
  <c r="A54" i="5"/>
  <c r="G53" i="5"/>
  <c r="F53" i="5"/>
  <c r="E53" i="5"/>
  <c r="C53" i="5"/>
  <c r="B53" i="5"/>
  <c r="A53" i="5"/>
  <c r="G52" i="5"/>
  <c r="F52" i="5"/>
  <c r="E52" i="5"/>
  <c r="C52" i="5"/>
  <c r="B52" i="5"/>
  <c r="A52" i="5"/>
  <c r="G50" i="5"/>
  <c r="F50" i="5"/>
  <c r="E50" i="5"/>
  <c r="C50" i="5"/>
  <c r="B50" i="5"/>
  <c r="G49" i="5"/>
  <c r="F49" i="5"/>
  <c r="E49" i="5"/>
  <c r="C49" i="5"/>
  <c r="B49" i="5"/>
  <c r="A49" i="5"/>
  <c r="G48" i="5"/>
  <c r="F48" i="5"/>
  <c r="E48" i="5"/>
  <c r="C48" i="5"/>
  <c r="B48" i="5"/>
  <c r="A48" i="5"/>
  <c r="G47" i="5"/>
  <c r="F47" i="5"/>
  <c r="E47" i="5"/>
  <c r="C47" i="5"/>
  <c r="B47" i="5"/>
  <c r="A47" i="5"/>
  <c r="G46" i="5"/>
  <c r="F46" i="5"/>
  <c r="E46" i="5"/>
  <c r="C46" i="5"/>
  <c r="B46" i="5"/>
  <c r="A46" i="5"/>
  <c r="G45" i="5"/>
  <c r="F45" i="5"/>
  <c r="E45" i="5"/>
  <c r="C45" i="5"/>
  <c r="B45" i="5"/>
  <c r="A45" i="5"/>
  <c r="G44" i="5"/>
  <c r="F44" i="5"/>
  <c r="E44" i="5"/>
  <c r="C44" i="5"/>
  <c r="B44" i="5"/>
  <c r="A44" i="5"/>
  <c r="G43" i="5"/>
  <c r="F43" i="5"/>
  <c r="E43" i="5"/>
  <c r="C43" i="5"/>
  <c r="B43" i="5"/>
  <c r="A43" i="5"/>
  <c r="G42" i="5"/>
  <c r="F42" i="5"/>
  <c r="E42" i="5"/>
  <c r="C42" i="5"/>
  <c r="B42" i="5"/>
  <c r="A42" i="5"/>
  <c r="G41" i="5"/>
  <c r="F41" i="5"/>
  <c r="E41" i="5"/>
  <c r="C41" i="5"/>
  <c r="B41" i="5"/>
  <c r="A41" i="5"/>
  <c r="G40" i="5"/>
  <c r="F40" i="5"/>
  <c r="E40" i="5"/>
  <c r="C40" i="5"/>
  <c r="B40" i="5"/>
  <c r="A40" i="5"/>
  <c r="G39" i="5"/>
  <c r="F39" i="5"/>
  <c r="E39" i="5"/>
  <c r="C39" i="5"/>
  <c r="B39" i="5"/>
  <c r="A39" i="5"/>
  <c r="G38" i="5"/>
  <c r="F38" i="5"/>
  <c r="E38" i="5"/>
  <c r="C38" i="5"/>
  <c r="B38" i="5"/>
  <c r="A38" i="5"/>
  <c r="G36" i="5"/>
  <c r="F36" i="5"/>
  <c r="E36" i="5"/>
  <c r="C36" i="5"/>
  <c r="B36" i="5"/>
  <c r="G35" i="5"/>
  <c r="F35" i="5"/>
  <c r="E35" i="5"/>
  <c r="C35" i="5"/>
  <c r="B35" i="5"/>
  <c r="A35" i="5"/>
  <c r="G34" i="5"/>
  <c r="F34" i="5"/>
  <c r="E34" i="5"/>
  <c r="C34" i="5"/>
  <c r="B34" i="5"/>
  <c r="A34" i="5"/>
  <c r="G33" i="5"/>
  <c r="F33" i="5"/>
  <c r="E33" i="5"/>
  <c r="C33" i="5"/>
  <c r="B33" i="5"/>
  <c r="A33" i="5"/>
  <c r="G32" i="5"/>
  <c r="F32" i="5"/>
  <c r="E32" i="5"/>
  <c r="C32" i="5"/>
  <c r="B32" i="5"/>
  <c r="A32" i="5"/>
  <c r="G31" i="5"/>
  <c r="F31" i="5"/>
  <c r="E31" i="5"/>
  <c r="C31" i="5"/>
  <c r="B31" i="5"/>
  <c r="A31" i="5"/>
  <c r="G30" i="5"/>
  <c r="F30" i="5"/>
  <c r="E30" i="5"/>
  <c r="C30" i="5"/>
  <c r="B30" i="5"/>
  <c r="A30" i="5"/>
  <c r="G29" i="5"/>
  <c r="F29" i="5"/>
  <c r="E29" i="5"/>
  <c r="C29" i="5"/>
  <c r="B29" i="5"/>
  <c r="A29" i="5"/>
  <c r="G28" i="5"/>
  <c r="F28" i="5"/>
  <c r="E28" i="5"/>
  <c r="C28" i="5"/>
  <c r="B28" i="5"/>
  <c r="A28" i="5"/>
  <c r="G27" i="5"/>
  <c r="F27" i="5"/>
  <c r="E27" i="5"/>
  <c r="C27" i="5"/>
  <c r="B27" i="5"/>
  <c r="A27" i="5"/>
  <c r="G26" i="5"/>
  <c r="F26" i="5"/>
  <c r="E26" i="5"/>
  <c r="C26" i="5"/>
  <c r="B26" i="5"/>
  <c r="A26" i="5"/>
  <c r="G25" i="5"/>
  <c r="F25" i="5"/>
  <c r="E25" i="5"/>
  <c r="C25" i="5"/>
  <c r="B25" i="5"/>
  <c r="A25" i="5"/>
  <c r="G24" i="5"/>
  <c r="F24" i="5"/>
  <c r="E24" i="5"/>
  <c r="C24" i="5"/>
  <c r="B24" i="5"/>
  <c r="A24" i="5"/>
  <c r="G22" i="5"/>
  <c r="F22" i="5"/>
  <c r="E22" i="5"/>
  <c r="C22" i="5"/>
  <c r="B22" i="5"/>
  <c r="G21" i="5"/>
  <c r="F21" i="5"/>
  <c r="E21" i="5"/>
  <c r="C21" i="5"/>
  <c r="B21" i="5"/>
  <c r="A21" i="5"/>
  <c r="G20" i="5"/>
  <c r="F20" i="5"/>
  <c r="E20" i="5"/>
  <c r="C20" i="5"/>
  <c r="B20" i="5"/>
  <c r="A20" i="5"/>
  <c r="G19" i="5"/>
  <c r="F19" i="5"/>
  <c r="E19" i="5"/>
  <c r="C19" i="5"/>
  <c r="B19" i="5"/>
  <c r="A19" i="5"/>
  <c r="G18" i="5"/>
  <c r="F18" i="5"/>
  <c r="E18" i="5"/>
  <c r="C18" i="5"/>
  <c r="B18" i="5"/>
  <c r="A18" i="5"/>
  <c r="G17" i="5"/>
  <c r="F17" i="5"/>
  <c r="E17" i="5"/>
  <c r="C17" i="5"/>
  <c r="B17" i="5"/>
  <c r="A17" i="5"/>
  <c r="G16" i="5"/>
  <c r="F16" i="5"/>
  <c r="E16" i="5"/>
  <c r="C16" i="5"/>
  <c r="B16" i="5"/>
  <c r="A16" i="5"/>
  <c r="G15" i="5"/>
  <c r="F15" i="5"/>
  <c r="E15" i="5"/>
  <c r="C15" i="5"/>
  <c r="B15" i="5"/>
  <c r="A15" i="5"/>
  <c r="G14" i="5"/>
  <c r="F14" i="5"/>
  <c r="E14" i="5"/>
  <c r="C14" i="5"/>
  <c r="B14" i="5"/>
  <c r="A14" i="5"/>
  <c r="G13" i="5"/>
  <c r="F13" i="5"/>
  <c r="E13" i="5"/>
  <c r="C13" i="5"/>
  <c r="B13" i="5"/>
  <c r="A13" i="5"/>
  <c r="G12" i="5"/>
  <c r="F12" i="5"/>
  <c r="E12" i="5"/>
  <c r="C12" i="5"/>
  <c r="B12" i="5"/>
  <c r="A12" i="5"/>
  <c r="G11" i="5"/>
  <c r="F11" i="5"/>
  <c r="E11" i="5"/>
  <c r="C11" i="5"/>
  <c r="B11" i="5"/>
  <c r="A11" i="5"/>
  <c r="G10" i="5"/>
  <c r="F10" i="5"/>
  <c r="E10" i="5"/>
  <c r="C10" i="5"/>
  <c r="B10" i="5"/>
  <c r="A10" i="5"/>
  <c r="B7" i="5"/>
  <c r="G334" i="8"/>
  <c r="F334" i="8"/>
  <c r="E334" i="8"/>
  <c r="C334" i="8"/>
  <c r="B334" i="8"/>
  <c r="A334" i="8"/>
  <c r="D333" i="8"/>
  <c r="G331" i="8"/>
  <c r="F331" i="8"/>
  <c r="E331" i="8"/>
  <c r="C331" i="8"/>
  <c r="B331" i="8"/>
  <c r="A331" i="8"/>
  <c r="G330" i="8"/>
  <c r="F330" i="8"/>
  <c r="E330" i="8"/>
  <c r="C330" i="8"/>
  <c r="B330" i="8"/>
  <c r="A330" i="8"/>
  <c r="G329" i="8"/>
  <c r="F329" i="8"/>
  <c r="E329" i="8"/>
  <c r="C329" i="8"/>
  <c r="B329" i="8"/>
  <c r="A329" i="8"/>
  <c r="G328" i="8"/>
  <c r="F328" i="8"/>
  <c r="E328" i="8"/>
  <c r="C328" i="8"/>
  <c r="B328" i="8"/>
  <c r="A328" i="8"/>
  <c r="G327" i="8"/>
  <c r="F327" i="8"/>
  <c r="E327" i="8"/>
  <c r="C327" i="8"/>
  <c r="B327" i="8"/>
  <c r="A327" i="8"/>
  <c r="G326" i="8"/>
  <c r="F326" i="8"/>
  <c r="E326" i="8"/>
  <c r="C326" i="8"/>
  <c r="B326" i="8"/>
  <c r="A326" i="8"/>
  <c r="G325" i="8"/>
  <c r="F325" i="8"/>
  <c r="E325" i="8"/>
  <c r="C325" i="8"/>
  <c r="B325" i="8"/>
  <c r="A325" i="8"/>
  <c r="G324" i="8"/>
  <c r="F324" i="8"/>
  <c r="E324" i="8"/>
  <c r="C324" i="8"/>
  <c r="B324" i="8"/>
  <c r="A324" i="8"/>
  <c r="G323" i="8"/>
  <c r="F323" i="8"/>
  <c r="E323" i="8"/>
  <c r="C323" i="8"/>
  <c r="B323" i="8"/>
  <c r="A323" i="8"/>
  <c r="G322" i="8"/>
  <c r="F322" i="8"/>
  <c r="E322" i="8"/>
  <c r="C322" i="8"/>
  <c r="B322" i="8"/>
  <c r="A322" i="8"/>
  <c r="G321" i="8"/>
  <c r="F321" i="8"/>
  <c r="E321" i="8"/>
  <c r="C321" i="8"/>
  <c r="B321" i="8"/>
  <c r="A321" i="8"/>
  <c r="G320" i="8"/>
  <c r="F320" i="8"/>
  <c r="E320" i="8"/>
  <c r="C320" i="8"/>
  <c r="B320" i="8"/>
  <c r="A320" i="8"/>
  <c r="G319" i="8"/>
  <c r="D319" i="8"/>
  <c r="G318" i="8"/>
  <c r="F318" i="8"/>
  <c r="E318" i="8"/>
  <c r="C318" i="8"/>
  <c r="B318" i="8"/>
  <c r="G317" i="8"/>
  <c r="F317" i="8"/>
  <c r="E317" i="8"/>
  <c r="C317" i="8"/>
  <c r="B317" i="8"/>
  <c r="A317" i="8"/>
  <c r="G316" i="8"/>
  <c r="F316" i="8"/>
  <c r="E316" i="8"/>
  <c r="C316" i="8"/>
  <c r="B316" i="8"/>
  <c r="A316" i="8"/>
  <c r="G315" i="8"/>
  <c r="F315" i="8"/>
  <c r="E315" i="8"/>
  <c r="C315" i="8"/>
  <c r="B315" i="8"/>
  <c r="A315" i="8"/>
  <c r="G314" i="8"/>
  <c r="F314" i="8"/>
  <c r="E314" i="8"/>
  <c r="C314" i="8"/>
  <c r="B314" i="8"/>
  <c r="A314" i="8"/>
  <c r="G313" i="8"/>
  <c r="F313" i="8"/>
  <c r="E313" i="8"/>
  <c r="C313" i="8"/>
  <c r="B313" i="8"/>
  <c r="A313" i="8"/>
  <c r="G312" i="8"/>
  <c r="F312" i="8"/>
  <c r="E312" i="8"/>
  <c r="C312" i="8"/>
  <c r="B312" i="8"/>
  <c r="A312" i="8"/>
  <c r="G311" i="8"/>
  <c r="F311" i="8"/>
  <c r="E311" i="8"/>
  <c r="C311" i="8"/>
  <c r="B311" i="8"/>
  <c r="A311" i="8"/>
  <c r="G310" i="8"/>
  <c r="F310" i="8"/>
  <c r="E310" i="8"/>
  <c r="C310" i="8"/>
  <c r="B310" i="8"/>
  <c r="A310" i="8"/>
  <c r="G309" i="8"/>
  <c r="F309" i="8"/>
  <c r="E309" i="8"/>
  <c r="C309" i="8"/>
  <c r="B309" i="8"/>
  <c r="A309" i="8"/>
  <c r="G308" i="8"/>
  <c r="F308" i="8"/>
  <c r="E308" i="8"/>
  <c r="C308" i="8"/>
  <c r="B308" i="8"/>
  <c r="A308" i="8"/>
  <c r="G307" i="8"/>
  <c r="F307" i="8"/>
  <c r="E307" i="8"/>
  <c r="C307" i="8"/>
  <c r="B307" i="8"/>
  <c r="A307" i="8"/>
  <c r="G306" i="8"/>
  <c r="F306" i="8"/>
  <c r="E306" i="8"/>
  <c r="C306" i="8"/>
  <c r="B306" i="8"/>
  <c r="A306" i="8"/>
  <c r="G305" i="8"/>
  <c r="D305" i="8"/>
  <c r="G304" i="8"/>
  <c r="F304" i="8"/>
  <c r="E304" i="8"/>
  <c r="C304" i="8"/>
  <c r="B304" i="8"/>
  <c r="G303" i="8"/>
  <c r="F303" i="8"/>
  <c r="E303" i="8"/>
  <c r="C303" i="8"/>
  <c r="B303" i="8"/>
  <c r="A303" i="8"/>
  <c r="G302" i="8"/>
  <c r="F302" i="8"/>
  <c r="E302" i="8"/>
  <c r="C302" i="8"/>
  <c r="B302" i="8"/>
  <c r="A302" i="8"/>
  <c r="G301" i="8"/>
  <c r="F301" i="8"/>
  <c r="E301" i="8"/>
  <c r="C301" i="8"/>
  <c r="B301" i="8"/>
  <c r="A301" i="8"/>
  <c r="G300" i="8"/>
  <c r="F300" i="8"/>
  <c r="E300" i="8"/>
  <c r="C300" i="8"/>
  <c r="B300" i="8"/>
  <c r="A300" i="8"/>
  <c r="G299" i="8"/>
  <c r="F299" i="8"/>
  <c r="E299" i="8"/>
  <c r="C299" i="8"/>
  <c r="B299" i="8"/>
  <c r="A299" i="8"/>
  <c r="G298" i="8"/>
  <c r="F298" i="8"/>
  <c r="E298" i="8"/>
  <c r="C298" i="8"/>
  <c r="B298" i="8"/>
  <c r="A298" i="8"/>
  <c r="G297" i="8"/>
  <c r="F297" i="8"/>
  <c r="E297" i="8"/>
  <c r="C297" i="8"/>
  <c r="B297" i="8"/>
  <c r="A297" i="8"/>
  <c r="G296" i="8"/>
  <c r="F296" i="8"/>
  <c r="E296" i="8"/>
  <c r="C296" i="8"/>
  <c r="B296" i="8"/>
  <c r="A296" i="8"/>
  <c r="G295" i="8"/>
  <c r="F295" i="8"/>
  <c r="E295" i="8"/>
  <c r="C295" i="8"/>
  <c r="B295" i="8"/>
  <c r="A295" i="8"/>
  <c r="G294" i="8"/>
  <c r="F294" i="8"/>
  <c r="E294" i="8"/>
  <c r="C294" i="8"/>
  <c r="B294" i="8"/>
  <c r="A294" i="8"/>
  <c r="G293" i="8"/>
  <c r="F293" i="8"/>
  <c r="E293" i="8"/>
  <c r="C293" i="8"/>
  <c r="B293" i="8"/>
  <c r="A293" i="8"/>
  <c r="G292" i="8"/>
  <c r="F292" i="8"/>
  <c r="E292" i="8"/>
  <c r="C292" i="8"/>
  <c r="B292" i="8"/>
  <c r="A292" i="8"/>
  <c r="G291" i="8"/>
  <c r="D291" i="8"/>
  <c r="G290" i="8"/>
  <c r="F290" i="8"/>
  <c r="E290" i="8"/>
  <c r="C290" i="8"/>
  <c r="B290" i="8"/>
  <c r="G289" i="8"/>
  <c r="F289" i="8"/>
  <c r="E289" i="8"/>
  <c r="C289" i="8"/>
  <c r="B289" i="8"/>
  <c r="A289" i="8"/>
  <c r="G288" i="8"/>
  <c r="F288" i="8"/>
  <c r="E288" i="8"/>
  <c r="C288" i="8"/>
  <c r="B288" i="8"/>
  <c r="A288" i="8"/>
  <c r="G287" i="8"/>
  <c r="F287" i="8"/>
  <c r="E287" i="8"/>
  <c r="C287" i="8"/>
  <c r="B287" i="8"/>
  <c r="A287" i="8"/>
  <c r="G286" i="8"/>
  <c r="F286" i="8"/>
  <c r="E286" i="8"/>
  <c r="C286" i="8"/>
  <c r="B286" i="8"/>
  <c r="A286" i="8"/>
  <c r="G285" i="8"/>
  <c r="F285" i="8"/>
  <c r="E285" i="8"/>
  <c r="C285" i="8"/>
  <c r="B285" i="8"/>
  <c r="A285" i="8"/>
  <c r="G284" i="8"/>
  <c r="F284" i="8"/>
  <c r="E284" i="8"/>
  <c r="C284" i="8"/>
  <c r="B284" i="8"/>
  <c r="A284" i="8"/>
  <c r="G283" i="8"/>
  <c r="F283" i="8"/>
  <c r="E283" i="8"/>
  <c r="C283" i="8"/>
  <c r="B283" i="8"/>
  <c r="A283" i="8"/>
  <c r="G282" i="8"/>
  <c r="F282" i="8"/>
  <c r="E282" i="8"/>
  <c r="C282" i="8"/>
  <c r="B282" i="8"/>
  <c r="A282" i="8"/>
  <c r="G281" i="8"/>
  <c r="F281" i="8"/>
  <c r="E281" i="8"/>
  <c r="C281" i="8"/>
  <c r="B281" i="8"/>
  <c r="A281" i="8"/>
  <c r="G280" i="8"/>
  <c r="F280" i="8"/>
  <c r="E280" i="8"/>
  <c r="C280" i="8"/>
  <c r="B280" i="8"/>
  <c r="A280" i="8"/>
  <c r="G279" i="8"/>
  <c r="F279" i="8"/>
  <c r="E279" i="8"/>
  <c r="C279" i="8"/>
  <c r="B279" i="8"/>
  <c r="A279" i="8"/>
  <c r="G278" i="8"/>
  <c r="D278" i="8"/>
  <c r="G277" i="8"/>
  <c r="F277" i="8"/>
  <c r="E277" i="8"/>
  <c r="C277" i="8"/>
  <c r="B277" i="8"/>
  <c r="G276" i="8"/>
  <c r="F276" i="8"/>
  <c r="E276" i="8"/>
  <c r="C276" i="8"/>
  <c r="B276" i="8"/>
  <c r="A276" i="8"/>
  <c r="G275" i="8"/>
  <c r="F275" i="8"/>
  <c r="E275" i="8"/>
  <c r="C275" i="8"/>
  <c r="B275" i="8"/>
  <c r="A275" i="8"/>
  <c r="G274" i="8"/>
  <c r="F274" i="8"/>
  <c r="E274" i="8"/>
  <c r="C274" i="8"/>
  <c r="B274" i="8"/>
  <c r="A274" i="8"/>
  <c r="G273" i="8"/>
  <c r="F273" i="8"/>
  <c r="E273" i="8"/>
  <c r="C273" i="8"/>
  <c r="B273" i="8"/>
  <c r="A273" i="8"/>
  <c r="G272" i="8"/>
  <c r="F272" i="8"/>
  <c r="E272" i="8"/>
  <c r="C272" i="8"/>
  <c r="B272" i="8"/>
  <c r="A272" i="8"/>
  <c r="G271" i="8"/>
  <c r="F271" i="8"/>
  <c r="E271" i="8"/>
  <c r="C271" i="8"/>
  <c r="B271" i="8"/>
  <c r="A271" i="8"/>
  <c r="G270" i="8"/>
  <c r="F270" i="8"/>
  <c r="E270" i="8"/>
  <c r="C270" i="8"/>
  <c r="B270" i="8"/>
  <c r="A270" i="8"/>
  <c r="G269" i="8"/>
  <c r="F269" i="8"/>
  <c r="E269" i="8"/>
  <c r="C269" i="8"/>
  <c r="B269" i="8"/>
  <c r="A269" i="8"/>
  <c r="G268" i="8"/>
  <c r="F268" i="8"/>
  <c r="E268" i="8"/>
  <c r="C268" i="8"/>
  <c r="B268" i="8"/>
  <c r="A268" i="8"/>
  <c r="G267" i="8"/>
  <c r="F267" i="8"/>
  <c r="E267" i="8"/>
  <c r="C267" i="8"/>
  <c r="B267" i="8"/>
  <c r="A267" i="8"/>
  <c r="G266" i="8"/>
  <c r="F266" i="8"/>
  <c r="E266" i="8"/>
  <c r="C266" i="8"/>
  <c r="B266" i="8"/>
  <c r="A266" i="8"/>
  <c r="G265" i="8"/>
  <c r="F265" i="8"/>
  <c r="E265" i="8"/>
  <c r="C265" i="8"/>
  <c r="B265" i="8"/>
  <c r="A265" i="8"/>
  <c r="G264" i="8"/>
  <c r="D264" i="8"/>
  <c r="G263" i="8"/>
  <c r="F263" i="8"/>
  <c r="E263" i="8"/>
  <c r="C263" i="8"/>
  <c r="B263" i="8"/>
  <c r="G262" i="8"/>
  <c r="F262" i="8"/>
  <c r="E262" i="8"/>
  <c r="C262" i="8"/>
  <c r="B262" i="8"/>
  <c r="A262" i="8"/>
  <c r="G261" i="8"/>
  <c r="F261" i="8"/>
  <c r="E261" i="8"/>
  <c r="C261" i="8"/>
  <c r="B261" i="8"/>
  <c r="A261" i="8"/>
  <c r="G260" i="8"/>
  <c r="F260" i="8"/>
  <c r="E260" i="8"/>
  <c r="C260" i="8"/>
  <c r="B260" i="8"/>
  <c r="A260" i="8"/>
  <c r="G259" i="8"/>
  <c r="F259" i="8"/>
  <c r="E259" i="8"/>
  <c r="C259" i="8"/>
  <c r="B259" i="8"/>
  <c r="A259" i="8"/>
  <c r="G258" i="8"/>
  <c r="F258" i="8"/>
  <c r="E258" i="8"/>
  <c r="C258" i="8"/>
  <c r="B258" i="8"/>
  <c r="A258" i="8"/>
  <c r="G257" i="8"/>
  <c r="F257" i="8"/>
  <c r="E257" i="8"/>
  <c r="C257" i="8"/>
  <c r="B257" i="8"/>
  <c r="A257" i="8"/>
  <c r="G256" i="8"/>
  <c r="F256" i="8"/>
  <c r="E256" i="8"/>
  <c r="C256" i="8"/>
  <c r="B256" i="8"/>
  <c r="A256" i="8"/>
  <c r="G255" i="8"/>
  <c r="F255" i="8"/>
  <c r="E255" i="8"/>
  <c r="C255" i="8"/>
  <c r="B255" i="8"/>
  <c r="A255" i="8"/>
  <c r="G254" i="8"/>
  <c r="F254" i="8"/>
  <c r="E254" i="8"/>
  <c r="C254" i="8"/>
  <c r="B254" i="8"/>
  <c r="A254" i="8"/>
  <c r="G253" i="8"/>
  <c r="F253" i="8"/>
  <c r="E253" i="8"/>
  <c r="C253" i="8"/>
  <c r="B253" i="8"/>
  <c r="A253" i="8"/>
  <c r="G252" i="8"/>
  <c r="F252" i="8"/>
  <c r="E252" i="8"/>
  <c r="C252" i="8"/>
  <c r="B252" i="8"/>
  <c r="A252" i="8"/>
  <c r="G251" i="8"/>
  <c r="F251" i="8"/>
  <c r="E251" i="8"/>
  <c r="C251" i="8"/>
  <c r="B251" i="8"/>
  <c r="A251" i="8"/>
  <c r="G250" i="8"/>
  <c r="D250" i="8"/>
  <c r="G249" i="8"/>
  <c r="F249" i="8"/>
  <c r="E249" i="8"/>
  <c r="C249" i="8"/>
  <c r="B249" i="8"/>
  <c r="G248" i="8"/>
  <c r="F248" i="8"/>
  <c r="E248" i="8"/>
  <c r="C248" i="8"/>
  <c r="B248" i="8"/>
  <c r="A248" i="8"/>
  <c r="G247" i="8"/>
  <c r="F247" i="8"/>
  <c r="E247" i="8"/>
  <c r="C247" i="8"/>
  <c r="B247" i="8"/>
  <c r="A247" i="8"/>
  <c r="G246" i="8"/>
  <c r="F246" i="8"/>
  <c r="E246" i="8"/>
  <c r="C246" i="8"/>
  <c r="B246" i="8"/>
  <c r="A246" i="8"/>
  <c r="G245" i="8"/>
  <c r="F245" i="8"/>
  <c r="E245" i="8"/>
  <c r="C245" i="8"/>
  <c r="B245" i="8"/>
  <c r="A245" i="8"/>
  <c r="G244" i="8"/>
  <c r="F244" i="8"/>
  <c r="E244" i="8"/>
  <c r="C244" i="8"/>
  <c r="B244" i="8"/>
  <c r="A244" i="8"/>
  <c r="G243" i="8"/>
  <c r="F243" i="8"/>
  <c r="E243" i="8"/>
  <c r="C243" i="8"/>
  <c r="B243" i="8"/>
  <c r="A243" i="8"/>
  <c r="G242" i="8"/>
  <c r="F242" i="8"/>
  <c r="E242" i="8"/>
  <c r="C242" i="8"/>
  <c r="B242" i="8"/>
  <c r="A242" i="8"/>
  <c r="G241" i="8"/>
  <c r="F241" i="8"/>
  <c r="E241" i="8"/>
  <c r="C241" i="8"/>
  <c r="B241" i="8"/>
  <c r="A241" i="8"/>
  <c r="G240" i="8"/>
  <c r="F240" i="8"/>
  <c r="E240" i="8"/>
  <c r="C240" i="8"/>
  <c r="B240" i="8"/>
  <c r="A240" i="8"/>
  <c r="G239" i="8"/>
  <c r="F239" i="8"/>
  <c r="E239" i="8"/>
  <c r="C239" i="8"/>
  <c r="B239" i="8"/>
  <c r="A239" i="8"/>
  <c r="G238" i="8"/>
  <c r="F238" i="8"/>
  <c r="E238" i="8"/>
  <c r="C238" i="8"/>
  <c r="B238" i="8"/>
  <c r="A238" i="8"/>
  <c r="G237" i="8"/>
  <c r="F237" i="8"/>
  <c r="E237" i="8"/>
  <c r="C237" i="8"/>
  <c r="B237" i="8"/>
  <c r="A237" i="8"/>
  <c r="G236" i="8"/>
  <c r="D236" i="8"/>
  <c r="G235" i="8"/>
  <c r="F235" i="8"/>
  <c r="E235" i="8"/>
  <c r="C235" i="8"/>
  <c r="B235" i="8"/>
  <c r="G234" i="8"/>
  <c r="F234" i="8"/>
  <c r="E234" i="8"/>
  <c r="C234" i="8"/>
  <c r="B234" i="8"/>
  <c r="A234" i="8"/>
  <c r="G233" i="8"/>
  <c r="F233" i="8"/>
  <c r="E233" i="8"/>
  <c r="C233" i="8"/>
  <c r="B233" i="8"/>
  <c r="A233" i="8"/>
  <c r="G232" i="8"/>
  <c r="F232" i="8"/>
  <c r="E232" i="8"/>
  <c r="C232" i="8"/>
  <c r="B232" i="8"/>
  <c r="A232" i="8"/>
  <c r="G231" i="8"/>
  <c r="F231" i="8"/>
  <c r="E231" i="8"/>
  <c r="C231" i="8"/>
  <c r="B231" i="8"/>
  <c r="A231" i="8"/>
  <c r="G230" i="8"/>
  <c r="F230" i="8"/>
  <c r="E230" i="8"/>
  <c r="C230" i="8"/>
  <c r="B230" i="8"/>
  <c r="A230" i="8"/>
  <c r="G229" i="8"/>
  <c r="F229" i="8"/>
  <c r="E229" i="8"/>
  <c r="C229" i="8"/>
  <c r="B229" i="8"/>
  <c r="A229" i="8"/>
  <c r="G228" i="8"/>
  <c r="F228" i="8"/>
  <c r="E228" i="8"/>
  <c r="C228" i="8"/>
  <c r="B228" i="8"/>
  <c r="A228" i="8"/>
  <c r="G227" i="8"/>
  <c r="F227" i="8"/>
  <c r="E227" i="8"/>
  <c r="C227" i="8"/>
  <c r="B227" i="8"/>
  <c r="A227" i="8"/>
  <c r="G226" i="8"/>
  <c r="F226" i="8"/>
  <c r="E226" i="8"/>
  <c r="C226" i="8"/>
  <c r="B226" i="8"/>
  <c r="A226" i="8"/>
  <c r="G225" i="8"/>
  <c r="F225" i="8"/>
  <c r="E225" i="8"/>
  <c r="C225" i="8"/>
  <c r="B225" i="8"/>
  <c r="A225" i="8"/>
  <c r="G224" i="8"/>
  <c r="F224" i="8"/>
  <c r="E224" i="8"/>
  <c r="C224" i="8"/>
  <c r="B224" i="8"/>
  <c r="A224" i="8"/>
  <c r="G223" i="8"/>
  <c r="F223" i="8"/>
  <c r="E223" i="8"/>
  <c r="C223" i="8"/>
  <c r="B223" i="8"/>
  <c r="A223" i="8"/>
  <c r="G222" i="8"/>
  <c r="D222" i="8"/>
  <c r="G221" i="8"/>
  <c r="F221" i="8"/>
  <c r="E221" i="8"/>
  <c r="C221" i="8"/>
  <c r="B221" i="8"/>
  <c r="G220" i="8"/>
  <c r="F220" i="8"/>
  <c r="E220" i="8"/>
  <c r="C220" i="8"/>
  <c r="B220" i="8"/>
  <c r="A220" i="8"/>
  <c r="G219" i="8"/>
  <c r="F219" i="8"/>
  <c r="E219" i="8"/>
  <c r="C219" i="8"/>
  <c r="B219" i="8"/>
  <c r="A219" i="8"/>
  <c r="G218" i="8"/>
  <c r="F218" i="8"/>
  <c r="E218" i="8"/>
  <c r="C218" i="8"/>
  <c r="B218" i="8"/>
  <c r="A218" i="8"/>
  <c r="G217" i="8"/>
  <c r="F217" i="8"/>
  <c r="E217" i="8"/>
  <c r="C217" i="8"/>
  <c r="B217" i="8"/>
  <c r="A217" i="8"/>
  <c r="G216" i="8"/>
  <c r="F216" i="8"/>
  <c r="E216" i="8"/>
  <c r="C216" i="8"/>
  <c r="B216" i="8"/>
  <c r="A216" i="8"/>
  <c r="G215" i="8"/>
  <c r="F215" i="8"/>
  <c r="E215" i="8"/>
  <c r="C215" i="8"/>
  <c r="B215" i="8"/>
  <c r="A215" i="8"/>
  <c r="G214" i="8"/>
  <c r="F214" i="8"/>
  <c r="E214" i="8"/>
  <c r="C214" i="8"/>
  <c r="B214" i="8"/>
  <c r="A214" i="8"/>
  <c r="G213" i="8"/>
  <c r="F213" i="8"/>
  <c r="E213" i="8"/>
  <c r="C213" i="8"/>
  <c r="B213" i="8"/>
  <c r="A213" i="8"/>
  <c r="G212" i="8"/>
  <c r="F212" i="8"/>
  <c r="E212" i="8"/>
  <c r="C212" i="8"/>
  <c r="B212" i="8"/>
  <c r="A212" i="8"/>
  <c r="G211" i="8"/>
  <c r="F211" i="8"/>
  <c r="E211" i="8"/>
  <c r="C211" i="8"/>
  <c r="B211" i="8"/>
  <c r="A211" i="8"/>
  <c r="G210" i="8"/>
  <c r="F210" i="8"/>
  <c r="E210" i="8"/>
  <c r="C210" i="8"/>
  <c r="B210" i="8"/>
  <c r="A210" i="8"/>
  <c r="G209" i="8"/>
  <c r="F209" i="8"/>
  <c r="E209" i="8"/>
  <c r="C209" i="8"/>
  <c r="B209" i="8"/>
  <c r="A209" i="8"/>
  <c r="G208" i="8"/>
  <c r="D208" i="8"/>
  <c r="G207" i="8"/>
  <c r="F207" i="8"/>
  <c r="E207" i="8"/>
  <c r="C207" i="8"/>
  <c r="B207" i="8"/>
  <c r="G206" i="8"/>
  <c r="F206" i="8"/>
  <c r="E206" i="8"/>
  <c r="C206" i="8"/>
  <c r="B206" i="8"/>
  <c r="A206" i="8"/>
  <c r="G205" i="8"/>
  <c r="F205" i="8"/>
  <c r="E205" i="8"/>
  <c r="C205" i="8"/>
  <c r="B205" i="8"/>
  <c r="A205" i="8"/>
  <c r="G204" i="8"/>
  <c r="F204" i="8"/>
  <c r="E204" i="8"/>
  <c r="C204" i="8"/>
  <c r="B204" i="8"/>
  <c r="A204" i="8"/>
  <c r="G203" i="8"/>
  <c r="F203" i="8"/>
  <c r="E203" i="8"/>
  <c r="C203" i="8"/>
  <c r="B203" i="8"/>
  <c r="A203" i="8"/>
  <c r="G202" i="8"/>
  <c r="F202" i="8"/>
  <c r="E202" i="8"/>
  <c r="C202" i="8"/>
  <c r="B202" i="8"/>
  <c r="A202" i="8"/>
  <c r="G201" i="8"/>
  <c r="F201" i="8"/>
  <c r="E201" i="8"/>
  <c r="C201" i="8"/>
  <c r="B201" i="8"/>
  <c r="A201" i="8"/>
  <c r="G200" i="8"/>
  <c r="F200" i="8"/>
  <c r="E200" i="8"/>
  <c r="C200" i="8"/>
  <c r="B200" i="8"/>
  <c r="A200" i="8"/>
  <c r="G199" i="8"/>
  <c r="F199" i="8"/>
  <c r="E199" i="8"/>
  <c r="C199" i="8"/>
  <c r="B199" i="8"/>
  <c r="A199" i="8"/>
  <c r="G198" i="8"/>
  <c r="F198" i="8"/>
  <c r="E198" i="8"/>
  <c r="C198" i="8"/>
  <c r="B198" i="8"/>
  <c r="A198" i="8"/>
  <c r="G197" i="8"/>
  <c r="F197" i="8"/>
  <c r="E197" i="8"/>
  <c r="C197" i="8"/>
  <c r="B197" i="8"/>
  <c r="A197" i="8"/>
  <c r="G196" i="8"/>
  <c r="F196" i="8"/>
  <c r="E196" i="8"/>
  <c r="C196" i="8"/>
  <c r="B196" i="8"/>
  <c r="A196" i="8"/>
  <c r="G195" i="8"/>
  <c r="F195" i="8"/>
  <c r="E195" i="8"/>
  <c r="C195" i="8"/>
  <c r="B195" i="8"/>
  <c r="A195" i="8"/>
  <c r="G194" i="8"/>
  <c r="D194" i="8"/>
  <c r="G193" i="8"/>
  <c r="F193" i="8"/>
  <c r="E193" i="8"/>
  <c r="C193" i="8"/>
  <c r="B193" i="8"/>
  <c r="G192" i="8"/>
  <c r="F192" i="8"/>
  <c r="E192" i="8"/>
  <c r="C192" i="8"/>
  <c r="B192" i="8"/>
  <c r="A192" i="8"/>
  <c r="G191" i="8"/>
  <c r="F191" i="8"/>
  <c r="E191" i="8"/>
  <c r="C191" i="8"/>
  <c r="B191" i="8"/>
  <c r="A191" i="8"/>
  <c r="G190" i="8"/>
  <c r="F190" i="8"/>
  <c r="E190" i="8"/>
  <c r="C190" i="8"/>
  <c r="B190" i="8"/>
  <c r="A190" i="8"/>
  <c r="G189" i="8"/>
  <c r="F189" i="8"/>
  <c r="E189" i="8"/>
  <c r="C189" i="8"/>
  <c r="B189" i="8"/>
  <c r="A189" i="8"/>
  <c r="G188" i="8"/>
  <c r="F188" i="8"/>
  <c r="E188" i="8"/>
  <c r="C188" i="8"/>
  <c r="B188" i="8"/>
  <c r="A188" i="8"/>
  <c r="G187" i="8"/>
  <c r="F187" i="8"/>
  <c r="E187" i="8"/>
  <c r="C187" i="8"/>
  <c r="B187" i="8"/>
  <c r="A187" i="8"/>
  <c r="G186" i="8"/>
  <c r="F186" i="8"/>
  <c r="E186" i="8"/>
  <c r="C186" i="8"/>
  <c r="B186" i="8"/>
  <c r="A186" i="8"/>
  <c r="G185" i="8"/>
  <c r="F185" i="8"/>
  <c r="E185" i="8"/>
  <c r="C185" i="8"/>
  <c r="B185" i="8"/>
  <c r="A185" i="8"/>
  <c r="G184" i="8"/>
  <c r="F184" i="8"/>
  <c r="E184" i="8"/>
  <c r="C184" i="8"/>
  <c r="B184" i="8"/>
  <c r="A184" i="8"/>
  <c r="G183" i="8"/>
  <c r="F183" i="8"/>
  <c r="E183" i="8"/>
  <c r="C183" i="8"/>
  <c r="B183" i="8"/>
  <c r="A183" i="8"/>
  <c r="G182" i="8"/>
  <c r="F182" i="8"/>
  <c r="E182" i="8"/>
  <c r="C182" i="8"/>
  <c r="B182" i="8"/>
  <c r="A182" i="8"/>
  <c r="G181" i="8"/>
  <c r="F181" i="8"/>
  <c r="E181" i="8"/>
  <c r="C181" i="8"/>
  <c r="B181" i="8"/>
  <c r="A181" i="8"/>
  <c r="G180" i="8"/>
  <c r="D180" i="8"/>
  <c r="G179" i="8"/>
  <c r="F179" i="8"/>
  <c r="E179" i="8"/>
  <c r="C179" i="8"/>
  <c r="B179" i="8"/>
  <c r="G178" i="8"/>
  <c r="F178" i="8"/>
  <c r="E178" i="8"/>
  <c r="C178" i="8"/>
  <c r="B178" i="8"/>
  <c r="A178" i="8"/>
  <c r="G177" i="8"/>
  <c r="F177" i="8"/>
  <c r="E177" i="8"/>
  <c r="C177" i="8"/>
  <c r="B177" i="8"/>
  <c r="A177" i="8"/>
  <c r="G176" i="8"/>
  <c r="F176" i="8"/>
  <c r="E176" i="8"/>
  <c r="C176" i="8"/>
  <c r="B176" i="8"/>
  <c r="A176" i="8"/>
  <c r="G175" i="8"/>
  <c r="F175" i="8"/>
  <c r="E175" i="8"/>
  <c r="C175" i="8"/>
  <c r="B175" i="8"/>
  <c r="A175" i="8"/>
  <c r="G174" i="8"/>
  <c r="F174" i="8"/>
  <c r="E174" i="8"/>
  <c r="C174" i="8"/>
  <c r="B174" i="8"/>
  <c r="A174" i="8"/>
  <c r="G173" i="8"/>
  <c r="F173" i="8"/>
  <c r="E173" i="8"/>
  <c r="C173" i="8"/>
  <c r="B173" i="8"/>
  <c r="A173" i="8"/>
  <c r="G172" i="8"/>
  <c r="F172" i="8"/>
  <c r="E172" i="8"/>
  <c r="C172" i="8"/>
  <c r="B172" i="8"/>
  <c r="A172" i="8"/>
  <c r="G171" i="8"/>
  <c r="F171" i="8"/>
  <c r="E171" i="8"/>
  <c r="C171" i="8"/>
  <c r="B171" i="8"/>
  <c r="A171" i="8"/>
  <c r="G170" i="8"/>
  <c r="F170" i="8"/>
  <c r="E170" i="8"/>
  <c r="C170" i="8"/>
  <c r="B170" i="8"/>
  <c r="A170" i="8"/>
  <c r="G169" i="8"/>
  <c r="F169" i="8"/>
  <c r="E169" i="8"/>
  <c r="C169" i="8"/>
  <c r="B169" i="8"/>
  <c r="A169" i="8"/>
  <c r="G168" i="8"/>
  <c r="F168" i="8"/>
  <c r="E168" i="8"/>
  <c r="C168" i="8"/>
  <c r="B168" i="8"/>
  <c r="A168" i="8"/>
  <c r="G167" i="8"/>
  <c r="F167" i="8"/>
  <c r="E167" i="8"/>
  <c r="C167" i="8"/>
  <c r="B167" i="8"/>
  <c r="A167" i="8"/>
  <c r="D166" i="8"/>
  <c r="G165" i="8"/>
  <c r="F165" i="8"/>
  <c r="E165" i="8"/>
  <c r="C165" i="8"/>
  <c r="B165" i="8"/>
  <c r="A165" i="8"/>
  <c r="G164" i="8"/>
  <c r="F164" i="8"/>
  <c r="E164" i="8"/>
  <c r="C164" i="8"/>
  <c r="B164" i="8"/>
  <c r="A164" i="8"/>
  <c r="G163" i="8"/>
  <c r="F163" i="8"/>
  <c r="E163" i="8"/>
  <c r="C163" i="8"/>
  <c r="B163" i="8"/>
  <c r="A163" i="8"/>
  <c r="G162" i="8"/>
  <c r="F162" i="8"/>
  <c r="E162" i="8"/>
  <c r="C162" i="8"/>
  <c r="B162" i="8"/>
  <c r="A162" i="8"/>
  <c r="G161" i="8"/>
  <c r="F161" i="8"/>
  <c r="E161" i="8"/>
  <c r="C161" i="8"/>
  <c r="B161" i="8"/>
  <c r="A161" i="8"/>
  <c r="G160" i="8"/>
  <c r="F160" i="8"/>
  <c r="E160" i="8"/>
  <c r="C160" i="8"/>
  <c r="B160" i="8"/>
  <c r="A160" i="8"/>
  <c r="G159" i="8"/>
  <c r="F159" i="8"/>
  <c r="E159" i="8"/>
  <c r="C159" i="8"/>
  <c r="B159" i="8"/>
  <c r="A159" i="8"/>
  <c r="G158" i="8"/>
  <c r="F158" i="8"/>
  <c r="E158" i="8"/>
  <c r="C158" i="8"/>
  <c r="B158" i="8"/>
  <c r="A158" i="8"/>
  <c r="G157" i="8"/>
  <c r="F157" i="8"/>
  <c r="E157" i="8"/>
  <c r="C157" i="8"/>
  <c r="B157" i="8"/>
  <c r="A157" i="8"/>
  <c r="G156" i="8"/>
  <c r="F156" i="8"/>
  <c r="E156" i="8"/>
  <c r="C156" i="8"/>
  <c r="B156" i="8"/>
  <c r="A156" i="8"/>
  <c r="G155" i="8"/>
  <c r="F155" i="8"/>
  <c r="E155" i="8"/>
  <c r="C155" i="8"/>
  <c r="B155" i="8"/>
  <c r="A155" i="8"/>
  <c r="G154" i="8"/>
  <c r="F154" i="8"/>
  <c r="E154" i="8"/>
  <c r="C154" i="8"/>
  <c r="B154" i="8"/>
  <c r="A154" i="8"/>
  <c r="G153" i="8"/>
  <c r="F153" i="8"/>
  <c r="E153" i="8"/>
  <c r="C153" i="8"/>
  <c r="B153" i="8"/>
  <c r="A153" i="8"/>
  <c r="D152" i="8"/>
  <c r="B151" i="8"/>
  <c r="B6" i="8"/>
  <c r="G332" i="6"/>
  <c r="F332" i="6"/>
  <c r="E332" i="6"/>
  <c r="C332" i="6"/>
  <c r="B332" i="6"/>
  <c r="A332" i="6"/>
  <c r="G331" i="6"/>
  <c r="F331" i="6"/>
  <c r="E331" i="6"/>
  <c r="C331" i="6"/>
  <c r="B331" i="6"/>
  <c r="A331" i="6"/>
  <c r="G330" i="6"/>
  <c r="F330" i="6"/>
  <c r="E330" i="6"/>
  <c r="C330" i="6"/>
  <c r="B330" i="6"/>
  <c r="A330" i="6"/>
  <c r="G329" i="6"/>
  <c r="F329" i="6"/>
  <c r="E329" i="6"/>
  <c r="C329" i="6"/>
  <c r="B329" i="6"/>
  <c r="A329" i="6"/>
  <c r="G328" i="6"/>
  <c r="F328" i="6"/>
  <c r="E328" i="6"/>
  <c r="C328" i="6"/>
  <c r="B328" i="6"/>
  <c r="A328" i="6"/>
  <c r="G327" i="6"/>
  <c r="F327" i="6"/>
  <c r="E327" i="6"/>
  <c r="C327" i="6"/>
  <c r="B327" i="6"/>
  <c r="A327" i="6"/>
  <c r="G326" i="6"/>
  <c r="F326" i="6"/>
  <c r="E326" i="6"/>
  <c r="C326" i="6"/>
  <c r="B326" i="6"/>
  <c r="A326" i="6"/>
  <c r="G325" i="6"/>
  <c r="F325" i="6"/>
  <c r="E325" i="6"/>
  <c r="C325" i="6"/>
  <c r="B325" i="6"/>
  <c r="A325" i="6"/>
  <c r="G324" i="6"/>
  <c r="F324" i="6"/>
  <c r="E324" i="6"/>
  <c r="C324" i="6"/>
  <c r="B324" i="6"/>
  <c r="A324" i="6"/>
  <c r="G323" i="6"/>
  <c r="F323" i="6"/>
  <c r="E323" i="6"/>
  <c r="C323" i="6"/>
  <c r="B323" i="6"/>
  <c r="A323" i="6"/>
  <c r="G322" i="6"/>
  <c r="F322" i="6"/>
  <c r="E322" i="6"/>
  <c r="C322" i="6"/>
  <c r="B322" i="6"/>
  <c r="A322" i="6"/>
  <c r="G321" i="6"/>
  <c r="F321" i="6"/>
  <c r="E321" i="6"/>
  <c r="C321" i="6"/>
  <c r="B321" i="6"/>
  <c r="A321" i="6"/>
  <c r="D320" i="6"/>
  <c r="G319" i="6"/>
  <c r="F319" i="6"/>
  <c r="E319" i="6"/>
  <c r="C319" i="6"/>
  <c r="B319" i="6"/>
  <c r="G318" i="6"/>
  <c r="F318" i="6"/>
  <c r="E318" i="6"/>
  <c r="C318" i="6"/>
  <c r="B318" i="6"/>
  <c r="A318" i="6"/>
  <c r="G317" i="6"/>
  <c r="F317" i="6"/>
  <c r="E317" i="6"/>
  <c r="C317" i="6"/>
  <c r="B317" i="6"/>
  <c r="A317" i="6"/>
  <c r="G316" i="6"/>
  <c r="F316" i="6"/>
  <c r="E316" i="6"/>
  <c r="C316" i="6"/>
  <c r="B316" i="6"/>
  <c r="A316" i="6"/>
  <c r="G315" i="6"/>
  <c r="F315" i="6"/>
  <c r="E315" i="6"/>
  <c r="C315" i="6"/>
  <c r="B315" i="6"/>
  <c r="A315" i="6"/>
  <c r="G314" i="6"/>
  <c r="F314" i="6"/>
  <c r="E314" i="6"/>
  <c r="C314" i="6"/>
  <c r="B314" i="6"/>
  <c r="A314" i="6"/>
  <c r="G313" i="6"/>
  <c r="F313" i="6"/>
  <c r="E313" i="6"/>
  <c r="C313" i="6"/>
  <c r="B313" i="6"/>
  <c r="A313" i="6"/>
  <c r="G312" i="6"/>
  <c r="F312" i="6"/>
  <c r="E312" i="6"/>
  <c r="C312" i="6"/>
  <c r="B312" i="6"/>
  <c r="A312" i="6"/>
  <c r="G311" i="6"/>
  <c r="F311" i="6"/>
  <c r="E311" i="6"/>
  <c r="C311" i="6"/>
  <c r="B311" i="6"/>
  <c r="A311" i="6"/>
  <c r="G310" i="6"/>
  <c r="F310" i="6"/>
  <c r="E310" i="6"/>
  <c r="C310" i="6"/>
  <c r="B310" i="6"/>
  <c r="A310" i="6"/>
  <c r="G309" i="6"/>
  <c r="F309" i="6"/>
  <c r="E309" i="6"/>
  <c r="C309" i="6"/>
  <c r="B309" i="6"/>
  <c r="A309" i="6"/>
  <c r="G308" i="6"/>
  <c r="F308" i="6"/>
  <c r="E308" i="6"/>
  <c r="C308" i="6"/>
  <c r="B308" i="6"/>
  <c r="A308" i="6"/>
  <c r="G307" i="6"/>
  <c r="F307" i="6"/>
  <c r="E307" i="6"/>
  <c r="C307" i="6"/>
  <c r="B307" i="6"/>
  <c r="A307" i="6"/>
  <c r="D306" i="6"/>
  <c r="G305" i="6"/>
  <c r="F305" i="6"/>
  <c r="E305" i="6"/>
  <c r="C305" i="6"/>
  <c r="B305" i="6"/>
  <c r="G304" i="6"/>
  <c r="F304" i="6"/>
  <c r="E304" i="6"/>
  <c r="C304" i="6"/>
  <c r="B304" i="6"/>
  <c r="A304" i="6"/>
  <c r="G303" i="6"/>
  <c r="F303" i="6"/>
  <c r="E303" i="6"/>
  <c r="C303" i="6"/>
  <c r="B303" i="6"/>
  <c r="A303" i="6"/>
  <c r="G302" i="6"/>
  <c r="F302" i="6"/>
  <c r="E302" i="6"/>
  <c r="C302" i="6"/>
  <c r="B302" i="6"/>
  <c r="A302" i="6"/>
  <c r="G301" i="6"/>
  <c r="F301" i="6"/>
  <c r="E301" i="6"/>
  <c r="C301" i="6"/>
  <c r="B301" i="6"/>
  <c r="A301" i="6"/>
  <c r="G300" i="6"/>
  <c r="F300" i="6"/>
  <c r="E300" i="6"/>
  <c r="C300" i="6"/>
  <c r="B300" i="6"/>
  <c r="A300" i="6"/>
  <c r="G299" i="6"/>
  <c r="F299" i="6"/>
  <c r="E299" i="6"/>
  <c r="C299" i="6"/>
  <c r="B299" i="6"/>
  <c r="A299" i="6"/>
  <c r="G298" i="6"/>
  <c r="F298" i="6"/>
  <c r="E298" i="6"/>
  <c r="C298" i="6"/>
  <c r="B298" i="6"/>
  <c r="A298" i="6"/>
  <c r="G297" i="6"/>
  <c r="F297" i="6"/>
  <c r="E297" i="6"/>
  <c r="C297" i="6"/>
  <c r="B297" i="6"/>
  <c r="A297" i="6"/>
  <c r="G296" i="6"/>
  <c r="F296" i="6"/>
  <c r="E296" i="6"/>
  <c r="C296" i="6"/>
  <c r="B296" i="6"/>
  <c r="A296" i="6"/>
  <c r="G295" i="6"/>
  <c r="F295" i="6"/>
  <c r="E295" i="6"/>
  <c r="C295" i="6"/>
  <c r="B295" i="6"/>
  <c r="A295" i="6"/>
  <c r="G294" i="6"/>
  <c r="F294" i="6"/>
  <c r="E294" i="6"/>
  <c r="C294" i="6"/>
  <c r="B294" i="6"/>
  <c r="A294" i="6"/>
  <c r="G293" i="6"/>
  <c r="F293" i="6"/>
  <c r="E293" i="6"/>
  <c r="C293" i="6"/>
  <c r="B293" i="6"/>
  <c r="A293" i="6"/>
  <c r="D292" i="6"/>
  <c r="G291" i="6"/>
  <c r="F291" i="6"/>
  <c r="E291" i="6"/>
  <c r="C291" i="6"/>
  <c r="B291" i="6"/>
  <c r="G290" i="6"/>
  <c r="F290" i="6"/>
  <c r="E290" i="6"/>
  <c r="C290" i="6"/>
  <c r="B290" i="6"/>
  <c r="A290" i="6"/>
  <c r="G289" i="6"/>
  <c r="F289" i="6"/>
  <c r="E289" i="6"/>
  <c r="C289" i="6"/>
  <c r="B289" i="6"/>
  <c r="A289" i="6"/>
  <c r="G288" i="6"/>
  <c r="F288" i="6"/>
  <c r="E288" i="6"/>
  <c r="C288" i="6"/>
  <c r="B288" i="6"/>
  <c r="A288" i="6"/>
  <c r="G287" i="6"/>
  <c r="F287" i="6"/>
  <c r="E287" i="6"/>
  <c r="C287" i="6"/>
  <c r="B287" i="6"/>
  <c r="A287" i="6"/>
  <c r="G286" i="6"/>
  <c r="F286" i="6"/>
  <c r="E286" i="6"/>
  <c r="C286" i="6"/>
  <c r="B286" i="6"/>
  <c r="A286" i="6"/>
  <c r="G285" i="6"/>
  <c r="F285" i="6"/>
  <c r="E285" i="6"/>
  <c r="C285" i="6"/>
  <c r="B285" i="6"/>
  <c r="A285" i="6"/>
  <c r="G284" i="6"/>
  <c r="F284" i="6"/>
  <c r="E284" i="6"/>
  <c r="C284" i="6"/>
  <c r="B284" i="6"/>
  <c r="A284" i="6"/>
  <c r="G283" i="6"/>
  <c r="F283" i="6"/>
  <c r="E283" i="6"/>
  <c r="C283" i="6"/>
  <c r="B283" i="6"/>
  <c r="A283" i="6"/>
  <c r="G282" i="6"/>
  <c r="F282" i="6"/>
  <c r="E282" i="6"/>
  <c r="C282" i="6"/>
  <c r="B282" i="6"/>
  <c r="A282" i="6"/>
  <c r="G281" i="6"/>
  <c r="F281" i="6"/>
  <c r="E281" i="6"/>
  <c r="C281" i="6"/>
  <c r="B281" i="6"/>
  <c r="A281" i="6"/>
  <c r="G280" i="6"/>
  <c r="F280" i="6"/>
  <c r="E280" i="6"/>
  <c r="C280" i="6"/>
  <c r="B280" i="6"/>
  <c r="A280" i="6"/>
  <c r="D279" i="6"/>
  <c r="G278" i="6"/>
  <c r="F278" i="6"/>
  <c r="E278" i="6"/>
  <c r="C278" i="6"/>
  <c r="B278" i="6"/>
  <c r="G277" i="6"/>
  <c r="F277" i="6"/>
  <c r="E277" i="6"/>
  <c r="C277" i="6"/>
  <c r="B277" i="6"/>
  <c r="A277" i="6"/>
  <c r="G276" i="6"/>
  <c r="F276" i="6"/>
  <c r="E276" i="6"/>
  <c r="C276" i="6"/>
  <c r="B276" i="6"/>
  <c r="A276" i="6"/>
  <c r="G275" i="6"/>
  <c r="F275" i="6"/>
  <c r="E275" i="6"/>
  <c r="C275" i="6"/>
  <c r="B275" i="6"/>
  <c r="A275" i="6"/>
  <c r="G274" i="6"/>
  <c r="F274" i="6"/>
  <c r="E274" i="6"/>
  <c r="C274" i="6"/>
  <c r="B274" i="6"/>
  <c r="A274" i="6"/>
  <c r="G273" i="6"/>
  <c r="F273" i="6"/>
  <c r="E273" i="6"/>
  <c r="C273" i="6"/>
  <c r="B273" i="6"/>
  <c r="A273" i="6"/>
  <c r="G272" i="6"/>
  <c r="F272" i="6"/>
  <c r="E272" i="6"/>
  <c r="C272" i="6"/>
  <c r="B272" i="6"/>
  <c r="A272" i="6"/>
  <c r="G271" i="6"/>
  <c r="F271" i="6"/>
  <c r="E271" i="6"/>
  <c r="C271" i="6"/>
  <c r="B271" i="6"/>
  <c r="A271" i="6"/>
  <c r="G270" i="6"/>
  <c r="F270" i="6"/>
  <c r="E270" i="6"/>
  <c r="C270" i="6"/>
  <c r="B270" i="6"/>
  <c r="A270" i="6"/>
  <c r="G269" i="6"/>
  <c r="F269" i="6"/>
  <c r="E269" i="6"/>
  <c r="C269" i="6"/>
  <c r="B269" i="6"/>
  <c r="A269" i="6"/>
  <c r="G268" i="6"/>
  <c r="F268" i="6"/>
  <c r="E268" i="6"/>
  <c r="C268" i="6"/>
  <c r="B268" i="6"/>
  <c r="A268" i="6"/>
  <c r="G267" i="6"/>
  <c r="F267" i="6"/>
  <c r="E267" i="6"/>
  <c r="C267" i="6"/>
  <c r="B267" i="6"/>
  <c r="A267" i="6"/>
  <c r="G266" i="6"/>
  <c r="F266" i="6"/>
  <c r="E266" i="6"/>
  <c r="C266" i="6"/>
  <c r="B266" i="6"/>
  <c r="A266" i="6"/>
  <c r="D265" i="6"/>
  <c r="G264" i="6"/>
  <c r="F264" i="6"/>
  <c r="E264" i="6"/>
  <c r="C264" i="6"/>
  <c r="B264" i="6"/>
  <c r="G263" i="6"/>
  <c r="F263" i="6"/>
  <c r="E263" i="6"/>
  <c r="C263" i="6"/>
  <c r="B263" i="6"/>
  <c r="A263" i="6"/>
  <c r="G262" i="6"/>
  <c r="F262" i="6"/>
  <c r="E262" i="6"/>
  <c r="C262" i="6"/>
  <c r="B262" i="6"/>
  <c r="A262" i="6"/>
  <c r="G261" i="6"/>
  <c r="F261" i="6"/>
  <c r="E261" i="6"/>
  <c r="C261" i="6"/>
  <c r="B261" i="6"/>
  <c r="A261" i="6"/>
  <c r="G260" i="6"/>
  <c r="F260" i="6"/>
  <c r="E260" i="6"/>
  <c r="C260" i="6"/>
  <c r="B260" i="6"/>
  <c r="A260" i="6"/>
  <c r="G259" i="6"/>
  <c r="F259" i="6"/>
  <c r="E259" i="6"/>
  <c r="C259" i="6"/>
  <c r="B259" i="6"/>
  <c r="A259" i="6"/>
  <c r="G258" i="6"/>
  <c r="F258" i="6"/>
  <c r="E258" i="6"/>
  <c r="C258" i="6"/>
  <c r="B258" i="6"/>
  <c r="A258" i="6"/>
  <c r="G257" i="6"/>
  <c r="F257" i="6"/>
  <c r="E257" i="6"/>
  <c r="C257" i="6"/>
  <c r="B257" i="6"/>
  <c r="A257" i="6"/>
  <c r="G256" i="6"/>
  <c r="F256" i="6"/>
  <c r="E256" i="6"/>
  <c r="C256" i="6"/>
  <c r="B256" i="6"/>
  <c r="A256" i="6"/>
  <c r="G255" i="6"/>
  <c r="F255" i="6"/>
  <c r="E255" i="6"/>
  <c r="C255" i="6"/>
  <c r="B255" i="6"/>
  <c r="A255" i="6"/>
  <c r="G254" i="6"/>
  <c r="F254" i="6"/>
  <c r="E254" i="6"/>
  <c r="C254" i="6"/>
  <c r="B254" i="6"/>
  <c r="A254" i="6"/>
  <c r="G253" i="6"/>
  <c r="F253" i="6"/>
  <c r="E253" i="6"/>
  <c r="C253" i="6"/>
  <c r="B253" i="6"/>
  <c r="A253" i="6"/>
  <c r="G252" i="6"/>
  <c r="F252" i="6"/>
  <c r="E252" i="6"/>
  <c r="C252" i="6"/>
  <c r="B252" i="6"/>
  <c r="A252" i="6"/>
  <c r="D251" i="6"/>
  <c r="G250" i="6"/>
  <c r="F250" i="6"/>
  <c r="E250" i="6"/>
  <c r="C250" i="6"/>
  <c r="B250" i="6"/>
  <c r="G249" i="6"/>
  <c r="F249" i="6"/>
  <c r="E249" i="6"/>
  <c r="C249" i="6"/>
  <c r="B249" i="6"/>
  <c r="A249" i="6"/>
  <c r="G248" i="6"/>
  <c r="F248" i="6"/>
  <c r="E248" i="6"/>
  <c r="C248" i="6"/>
  <c r="B248" i="6"/>
  <c r="A248" i="6"/>
  <c r="G247" i="6"/>
  <c r="F247" i="6"/>
  <c r="E247" i="6"/>
  <c r="C247" i="6"/>
  <c r="B247" i="6"/>
  <c r="A247" i="6"/>
  <c r="G246" i="6"/>
  <c r="F246" i="6"/>
  <c r="E246" i="6"/>
  <c r="C246" i="6"/>
  <c r="B246" i="6"/>
  <c r="A246" i="6"/>
  <c r="G245" i="6"/>
  <c r="F245" i="6"/>
  <c r="E245" i="6"/>
  <c r="C245" i="6"/>
  <c r="B245" i="6"/>
  <c r="A245" i="6"/>
  <c r="G244" i="6"/>
  <c r="F244" i="6"/>
  <c r="E244" i="6"/>
  <c r="C244" i="6"/>
  <c r="B244" i="6"/>
  <c r="A244" i="6"/>
  <c r="G243" i="6"/>
  <c r="F243" i="6"/>
  <c r="E243" i="6"/>
  <c r="C243" i="6"/>
  <c r="B243" i="6"/>
  <c r="A243" i="6"/>
  <c r="G242" i="6"/>
  <c r="F242" i="6"/>
  <c r="E242" i="6"/>
  <c r="C242" i="6"/>
  <c r="B242" i="6"/>
  <c r="A242" i="6"/>
  <c r="G241" i="6"/>
  <c r="F241" i="6"/>
  <c r="E241" i="6"/>
  <c r="C241" i="6"/>
  <c r="B241" i="6"/>
  <c r="A241" i="6"/>
  <c r="G240" i="6"/>
  <c r="F240" i="6"/>
  <c r="E240" i="6"/>
  <c r="C240" i="6"/>
  <c r="B240" i="6"/>
  <c r="A240" i="6"/>
  <c r="G239" i="6"/>
  <c r="F239" i="6"/>
  <c r="E239" i="6"/>
  <c r="C239" i="6"/>
  <c r="B239" i="6"/>
  <c r="A239" i="6"/>
  <c r="G238" i="6"/>
  <c r="F238" i="6"/>
  <c r="E238" i="6"/>
  <c r="C238" i="6"/>
  <c r="B238" i="6"/>
  <c r="A238" i="6"/>
  <c r="D237" i="6"/>
  <c r="G236" i="6"/>
  <c r="F236" i="6"/>
  <c r="E236" i="6"/>
  <c r="C236" i="6"/>
  <c r="B236" i="6"/>
  <c r="G235" i="6"/>
  <c r="F235" i="6"/>
  <c r="E235" i="6"/>
  <c r="C235" i="6"/>
  <c r="B235" i="6"/>
  <c r="A235" i="6"/>
  <c r="G234" i="6"/>
  <c r="F234" i="6"/>
  <c r="E234" i="6"/>
  <c r="C234" i="6"/>
  <c r="B234" i="6"/>
  <c r="A234" i="6"/>
  <c r="G233" i="6"/>
  <c r="F233" i="6"/>
  <c r="E233" i="6"/>
  <c r="C233" i="6"/>
  <c r="B233" i="6"/>
  <c r="A233" i="6"/>
  <c r="G232" i="6"/>
  <c r="F232" i="6"/>
  <c r="E232" i="6"/>
  <c r="C232" i="6"/>
  <c r="B232" i="6"/>
  <c r="A232" i="6"/>
  <c r="G231" i="6"/>
  <c r="F231" i="6"/>
  <c r="E231" i="6"/>
  <c r="C231" i="6"/>
  <c r="B231" i="6"/>
  <c r="A231" i="6"/>
  <c r="G230" i="6"/>
  <c r="F230" i="6"/>
  <c r="E230" i="6"/>
  <c r="C230" i="6"/>
  <c r="B230" i="6"/>
  <c r="A230" i="6"/>
  <c r="G229" i="6"/>
  <c r="F229" i="6"/>
  <c r="E229" i="6"/>
  <c r="C229" i="6"/>
  <c r="B229" i="6"/>
  <c r="A229" i="6"/>
  <c r="G228" i="6"/>
  <c r="F228" i="6"/>
  <c r="E228" i="6"/>
  <c r="C228" i="6"/>
  <c r="B228" i="6"/>
  <c r="A228" i="6"/>
  <c r="G227" i="6"/>
  <c r="F227" i="6"/>
  <c r="E227" i="6"/>
  <c r="C227" i="6"/>
  <c r="B227" i="6"/>
  <c r="A227" i="6"/>
  <c r="G226" i="6"/>
  <c r="F226" i="6"/>
  <c r="E226" i="6"/>
  <c r="C226" i="6"/>
  <c r="B226" i="6"/>
  <c r="A226" i="6"/>
  <c r="G225" i="6"/>
  <c r="F225" i="6"/>
  <c r="E225" i="6"/>
  <c r="C225" i="6"/>
  <c r="B225" i="6"/>
  <c r="A225" i="6"/>
  <c r="G224" i="6"/>
  <c r="F224" i="6"/>
  <c r="E224" i="6"/>
  <c r="C224" i="6"/>
  <c r="B224" i="6"/>
  <c r="A224" i="6"/>
  <c r="D223" i="6"/>
  <c r="G222" i="6"/>
  <c r="F222" i="6"/>
  <c r="E222" i="6"/>
  <c r="C222" i="6"/>
  <c r="B222" i="6"/>
  <c r="G221" i="6"/>
  <c r="F221" i="6"/>
  <c r="E221" i="6"/>
  <c r="C221" i="6"/>
  <c r="B221" i="6"/>
  <c r="A221" i="6"/>
  <c r="G220" i="6"/>
  <c r="F220" i="6"/>
  <c r="E220" i="6"/>
  <c r="C220" i="6"/>
  <c r="B220" i="6"/>
  <c r="A220" i="6"/>
  <c r="G219" i="6"/>
  <c r="F219" i="6"/>
  <c r="E219" i="6"/>
  <c r="C219" i="6"/>
  <c r="B219" i="6"/>
  <c r="A219" i="6"/>
  <c r="G218" i="6"/>
  <c r="F218" i="6"/>
  <c r="E218" i="6"/>
  <c r="C218" i="6"/>
  <c r="B218" i="6"/>
  <c r="A218" i="6"/>
  <c r="G217" i="6"/>
  <c r="F217" i="6"/>
  <c r="E217" i="6"/>
  <c r="C217" i="6"/>
  <c r="B217" i="6"/>
  <c r="A217" i="6"/>
  <c r="G216" i="6"/>
  <c r="F216" i="6"/>
  <c r="E216" i="6"/>
  <c r="C216" i="6"/>
  <c r="B216" i="6"/>
  <c r="A216" i="6"/>
  <c r="G215" i="6"/>
  <c r="F215" i="6"/>
  <c r="E215" i="6"/>
  <c r="C215" i="6"/>
  <c r="B215" i="6"/>
  <c r="A215" i="6"/>
  <c r="G214" i="6"/>
  <c r="F214" i="6"/>
  <c r="E214" i="6"/>
  <c r="C214" i="6"/>
  <c r="B214" i="6"/>
  <c r="A214" i="6"/>
  <c r="G213" i="6"/>
  <c r="F213" i="6"/>
  <c r="E213" i="6"/>
  <c r="C213" i="6"/>
  <c r="B213" i="6"/>
  <c r="A213" i="6"/>
  <c r="G212" i="6"/>
  <c r="F212" i="6"/>
  <c r="E212" i="6"/>
  <c r="C212" i="6"/>
  <c r="B212" i="6"/>
  <c r="A212" i="6"/>
  <c r="G211" i="6"/>
  <c r="F211" i="6"/>
  <c r="E211" i="6"/>
  <c r="C211" i="6"/>
  <c r="B211" i="6"/>
  <c r="A211" i="6"/>
  <c r="G210" i="6"/>
  <c r="F210" i="6"/>
  <c r="E210" i="6"/>
  <c r="C210" i="6"/>
  <c r="B210" i="6"/>
  <c r="A210" i="6"/>
  <c r="G209" i="6"/>
  <c r="D209" i="6"/>
  <c r="G208" i="6"/>
  <c r="F208" i="6"/>
  <c r="E208" i="6"/>
  <c r="C208" i="6"/>
  <c r="B208" i="6"/>
  <c r="G207" i="6"/>
  <c r="F207" i="6"/>
  <c r="E207" i="6"/>
  <c r="C207" i="6"/>
  <c r="B207" i="6"/>
  <c r="A207" i="6"/>
  <c r="G206" i="6"/>
  <c r="F206" i="6"/>
  <c r="E206" i="6"/>
  <c r="C206" i="6"/>
  <c r="B206" i="6"/>
  <c r="A206" i="6"/>
  <c r="G205" i="6"/>
  <c r="F205" i="6"/>
  <c r="E205" i="6"/>
  <c r="C205" i="6"/>
  <c r="B205" i="6"/>
  <c r="A205" i="6"/>
  <c r="G204" i="6"/>
  <c r="F204" i="6"/>
  <c r="E204" i="6"/>
  <c r="C204" i="6"/>
  <c r="B204" i="6"/>
  <c r="A204" i="6"/>
  <c r="G203" i="6"/>
  <c r="F203" i="6"/>
  <c r="E203" i="6"/>
  <c r="C203" i="6"/>
  <c r="B203" i="6"/>
  <c r="A203" i="6"/>
  <c r="G202" i="6"/>
  <c r="F202" i="6"/>
  <c r="E202" i="6"/>
  <c r="C202" i="6"/>
  <c r="B202" i="6"/>
  <c r="A202" i="6"/>
  <c r="G201" i="6"/>
  <c r="F201" i="6"/>
  <c r="E201" i="6"/>
  <c r="C201" i="6"/>
  <c r="B201" i="6"/>
  <c r="A201" i="6"/>
  <c r="G200" i="6"/>
  <c r="F200" i="6"/>
  <c r="E200" i="6"/>
  <c r="C200" i="6"/>
  <c r="B200" i="6"/>
  <c r="A200" i="6"/>
  <c r="G199" i="6"/>
  <c r="F199" i="6"/>
  <c r="E199" i="6"/>
  <c r="C199" i="6"/>
  <c r="B199" i="6"/>
  <c r="A199" i="6"/>
  <c r="G198" i="6"/>
  <c r="F198" i="6"/>
  <c r="E198" i="6"/>
  <c r="C198" i="6"/>
  <c r="B198" i="6"/>
  <c r="A198" i="6"/>
  <c r="G197" i="6"/>
  <c r="F197" i="6"/>
  <c r="E197" i="6"/>
  <c r="C197" i="6"/>
  <c r="B197" i="6"/>
  <c r="A197" i="6"/>
  <c r="G196" i="6"/>
  <c r="F196" i="6"/>
  <c r="E196" i="6"/>
  <c r="C196" i="6"/>
  <c r="B196" i="6"/>
  <c r="A196" i="6"/>
  <c r="G195" i="6"/>
  <c r="D195" i="6"/>
  <c r="G194" i="6"/>
  <c r="F194" i="6"/>
  <c r="E194" i="6"/>
  <c r="C194" i="6"/>
  <c r="B194" i="6"/>
  <c r="G193" i="6"/>
  <c r="F193" i="6"/>
  <c r="E193" i="6"/>
  <c r="C193" i="6"/>
  <c r="B193" i="6"/>
  <c r="A193" i="6"/>
  <c r="G192" i="6"/>
  <c r="F192" i="6"/>
  <c r="E192" i="6"/>
  <c r="C192" i="6"/>
  <c r="B192" i="6"/>
  <c r="A192" i="6"/>
  <c r="G191" i="6"/>
  <c r="F191" i="6"/>
  <c r="E191" i="6"/>
  <c r="C191" i="6"/>
  <c r="B191" i="6"/>
  <c r="A191" i="6"/>
  <c r="G190" i="6"/>
  <c r="F190" i="6"/>
  <c r="E190" i="6"/>
  <c r="C190" i="6"/>
  <c r="B190" i="6"/>
  <c r="A190" i="6"/>
  <c r="G189" i="6"/>
  <c r="F189" i="6"/>
  <c r="E189" i="6"/>
  <c r="C189" i="6"/>
  <c r="B189" i="6"/>
  <c r="A189" i="6"/>
  <c r="G188" i="6"/>
  <c r="F188" i="6"/>
  <c r="E188" i="6"/>
  <c r="C188" i="6"/>
  <c r="B188" i="6"/>
  <c r="A188" i="6"/>
  <c r="G187" i="6"/>
  <c r="F187" i="6"/>
  <c r="E187" i="6"/>
  <c r="C187" i="6"/>
  <c r="B187" i="6"/>
  <c r="A187" i="6"/>
  <c r="G186" i="6"/>
  <c r="F186" i="6"/>
  <c r="E186" i="6"/>
  <c r="C186" i="6"/>
  <c r="B186" i="6"/>
  <c r="A186" i="6"/>
  <c r="G185" i="6"/>
  <c r="F185" i="6"/>
  <c r="E185" i="6"/>
  <c r="C185" i="6"/>
  <c r="B185" i="6"/>
  <c r="A185" i="6"/>
  <c r="G184" i="6"/>
  <c r="F184" i="6"/>
  <c r="E184" i="6"/>
  <c r="C184" i="6"/>
  <c r="B184" i="6"/>
  <c r="A184" i="6"/>
  <c r="G183" i="6"/>
  <c r="F183" i="6"/>
  <c r="E183" i="6"/>
  <c r="C183" i="6"/>
  <c r="B183" i="6"/>
  <c r="A183" i="6"/>
  <c r="G182" i="6"/>
  <c r="F182" i="6"/>
  <c r="E182" i="6"/>
  <c r="C182" i="6"/>
  <c r="B182" i="6"/>
  <c r="A182" i="6"/>
  <c r="G181" i="6"/>
  <c r="D181" i="6"/>
  <c r="G180" i="6"/>
  <c r="F180" i="6"/>
  <c r="E180" i="6"/>
  <c r="C180" i="6"/>
  <c r="B180" i="6"/>
  <c r="G179" i="6"/>
  <c r="F179" i="6"/>
  <c r="E179" i="6"/>
  <c r="C179" i="6"/>
  <c r="B179" i="6"/>
  <c r="A179" i="6"/>
  <c r="G178" i="6"/>
  <c r="F178" i="6"/>
  <c r="E178" i="6"/>
  <c r="C178" i="6"/>
  <c r="B178" i="6"/>
  <c r="A178" i="6"/>
  <c r="G177" i="6"/>
  <c r="F177" i="6"/>
  <c r="E177" i="6"/>
  <c r="C177" i="6"/>
  <c r="B177" i="6"/>
  <c r="A177" i="6"/>
  <c r="G176" i="6"/>
  <c r="F176" i="6"/>
  <c r="E176" i="6"/>
  <c r="C176" i="6"/>
  <c r="B176" i="6"/>
  <c r="A176" i="6"/>
  <c r="G175" i="6"/>
  <c r="F175" i="6"/>
  <c r="E175" i="6"/>
  <c r="C175" i="6"/>
  <c r="B175" i="6"/>
  <c r="A175" i="6"/>
  <c r="G174" i="6"/>
  <c r="F174" i="6"/>
  <c r="E174" i="6"/>
  <c r="C174" i="6"/>
  <c r="B174" i="6"/>
  <c r="A174" i="6"/>
  <c r="G173" i="6"/>
  <c r="F173" i="6"/>
  <c r="E173" i="6"/>
  <c r="C173" i="6"/>
  <c r="B173" i="6"/>
  <c r="A173" i="6"/>
  <c r="G172" i="6"/>
  <c r="F172" i="6"/>
  <c r="E172" i="6"/>
  <c r="C172" i="6"/>
  <c r="B172" i="6"/>
  <c r="A172" i="6"/>
  <c r="G171" i="6"/>
  <c r="F171" i="6"/>
  <c r="E171" i="6"/>
  <c r="C171" i="6"/>
  <c r="B171" i="6"/>
  <c r="A171" i="6"/>
  <c r="G170" i="6"/>
  <c r="F170" i="6"/>
  <c r="E170" i="6"/>
  <c r="C170" i="6"/>
  <c r="B170" i="6"/>
  <c r="A170" i="6"/>
  <c r="G169" i="6"/>
  <c r="F169" i="6"/>
  <c r="E169" i="6"/>
  <c r="C169" i="6"/>
  <c r="B169" i="6"/>
  <c r="A169" i="6"/>
  <c r="G168" i="6"/>
  <c r="F168" i="6"/>
  <c r="E168" i="6"/>
  <c r="C168" i="6"/>
  <c r="B168" i="6"/>
  <c r="A168" i="6"/>
  <c r="G167" i="6"/>
  <c r="D167" i="6"/>
  <c r="G166" i="6"/>
  <c r="F166" i="6"/>
  <c r="E166" i="6"/>
  <c r="C166" i="6"/>
  <c r="B166" i="6"/>
  <c r="G165" i="6"/>
  <c r="F165" i="6"/>
  <c r="E165" i="6"/>
  <c r="C165" i="6"/>
  <c r="B165" i="6"/>
  <c r="A165" i="6"/>
  <c r="G164" i="6"/>
  <c r="F164" i="6"/>
  <c r="E164" i="6"/>
  <c r="C164" i="6"/>
  <c r="B164" i="6"/>
  <c r="A164" i="6"/>
  <c r="G163" i="6"/>
  <c r="F163" i="6"/>
  <c r="E163" i="6"/>
  <c r="C163" i="6"/>
  <c r="B163" i="6"/>
  <c r="A163" i="6"/>
  <c r="G162" i="6"/>
  <c r="F162" i="6"/>
  <c r="E162" i="6"/>
  <c r="C162" i="6"/>
  <c r="B162" i="6"/>
  <c r="A162" i="6"/>
  <c r="G161" i="6"/>
  <c r="F161" i="6"/>
  <c r="E161" i="6"/>
  <c r="C161" i="6"/>
  <c r="B161" i="6"/>
  <c r="A161" i="6"/>
  <c r="G160" i="6"/>
  <c r="F160" i="6"/>
  <c r="E160" i="6"/>
  <c r="C160" i="6"/>
  <c r="B160" i="6"/>
  <c r="A160" i="6"/>
  <c r="G159" i="6"/>
  <c r="F159" i="6"/>
  <c r="E159" i="6"/>
  <c r="C159" i="6"/>
  <c r="B159" i="6"/>
  <c r="A159" i="6"/>
  <c r="G158" i="6"/>
  <c r="F158" i="6"/>
  <c r="E158" i="6"/>
  <c r="C158" i="6"/>
  <c r="B158" i="6"/>
  <c r="A158" i="6"/>
  <c r="G157" i="6"/>
  <c r="F157" i="6"/>
  <c r="E157" i="6"/>
  <c r="C157" i="6"/>
  <c r="B157" i="6"/>
  <c r="A157" i="6"/>
  <c r="G156" i="6"/>
  <c r="F156" i="6"/>
  <c r="E156" i="6"/>
  <c r="C156" i="6"/>
  <c r="B156" i="6"/>
  <c r="A156" i="6"/>
  <c r="G155" i="6"/>
  <c r="F155" i="6"/>
  <c r="E155" i="6"/>
  <c r="C155" i="6"/>
  <c r="B155" i="6"/>
  <c r="A155" i="6"/>
  <c r="G154" i="6"/>
  <c r="F154" i="6"/>
  <c r="E154" i="6"/>
  <c r="C154" i="6"/>
  <c r="B154" i="6"/>
  <c r="A154" i="6"/>
  <c r="D153" i="6"/>
  <c r="G152" i="6"/>
  <c r="F152" i="6"/>
  <c r="E152" i="6"/>
  <c r="C152" i="6"/>
  <c r="B152" i="6"/>
  <c r="G9" i="6"/>
  <c r="F9" i="6"/>
  <c r="E9" i="6"/>
  <c r="C9" i="6"/>
  <c r="B9" i="6"/>
  <c r="A9" i="6"/>
  <c r="D8" i="6"/>
  <c r="B6" i="6"/>
  <c r="G370" i="2"/>
  <c r="F370" i="2"/>
  <c r="E370" i="2"/>
  <c r="C370" i="2"/>
  <c r="B370" i="2"/>
  <c r="A370" i="2"/>
  <c r="G369" i="2"/>
  <c r="F369" i="2"/>
  <c r="E369" i="2"/>
  <c r="C369" i="2"/>
  <c r="B369" i="2"/>
  <c r="A369" i="2"/>
  <c r="G368" i="2"/>
  <c r="F368" i="2"/>
  <c r="E368" i="2"/>
  <c r="C368" i="2"/>
  <c r="B368" i="2"/>
  <c r="A368" i="2"/>
  <c r="G367" i="2"/>
  <c r="F367" i="2"/>
  <c r="E367" i="2"/>
  <c r="C367" i="2"/>
  <c r="B367" i="2"/>
  <c r="A367" i="2"/>
  <c r="G366" i="2"/>
  <c r="F366" i="2"/>
  <c r="E366" i="2"/>
  <c r="C366" i="2"/>
  <c r="B366" i="2"/>
  <c r="A366" i="2"/>
  <c r="G365" i="2"/>
  <c r="F365" i="2"/>
  <c r="E365" i="2"/>
  <c r="C365" i="2"/>
  <c r="B365" i="2"/>
  <c r="A365" i="2"/>
  <c r="G364" i="2"/>
  <c r="F364" i="2"/>
  <c r="E364" i="2"/>
  <c r="C364" i="2"/>
  <c r="B364" i="2"/>
  <c r="A364" i="2"/>
  <c r="G363" i="2"/>
  <c r="F363" i="2"/>
  <c r="E363" i="2"/>
  <c r="C363" i="2"/>
  <c r="B363" i="2"/>
  <c r="A363" i="2"/>
  <c r="G362" i="2"/>
  <c r="F362" i="2"/>
  <c r="E362" i="2"/>
  <c r="C362" i="2"/>
  <c r="B362" i="2"/>
  <c r="A362" i="2"/>
  <c r="G361" i="2"/>
  <c r="F361" i="2"/>
  <c r="E361" i="2"/>
  <c r="C361" i="2"/>
  <c r="B361" i="2"/>
  <c r="A361" i="2"/>
  <c r="G360" i="2"/>
  <c r="F360" i="2"/>
  <c r="E360" i="2"/>
  <c r="C360" i="2"/>
  <c r="B360" i="2"/>
  <c r="A360" i="2"/>
  <c r="G359" i="2"/>
  <c r="F359" i="2"/>
  <c r="E359" i="2"/>
  <c r="C359" i="2"/>
  <c r="B359" i="2"/>
  <c r="A359" i="2"/>
  <c r="D358" i="2"/>
  <c r="G357" i="2"/>
  <c r="F357" i="2"/>
  <c r="E357" i="2"/>
  <c r="C357" i="2"/>
  <c r="B357" i="2"/>
  <c r="G356" i="2"/>
  <c r="F356" i="2"/>
  <c r="E356" i="2"/>
  <c r="C356" i="2"/>
  <c r="B356" i="2"/>
  <c r="A356" i="2"/>
  <c r="G355" i="2"/>
  <c r="F355" i="2"/>
  <c r="E355" i="2"/>
  <c r="C355" i="2"/>
  <c r="B355" i="2"/>
  <c r="A355" i="2"/>
  <c r="G354" i="2"/>
  <c r="F354" i="2"/>
  <c r="E354" i="2"/>
  <c r="C354" i="2"/>
  <c r="B354" i="2"/>
  <c r="A354" i="2"/>
  <c r="G353" i="2"/>
  <c r="F353" i="2"/>
  <c r="E353" i="2"/>
  <c r="C353" i="2"/>
  <c r="B353" i="2"/>
  <c r="A353" i="2"/>
  <c r="G352" i="2"/>
  <c r="F352" i="2"/>
  <c r="E352" i="2"/>
  <c r="C352" i="2"/>
  <c r="B352" i="2"/>
  <c r="A352" i="2"/>
  <c r="G351" i="2"/>
  <c r="F351" i="2"/>
  <c r="E351" i="2"/>
  <c r="C351" i="2"/>
  <c r="B351" i="2"/>
  <c r="A351" i="2"/>
  <c r="G350" i="2"/>
  <c r="F350" i="2"/>
  <c r="E350" i="2"/>
  <c r="C350" i="2"/>
  <c r="B350" i="2"/>
  <c r="A350" i="2"/>
  <c r="G349" i="2"/>
  <c r="F349" i="2"/>
  <c r="E349" i="2"/>
  <c r="C349" i="2"/>
  <c r="B349" i="2"/>
  <c r="A349" i="2"/>
  <c r="G348" i="2"/>
  <c r="F348" i="2"/>
  <c r="E348" i="2"/>
  <c r="C348" i="2"/>
  <c r="B348" i="2"/>
  <c r="A348" i="2"/>
  <c r="G347" i="2"/>
  <c r="F347" i="2"/>
  <c r="E347" i="2"/>
  <c r="C347" i="2"/>
  <c r="B347" i="2"/>
  <c r="A347" i="2"/>
  <c r="G346" i="2"/>
  <c r="F346" i="2"/>
  <c r="E346" i="2"/>
  <c r="C346" i="2"/>
  <c r="B346" i="2"/>
  <c r="A346" i="2"/>
  <c r="G345" i="2"/>
  <c r="F345" i="2"/>
  <c r="E345" i="2"/>
  <c r="C345" i="2"/>
  <c r="B345" i="2"/>
  <c r="A345" i="2"/>
  <c r="D344" i="2"/>
  <c r="G343" i="2"/>
  <c r="F343" i="2"/>
  <c r="E343" i="2"/>
  <c r="C343" i="2"/>
  <c r="B343" i="2"/>
  <c r="G342" i="2"/>
  <c r="F342" i="2"/>
  <c r="E342" i="2"/>
  <c r="C342" i="2"/>
  <c r="B342" i="2"/>
  <c r="A342" i="2"/>
  <c r="G341" i="2"/>
  <c r="F341" i="2"/>
  <c r="E341" i="2"/>
  <c r="C341" i="2"/>
  <c r="B341" i="2"/>
  <c r="A341" i="2"/>
  <c r="G340" i="2"/>
  <c r="F340" i="2"/>
  <c r="E340" i="2"/>
  <c r="C340" i="2"/>
  <c r="B340" i="2"/>
  <c r="A340" i="2"/>
  <c r="G339" i="2"/>
  <c r="F339" i="2"/>
  <c r="E339" i="2"/>
  <c r="C339" i="2"/>
  <c r="B339" i="2"/>
  <c r="A339" i="2"/>
  <c r="G338" i="2"/>
  <c r="F338" i="2"/>
  <c r="E338" i="2"/>
  <c r="C338" i="2"/>
  <c r="B338" i="2"/>
  <c r="A338" i="2"/>
  <c r="G337" i="2"/>
  <c r="F337" i="2"/>
  <c r="E337" i="2"/>
  <c r="C337" i="2"/>
  <c r="B337" i="2"/>
  <c r="A337" i="2"/>
  <c r="G336" i="2"/>
  <c r="F336" i="2"/>
  <c r="E336" i="2"/>
  <c r="C336" i="2"/>
  <c r="B336" i="2"/>
  <c r="A336" i="2"/>
  <c r="G335" i="2"/>
  <c r="F335" i="2"/>
  <c r="E335" i="2"/>
  <c r="C335" i="2"/>
  <c r="B335" i="2"/>
  <c r="A335" i="2"/>
  <c r="G334" i="2"/>
  <c r="F334" i="2"/>
  <c r="E334" i="2"/>
  <c r="C334" i="2"/>
  <c r="B334" i="2"/>
  <c r="A334" i="2"/>
  <c r="G333" i="2"/>
  <c r="F333" i="2"/>
  <c r="E333" i="2"/>
  <c r="C333" i="2"/>
  <c r="B333" i="2"/>
  <c r="A333" i="2"/>
  <c r="G332" i="2"/>
  <c r="F332" i="2"/>
  <c r="E332" i="2"/>
  <c r="C332" i="2"/>
  <c r="B332" i="2"/>
  <c r="A332" i="2"/>
  <c r="G331" i="2"/>
  <c r="F331" i="2"/>
  <c r="E331" i="2"/>
  <c r="C331" i="2"/>
  <c r="B331" i="2"/>
  <c r="A331" i="2"/>
  <c r="D330" i="2"/>
  <c r="G329" i="2"/>
  <c r="F329" i="2"/>
  <c r="E329" i="2"/>
  <c r="C329" i="2"/>
  <c r="B329" i="2"/>
  <c r="G328" i="2"/>
  <c r="F328" i="2"/>
  <c r="E328" i="2"/>
  <c r="C328" i="2"/>
  <c r="B328" i="2"/>
  <c r="A328" i="2"/>
  <c r="G327" i="2"/>
  <c r="F327" i="2"/>
  <c r="E327" i="2"/>
  <c r="C327" i="2"/>
  <c r="B327" i="2"/>
  <c r="A327" i="2"/>
  <c r="G326" i="2"/>
  <c r="F326" i="2"/>
  <c r="E326" i="2"/>
  <c r="C326" i="2"/>
  <c r="B326" i="2"/>
  <c r="A326" i="2"/>
  <c r="G325" i="2"/>
  <c r="F325" i="2"/>
  <c r="E325" i="2"/>
  <c r="C325" i="2"/>
  <c r="B325" i="2"/>
  <c r="A325" i="2"/>
  <c r="G324" i="2"/>
  <c r="F324" i="2"/>
  <c r="E324" i="2"/>
  <c r="C324" i="2"/>
  <c r="B324" i="2"/>
  <c r="A324" i="2"/>
  <c r="G323" i="2"/>
  <c r="F323" i="2"/>
  <c r="E323" i="2"/>
  <c r="C323" i="2"/>
  <c r="B323" i="2"/>
  <c r="A323" i="2"/>
  <c r="G322" i="2"/>
  <c r="F322" i="2"/>
  <c r="E322" i="2"/>
  <c r="C322" i="2"/>
  <c r="B322" i="2"/>
  <c r="A322" i="2"/>
  <c r="G321" i="2"/>
  <c r="F321" i="2"/>
  <c r="E321" i="2"/>
  <c r="C321" i="2"/>
  <c r="B321" i="2"/>
  <c r="A321" i="2"/>
  <c r="G320" i="2"/>
  <c r="F320" i="2"/>
  <c r="E320" i="2"/>
  <c r="C320" i="2"/>
  <c r="B320" i="2"/>
  <c r="A320" i="2"/>
  <c r="G319" i="2"/>
  <c r="F319" i="2"/>
  <c r="E319" i="2"/>
  <c r="C319" i="2"/>
  <c r="B319" i="2"/>
  <c r="A319" i="2"/>
  <c r="G318" i="2"/>
  <c r="F318" i="2"/>
  <c r="E318" i="2"/>
  <c r="C318" i="2"/>
  <c r="B318" i="2"/>
  <c r="A318" i="2"/>
  <c r="G317" i="2"/>
  <c r="F317" i="2"/>
  <c r="E317" i="2"/>
  <c r="C317" i="2"/>
  <c r="B317" i="2"/>
  <c r="A317" i="2"/>
  <c r="D316" i="2"/>
  <c r="G315" i="2"/>
  <c r="F315" i="2"/>
  <c r="E315" i="2"/>
  <c r="C315" i="2"/>
  <c r="B315" i="2"/>
  <c r="G314" i="2"/>
  <c r="F314" i="2"/>
  <c r="E314" i="2"/>
  <c r="C314" i="2"/>
  <c r="B314" i="2"/>
  <c r="A314" i="2"/>
  <c r="G313" i="2"/>
  <c r="F313" i="2"/>
  <c r="E313" i="2"/>
  <c r="C313" i="2"/>
  <c r="B313" i="2"/>
  <c r="A313" i="2"/>
  <c r="G312" i="2"/>
  <c r="F312" i="2"/>
  <c r="E312" i="2"/>
  <c r="C312" i="2"/>
  <c r="B312" i="2"/>
  <c r="A312" i="2"/>
  <c r="G311" i="2"/>
  <c r="F311" i="2"/>
  <c r="E311" i="2"/>
  <c r="C311" i="2"/>
  <c r="B311" i="2"/>
  <c r="A311" i="2"/>
  <c r="G310" i="2"/>
  <c r="F310" i="2"/>
  <c r="E310" i="2"/>
  <c r="C310" i="2"/>
  <c r="B310" i="2"/>
  <c r="A310" i="2"/>
  <c r="G309" i="2"/>
  <c r="F309" i="2"/>
  <c r="E309" i="2"/>
  <c r="C309" i="2"/>
  <c r="B309" i="2"/>
  <c r="A309" i="2"/>
  <c r="G308" i="2"/>
  <c r="F308" i="2"/>
  <c r="E308" i="2"/>
  <c r="C308" i="2"/>
  <c r="B308" i="2"/>
  <c r="A308" i="2"/>
  <c r="G307" i="2"/>
  <c r="F307" i="2"/>
  <c r="E307" i="2"/>
  <c r="C307" i="2"/>
  <c r="B307" i="2"/>
  <c r="A307" i="2"/>
  <c r="G306" i="2"/>
  <c r="F306" i="2"/>
  <c r="E306" i="2"/>
  <c r="C306" i="2"/>
  <c r="B306" i="2"/>
  <c r="A306" i="2"/>
  <c r="G305" i="2"/>
  <c r="F305" i="2"/>
  <c r="E305" i="2"/>
  <c r="C305" i="2"/>
  <c r="B305" i="2"/>
  <c r="A305" i="2"/>
  <c r="G304" i="2"/>
  <c r="F304" i="2"/>
  <c r="E304" i="2"/>
  <c r="C304" i="2"/>
  <c r="B304" i="2"/>
  <c r="A304" i="2"/>
  <c r="G303" i="2"/>
  <c r="F303" i="2"/>
  <c r="E303" i="2"/>
  <c r="C303" i="2"/>
  <c r="B303" i="2"/>
  <c r="A303" i="2"/>
  <c r="D302" i="2"/>
  <c r="G300" i="2"/>
  <c r="F300" i="2"/>
  <c r="E300" i="2"/>
  <c r="C300" i="2"/>
  <c r="B300" i="2"/>
  <c r="A300" i="2"/>
  <c r="G299" i="2"/>
  <c r="F299" i="2"/>
  <c r="E299" i="2"/>
  <c r="C299" i="2"/>
  <c r="B299" i="2"/>
  <c r="A299" i="2"/>
  <c r="G298" i="2"/>
  <c r="F298" i="2"/>
  <c r="E298" i="2"/>
  <c r="C298" i="2"/>
  <c r="B298" i="2"/>
  <c r="A298" i="2"/>
  <c r="G297" i="2"/>
  <c r="F297" i="2"/>
  <c r="E297" i="2"/>
  <c r="C297" i="2"/>
  <c r="B297" i="2"/>
  <c r="A297" i="2"/>
  <c r="G296" i="2"/>
  <c r="F296" i="2"/>
  <c r="E296" i="2"/>
  <c r="C296" i="2"/>
  <c r="B296" i="2"/>
  <c r="A296" i="2"/>
  <c r="G295" i="2"/>
  <c r="F295" i="2"/>
  <c r="E295" i="2"/>
  <c r="C295" i="2"/>
  <c r="B295" i="2"/>
  <c r="A295" i="2"/>
  <c r="G294" i="2"/>
  <c r="F294" i="2"/>
  <c r="E294" i="2"/>
  <c r="C294" i="2"/>
  <c r="B294" i="2"/>
  <c r="A294" i="2"/>
  <c r="G293" i="2"/>
  <c r="F293" i="2"/>
  <c r="E293" i="2"/>
  <c r="C293" i="2"/>
  <c r="B293" i="2"/>
  <c r="A293" i="2"/>
  <c r="G292" i="2"/>
  <c r="F292" i="2"/>
  <c r="E292" i="2"/>
  <c r="C292" i="2"/>
  <c r="B292" i="2"/>
  <c r="A292" i="2"/>
  <c r="G291" i="2"/>
  <c r="F291" i="2"/>
  <c r="E291" i="2"/>
  <c r="C291" i="2"/>
  <c r="B291" i="2"/>
  <c r="A291" i="2"/>
  <c r="G290" i="2"/>
  <c r="F290" i="2"/>
  <c r="E290" i="2"/>
  <c r="C290" i="2"/>
  <c r="B290" i="2"/>
  <c r="A290" i="2"/>
  <c r="G289" i="2"/>
  <c r="F289" i="2"/>
  <c r="E289" i="2"/>
  <c r="C289" i="2"/>
  <c r="B289" i="2"/>
  <c r="A289" i="2"/>
  <c r="D288" i="2"/>
  <c r="G287" i="2"/>
  <c r="F287" i="2"/>
  <c r="E287" i="2"/>
  <c r="C287" i="2"/>
  <c r="B287" i="2"/>
  <c r="G286" i="2"/>
  <c r="F286" i="2"/>
  <c r="E286" i="2"/>
  <c r="C286" i="2"/>
  <c r="B286" i="2"/>
  <c r="A286" i="2"/>
  <c r="G285" i="2"/>
  <c r="F285" i="2"/>
  <c r="E285" i="2"/>
  <c r="C285" i="2"/>
  <c r="B285" i="2"/>
  <c r="A285" i="2"/>
  <c r="G284" i="2"/>
  <c r="F284" i="2"/>
  <c r="E284" i="2"/>
  <c r="C284" i="2"/>
  <c r="B284" i="2"/>
  <c r="A284" i="2"/>
  <c r="G283" i="2"/>
  <c r="F283" i="2"/>
  <c r="E283" i="2"/>
  <c r="C283" i="2"/>
  <c r="B283" i="2"/>
  <c r="A283" i="2"/>
  <c r="G282" i="2"/>
  <c r="F282" i="2"/>
  <c r="E282" i="2"/>
  <c r="C282" i="2"/>
  <c r="B282" i="2"/>
  <c r="A282" i="2"/>
  <c r="G281" i="2"/>
  <c r="F281" i="2"/>
  <c r="E281" i="2"/>
  <c r="C281" i="2"/>
  <c r="B281" i="2"/>
  <c r="A281" i="2"/>
  <c r="G280" i="2"/>
  <c r="F280" i="2"/>
  <c r="E280" i="2"/>
  <c r="C280" i="2"/>
  <c r="B280" i="2"/>
  <c r="A280" i="2"/>
  <c r="G279" i="2"/>
  <c r="F279" i="2"/>
  <c r="E279" i="2"/>
  <c r="C279" i="2"/>
  <c r="B279" i="2"/>
  <c r="A279" i="2"/>
  <c r="G278" i="2"/>
  <c r="F278" i="2"/>
  <c r="E278" i="2"/>
  <c r="C278" i="2"/>
  <c r="B278" i="2"/>
  <c r="A278" i="2"/>
  <c r="G277" i="2"/>
  <c r="F277" i="2"/>
  <c r="E277" i="2"/>
  <c r="C277" i="2"/>
  <c r="B277" i="2"/>
  <c r="A277" i="2"/>
  <c r="G276" i="2"/>
  <c r="F276" i="2"/>
  <c r="E276" i="2"/>
  <c r="C276" i="2"/>
  <c r="B276" i="2"/>
  <c r="A276" i="2"/>
  <c r="G275" i="2"/>
  <c r="F275" i="2"/>
  <c r="E275" i="2"/>
  <c r="C275" i="2"/>
  <c r="B275" i="2"/>
  <c r="A275" i="2"/>
  <c r="D274" i="2"/>
  <c r="G272" i="2"/>
  <c r="F272" i="2"/>
  <c r="E272" i="2"/>
  <c r="C272" i="2"/>
  <c r="B272" i="2"/>
  <c r="A272" i="2"/>
  <c r="G271" i="2"/>
  <c r="F271" i="2"/>
  <c r="E271" i="2"/>
  <c r="C271" i="2"/>
  <c r="B271" i="2"/>
  <c r="A271" i="2"/>
  <c r="G270" i="2"/>
  <c r="F270" i="2"/>
  <c r="E270" i="2"/>
  <c r="C270" i="2"/>
  <c r="B270" i="2"/>
  <c r="A270" i="2"/>
  <c r="G269" i="2"/>
  <c r="F269" i="2"/>
  <c r="E269" i="2"/>
  <c r="C269" i="2"/>
  <c r="B269" i="2"/>
  <c r="A269" i="2"/>
  <c r="G268" i="2"/>
  <c r="F268" i="2"/>
  <c r="E268" i="2"/>
  <c r="C268" i="2"/>
  <c r="B268" i="2"/>
  <c r="A268" i="2"/>
  <c r="G267" i="2"/>
  <c r="F267" i="2"/>
  <c r="E267" i="2"/>
  <c r="C267" i="2"/>
  <c r="B267" i="2"/>
  <c r="G266" i="2"/>
  <c r="F266" i="2"/>
  <c r="E266" i="2"/>
  <c r="C266" i="2"/>
  <c r="B266" i="2"/>
  <c r="A266" i="2"/>
  <c r="G265" i="2"/>
  <c r="F265" i="2"/>
  <c r="E265" i="2"/>
  <c r="C265" i="2"/>
  <c r="B265" i="2"/>
  <c r="A265" i="2"/>
  <c r="G264" i="2"/>
  <c r="F264" i="2"/>
  <c r="E264" i="2"/>
  <c r="C264" i="2"/>
  <c r="B264" i="2"/>
  <c r="A264" i="2"/>
  <c r="G263" i="2"/>
  <c r="F263" i="2"/>
  <c r="E263" i="2"/>
  <c r="C263" i="2"/>
  <c r="B263" i="2"/>
  <c r="A263" i="2"/>
  <c r="G262" i="2"/>
  <c r="F262" i="2"/>
  <c r="E262" i="2"/>
  <c r="C262" i="2"/>
  <c r="B262" i="2"/>
  <c r="A262" i="2"/>
  <c r="G261" i="2"/>
  <c r="F261" i="2"/>
  <c r="E261" i="2"/>
  <c r="C261" i="2"/>
  <c r="B261" i="2"/>
  <c r="A261" i="2"/>
  <c r="D260" i="2"/>
  <c r="G259" i="2"/>
  <c r="F259" i="2"/>
  <c r="E259" i="2"/>
  <c r="C259" i="2"/>
  <c r="B259" i="2"/>
  <c r="G258" i="2"/>
  <c r="F258" i="2"/>
  <c r="E258" i="2"/>
  <c r="C258" i="2"/>
  <c r="B258" i="2"/>
  <c r="A258" i="2"/>
  <c r="G257" i="2"/>
  <c r="F257" i="2"/>
  <c r="E257" i="2"/>
  <c r="C257" i="2"/>
  <c r="B257" i="2"/>
  <c r="A257" i="2"/>
  <c r="G256" i="2"/>
  <c r="F256" i="2"/>
  <c r="E256" i="2"/>
  <c r="C256" i="2"/>
  <c r="B256" i="2"/>
  <c r="A256" i="2"/>
  <c r="G255" i="2"/>
  <c r="F255" i="2"/>
  <c r="E255" i="2"/>
  <c r="C255" i="2"/>
  <c r="B255" i="2"/>
  <c r="A255" i="2"/>
  <c r="G254" i="2"/>
  <c r="F254" i="2"/>
  <c r="E254" i="2"/>
  <c r="C254" i="2"/>
  <c r="B254" i="2"/>
  <c r="A254" i="2"/>
  <c r="G253" i="2"/>
  <c r="F253" i="2"/>
  <c r="E253" i="2"/>
  <c r="C253" i="2"/>
  <c r="B253" i="2"/>
  <c r="A253" i="2"/>
  <c r="G252" i="2"/>
  <c r="F252" i="2"/>
  <c r="E252" i="2"/>
  <c r="C252" i="2"/>
  <c r="B252" i="2"/>
  <c r="A252" i="2"/>
  <c r="G251" i="2"/>
  <c r="F251" i="2"/>
  <c r="E251" i="2"/>
  <c r="C251" i="2"/>
  <c r="B251" i="2"/>
  <c r="A251" i="2"/>
  <c r="G250" i="2"/>
  <c r="F250" i="2"/>
  <c r="E250" i="2"/>
  <c r="C250" i="2"/>
  <c r="B250" i="2"/>
  <c r="A250" i="2"/>
  <c r="G249" i="2"/>
  <c r="F249" i="2"/>
  <c r="E249" i="2"/>
  <c r="C249" i="2"/>
  <c r="B249" i="2"/>
  <c r="A249" i="2"/>
  <c r="G248" i="2"/>
  <c r="F248" i="2"/>
  <c r="E248" i="2"/>
  <c r="C248" i="2"/>
  <c r="B248" i="2"/>
  <c r="A248" i="2"/>
  <c r="G247" i="2"/>
  <c r="F247" i="2"/>
  <c r="E247" i="2"/>
  <c r="C247" i="2"/>
  <c r="B247" i="2"/>
  <c r="A247" i="2"/>
  <c r="D246" i="2"/>
  <c r="G245" i="2"/>
  <c r="F245" i="2"/>
  <c r="E245" i="2"/>
  <c r="C245" i="2"/>
  <c r="B245" i="2"/>
  <c r="G244" i="2"/>
  <c r="F244" i="2"/>
  <c r="E244" i="2"/>
  <c r="C244" i="2"/>
  <c r="B244" i="2"/>
  <c r="A244" i="2"/>
  <c r="G243" i="2"/>
  <c r="F243" i="2"/>
  <c r="E243" i="2"/>
  <c r="C243" i="2"/>
  <c r="B243" i="2"/>
  <c r="A243" i="2"/>
  <c r="G242" i="2"/>
  <c r="F242" i="2"/>
  <c r="E242" i="2"/>
  <c r="C242" i="2"/>
  <c r="B242" i="2"/>
  <c r="A242" i="2"/>
  <c r="G241" i="2"/>
  <c r="F241" i="2"/>
  <c r="E241" i="2"/>
  <c r="C241" i="2"/>
  <c r="B241" i="2"/>
  <c r="A241" i="2"/>
  <c r="G240" i="2"/>
  <c r="F240" i="2"/>
  <c r="E240" i="2"/>
  <c r="C240" i="2"/>
  <c r="B240" i="2"/>
  <c r="A240" i="2"/>
  <c r="G239" i="2"/>
  <c r="F239" i="2"/>
  <c r="E239" i="2"/>
  <c r="C239" i="2"/>
  <c r="B239" i="2"/>
  <c r="A239" i="2"/>
  <c r="G238" i="2"/>
  <c r="F238" i="2"/>
  <c r="E238" i="2"/>
  <c r="C238" i="2"/>
  <c r="B238" i="2"/>
  <c r="A238" i="2"/>
  <c r="G237" i="2"/>
  <c r="F237" i="2"/>
  <c r="E237" i="2"/>
  <c r="C237" i="2"/>
  <c r="B237" i="2"/>
  <c r="A237" i="2"/>
  <c r="G236" i="2"/>
  <c r="F236" i="2"/>
  <c r="E236" i="2"/>
  <c r="C236" i="2"/>
  <c r="B236" i="2"/>
  <c r="A236" i="2"/>
  <c r="G235" i="2"/>
  <c r="F235" i="2"/>
  <c r="E235" i="2"/>
  <c r="C235" i="2"/>
  <c r="B235" i="2"/>
  <c r="A235" i="2"/>
  <c r="G234" i="2"/>
  <c r="F234" i="2"/>
  <c r="E234" i="2"/>
  <c r="C234" i="2"/>
  <c r="B234" i="2"/>
  <c r="A234" i="2"/>
  <c r="G233" i="2"/>
  <c r="F233" i="2"/>
  <c r="E233" i="2"/>
  <c r="C233" i="2"/>
  <c r="B233" i="2"/>
  <c r="A233" i="2"/>
  <c r="G232" i="2"/>
  <c r="D232" i="2"/>
  <c r="G231" i="2"/>
  <c r="F231" i="2"/>
  <c r="E231" i="2"/>
  <c r="C231" i="2"/>
  <c r="B231" i="2"/>
  <c r="G230" i="2"/>
  <c r="F230" i="2"/>
  <c r="E230" i="2"/>
  <c r="C230" i="2"/>
  <c r="B230" i="2"/>
  <c r="A230" i="2"/>
  <c r="G229" i="2"/>
  <c r="F229" i="2"/>
  <c r="E229" i="2"/>
  <c r="C229" i="2"/>
  <c r="B229" i="2"/>
  <c r="A229" i="2"/>
  <c r="G228" i="2"/>
  <c r="F228" i="2"/>
  <c r="E228" i="2"/>
  <c r="C228" i="2"/>
  <c r="B228" i="2"/>
  <c r="A228" i="2"/>
  <c r="G227" i="2"/>
  <c r="F227" i="2"/>
  <c r="E227" i="2"/>
  <c r="C227" i="2"/>
  <c r="B227" i="2"/>
  <c r="A227" i="2"/>
  <c r="G226" i="2"/>
  <c r="F226" i="2"/>
  <c r="E226" i="2"/>
  <c r="C226" i="2"/>
  <c r="B226" i="2"/>
  <c r="A226" i="2"/>
  <c r="G225" i="2"/>
  <c r="F225" i="2"/>
  <c r="E225" i="2"/>
  <c r="C225" i="2"/>
  <c r="B225" i="2"/>
  <c r="A225" i="2"/>
  <c r="G224" i="2"/>
  <c r="F224" i="2"/>
  <c r="E224" i="2"/>
  <c r="C224" i="2"/>
  <c r="B224" i="2"/>
  <c r="A224" i="2"/>
  <c r="G223" i="2"/>
  <c r="F223" i="2"/>
  <c r="E223" i="2"/>
  <c r="C223" i="2"/>
  <c r="B223" i="2"/>
  <c r="A223" i="2"/>
  <c r="G222" i="2"/>
  <c r="F222" i="2"/>
  <c r="E222" i="2"/>
  <c r="C222" i="2"/>
  <c r="B222" i="2"/>
  <c r="A222" i="2"/>
  <c r="G221" i="2"/>
  <c r="F221" i="2"/>
  <c r="E221" i="2"/>
  <c r="C221" i="2"/>
  <c r="B221" i="2"/>
  <c r="A221" i="2"/>
  <c r="G220" i="2"/>
  <c r="F220" i="2"/>
  <c r="E220" i="2"/>
  <c r="C220" i="2"/>
  <c r="B220" i="2"/>
  <c r="A220" i="2"/>
  <c r="G219" i="2"/>
  <c r="F219" i="2"/>
  <c r="E219" i="2"/>
  <c r="C219" i="2"/>
  <c r="B219" i="2"/>
  <c r="A219" i="2"/>
  <c r="G218" i="2"/>
  <c r="D218" i="2"/>
  <c r="G217" i="2"/>
  <c r="F217" i="2"/>
  <c r="E217" i="2"/>
  <c r="C217" i="2"/>
  <c r="B217" i="2"/>
  <c r="G216" i="2"/>
  <c r="F216" i="2"/>
  <c r="E216" i="2"/>
  <c r="C216" i="2"/>
  <c r="B216" i="2"/>
  <c r="A216" i="2"/>
  <c r="G215" i="2"/>
  <c r="F215" i="2"/>
  <c r="E215" i="2"/>
  <c r="C215" i="2"/>
  <c r="B215" i="2"/>
  <c r="A215" i="2"/>
  <c r="G214" i="2"/>
  <c r="F214" i="2"/>
  <c r="E214" i="2"/>
  <c r="C214" i="2"/>
  <c r="B214" i="2"/>
  <c r="A214" i="2"/>
  <c r="G213" i="2"/>
  <c r="F213" i="2"/>
  <c r="E213" i="2"/>
  <c r="C213" i="2"/>
  <c r="B213" i="2"/>
  <c r="A213" i="2"/>
  <c r="G212" i="2"/>
  <c r="F212" i="2"/>
  <c r="E212" i="2"/>
  <c r="C212" i="2"/>
  <c r="B212" i="2"/>
  <c r="A212" i="2"/>
  <c r="G211" i="2"/>
  <c r="F211" i="2"/>
  <c r="E211" i="2"/>
  <c r="C211" i="2"/>
  <c r="B211" i="2"/>
  <c r="A211" i="2"/>
  <c r="G210" i="2"/>
  <c r="F210" i="2"/>
  <c r="E210" i="2"/>
  <c r="C210" i="2"/>
  <c r="B210" i="2"/>
  <c r="A210" i="2"/>
  <c r="G209" i="2"/>
  <c r="F209" i="2"/>
  <c r="E209" i="2"/>
  <c r="C209" i="2"/>
  <c r="B209" i="2"/>
  <c r="A209" i="2"/>
  <c r="G208" i="2"/>
  <c r="F208" i="2"/>
  <c r="E208" i="2"/>
  <c r="C208" i="2"/>
  <c r="B208" i="2"/>
  <c r="A208" i="2"/>
  <c r="G207" i="2"/>
  <c r="F207" i="2"/>
  <c r="E207" i="2"/>
  <c r="C207" i="2"/>
  <c r="B207" i="2"/>
  <c r="A207" i="2"/>
  <c r="G206" i="2"/>
  <c r="F206" i="2"/>
  <c r="E206" i="2"/>
  <c r="C206" i="2"/>
  <c r="B206" i="2"/>
  <c r="A206" i="2"/>
  <c r="G205" i="2"/>
  <c r="F205" i="2"/>
  <c r="E205" i="2"/>
  <c r="C205" i="2"/>
  <c r="B205" i="2"/>
  <c r="A205" i="2"/>
  <c r="G204" i="2"/>
  <c r="D204" i="2"/>
  <c r="G203" i="2"/>
  <c r="F203" i="2"/>
  <c r="E203" i="2"/>
  <c r="C203" i="2"/>
  <c r="B203" i="2"/>
  <c r="G202" i="2"/>
  <c r="F202" i="2"/>
  <c r="E202" i="2"/>
  <c r="C202" i="2"/>
  <c r="B202" i="2"/>
  <c r="A202" i="2"/>
  <c r="G201" i="2"/>
  <c r="F201" i="2"/>
  <c r="E201" i="2"/>
  <c r="C201" i="2"/>
  <c r="B201" i="2"/>
  <c r="A201" i="2"/>
  <c r="G200" i="2"/>
  <c r="F200" i="2"/>
  <c r="E200" i="2"/>
  <c r="C200" i="2"/>
  <c r="B200" i="2"/>
  <c r="A200" i="2"/>
  <c r="G199" i="2"/>
  <c r="F199" i="2"/>
  <c r="E199" i="2"/>
  <c r="C199" i="2"/>
  <c r="B199" i="2"/>
  <c r="A199" i="2"/>
  <c r="G198" i="2"/>
  <c r="F198" i="2"/>
  <c r="E198" i="2"/>
  <c r="C198" i="2"/>
  <c r="B198" i="2"/>
  <c r="A198" i="2"/>
  <c r="G197" i="2"/>
  <c r="F197" i="2"/>
  <c r="E197" i="2"/>
  <c r="C197" i="2"/>
  <c r="B197" i="2"/>
  <c r="A197" i="2"/>
  <c r="G196" i="2"/>
  <c r="F196" i="2"/>
  <c r="E196" i="2"/>
  <c r="C196" i="2"/>
  <c r="B196" i="2"/>
  <c r="A196" i="2"/>
  <c r="G195" i="2"/>
  <c r="F195" i="2"/>
  <c r="E195" i="2"/>
  <c r="C195" i="2"/>
  <c r="B195" i="2"/>
  <c r="A195" i="2"/>
  <c r="G194" i="2"/>
  <c r="F194" i="2"/>
  <c r="E194" i="2"/>
  <c r="C194" i="2"/>
  <c r="B194" i="2"/>
  <c r="A194" i="2"/>
  <c r="G193" i="2"/>
  <c r="F193" i="2"/>
  <c r="E193" i="2"/>
  <c r="C193" i="2"/>
  <c r="B193" i="2"/>
  <c r="A193" i="2"/>
  <c r="G192" i="2"/>
  <c r="F192" i="2"/>
  <c r="E192" i="2"/>
  <c r="C192" i="2"/>
  <c r="B192" i="2"/>
  <c r="A192" i="2"/>
  <c r="G191" i="2"/>
  <c r="F191" i="2"/>
  <c r="E191" i="2"/>
  <c r="C191" i="2"/>
  <c r="B191" i="2"/>
  <c r="A191" i="2"/>
  <c r="G190" i="2"/>
  <c r="D190" i="2"/>
  <c r="G188" i="2"/>
  <c r="F188" i="2"/>
  <c r="E188" i="2"/>
  <c r="C188" i="2"/>
  <c r="B188" i="2"/>
  <c r="A188" i="2"/>
  <c r="G187" i="2"/>
  <c r="F187" i="2"/>
  <c r="E187" i="2"/>
  <c r="C187" i="2"/>
  <c r="B187" i="2"/>
  <c r="A187" i="2"/>
  <c r="G186" i="2"/>
  <c r="F186" i="2"/>
  <c r="E186" i="2"/>
  <c r="C186" i="2"/>
  <c r="B186" i="2"/>
  <c r="A186" i="2"/>
  <c r="G185" i="2"/>
  <c r="F185" i="2"/>
  <c r="E185" i="2"/>
  <c r="C185" i="2"/>
  <c r="B185" i="2"/>
  <c r="A185" i="2"/>
  <c r="G184" i="2"/>
  <c r="F184" i="2"/>
  <c r="E184" i="2"/>
  <c r="C184" i="2"/>
  <c r="B184" i="2"/>
  <c r="A184" i="2"/>
  <c r="G183" i="2"/>
  <c r="F183" i="2"/>
  <c r="E183" i="2"/>
  <c r="C183" i="2"/>
  <c r="B183" i="2"/>
  <c r="A183" i="2"/>
  <c r="G182" i="2"/>
  <c r="F182" i="2"/>
  <c r="E182" i="2"/>
  <c r="C182" i="2"/>
  <c r="B182" i="2"/>
  <c r="A182" i="2"/>
  <c r="G181" i="2"/>
  <c r="F181" i="2"/>
  <c r="E181" i="2"/>
  <c r="C181" i="2"/>
  <c r="B181" i="2"/>
  <c r="A181" i="2"/>
  <c r="G180" i="2"/>
  <c r="F180" i="2"/>
  <c r="E180" i="2"/>
  <c r="C180" i="2"/>
  <c r="B180" i="2"/>
  <c r="A180" i="2"/>
  <c r="G179" i="2"/>
  <c r="F179" i="2"/>
  <c r="E179" i="2"/>
  <c r="C179" i="2"/>
  <c r="B179" i="2"/>
  <c r="A179" i="2"/>
  <c r="G178" i="2"/>
  <c r="F178" i="2"/>
  <c r="E178" i="2"/>
  <c r="C178" i="2"/>
  <c r="B178" i="2"/>
  <c r="A178" i="2"/>
  <c r="G177" i="2"/>
  <c r="F177" i="2"/>
  <c r="E177" i="2"/>
  <c r="C177" i="2"/>
  <c r="B177" i="2"/>
  <c r="A177" i="2"/>
  <c r="D176" i="2"/>
  <c r="G175" i="2"/>
  <c r="F175" i="2"/>
  <c r="E175" i="2"/>
  <c r="C175" i="2"/>
  <c r="B175" i="2"/>
  <c r="G89" i="2"/>
  <c r="F89" i="2"/>
  <c r="E89" i="2"/>
  <c r="C89" i="2"/>
  <c r="B89" i="2"/>
  <c r="A89" i="2"/>
  <c r="G88" i="2"/>
  <c r="F88" i="2"/>
  <c r="E88" i="2"/>
  <c r="C88" i="2"/>
  <c r="B88" i="2"/>
  <c r="A88" i="2"/>
  <c r="G87" i="2"/>
  <c r="F87" i="2"/>
  <c r="E87" i="2"/>
  <c r="C87" i="2"/>
  <c r="B87" i="2"/>
  <c r="A87" i="2"/>
  <c r="G86" i="2"/>
  <c r="F86" i="2"/>
  <c r="E86" i="2"/>
  <c r="C86" i="2"/>
  <c r="B86" i="2"/>
  <c r="A86" i="2"/>
  <c r="G85" i="2"/>
  <c r="F85" i="2"/>
  <c r="E85" i="2"/>
  <c r="C85" i="2"/>
  <c r="B85" i="2"/>
  <c r="A85" i="2"/>
  <c r="G84" i="2"/>
  <c r="F84" i="2"/>
  <c r="E84" i="2"/>
  <c r="C84" i="2"/>
  <c r="B84" i="2"/>
  <c r="A84" i="2"/>
  <c r="G83" i="2"/>
  <c r="F83" i="2"/>
  <c r="E83" i="2"/>
  <c r="C83" i="2"/>
  <c r="B83" i="2"/>
  <c r="A83" i="2"/>
  <c r="G82" i="2"/>
  <c r="F82" i="2"/>
  <c r="E82" i="2"/>
  <c r="C82" i="2"/>
  <c r="B82" i="2"/>
  <c r="A82" i="2"/>
  <c r="G81" i="2"/>
  <c r="F81" i="2"/>
  <c r="E81" i="2"/>
  <c r="C81" i="2"/>
  <c r="B81" i="2"/>
  <c r="A81" i="2"/>
  <c r="G80" i="2"/>
  <c r="D80" i="2"/>
  <c r="G79" i="2"/>
  <c r="F79" i="2"/>
  <c r="E79" i="2"/>
  <c r="C79" i="2"/>
  <c r="B79" i="2"/>
  <c r="G78" i="2"/>
  <c r="F78" i="2"/>
  <c r="E78" i="2"/>
  <c r="C78" i="2"/>
  <c r="B78" i="2"/>
  <c r="A78" i="2"/>
  <c r="G77" i="2"/>
  <c r="F77" i="2"/>
  <c r="E77" i="2"/>
  <c r="C77" i="2"/>
  <c r="B77" i="2"/>
  <c r="A77" i="2"/>
  <c r="G76" i="2"/>
  <c r="F76" i="2"/>
  <c r="E76" i="2"/>
  <c r="C76" i="2"/>
  <c r="B76" i="2"/>
  <c r="A76" i="2"/>
  <c r="G75" i="2"/>
  <c r="F75" i="2"/>
  <c r="E75" i="2"/>
  <c r="C75" i="2"/>
  <c r="B75" i="2"/>
  <c r="A75" i="2"/>
  <c r="G74" i="2"/>
  <c r="F74" i="2"/>
  <c r="E74" i="2"/>
  <c r="C74" i="2"/>
  <c r="B74" i="2"/>
  <c r="A74" i="2"/>
  <c r="G73" i="2"/>
  <c r="F73" i="2"/>
  <c r="E73" i="2"/>
  <c r="C73" i="2"/>
  <c r="B73" i="2"/>
  <c r="A73" i="2"/>
  <c r="G72" i="2"/>
  <c r="F72" i="2"/>
  <c r="E72" i="2"/>
  <c r="C72" i="2"/>
  <c r="B72" i="2"/>
  <c r="A72" i="2"/>
  <c r="G71" i="2"/>
  <c r="F71" i="2"/>
  <c r="E71" i="2"/>
  <c r="C71" i="2"/>
  <c r="B71" i="2"/>
  <c r="A71" i="2"/>
  <c r="G70" i="2"/>
  <c r="F70" i="2"/>
  <c r="E70" i="2"/>
  <c r="C70" i="2"/>
  <c r="B70" i="2"/>
  <c r="A70" i="2"/>
  <c r="G69" i="2"/>
  <c r="F69" i="2"/>
  <c r="E69" i="2"/>
  <c r="C69" i="2"/>
  <c r="B69" i="2"/>
  <c r="A69" i="2"/>
  <c r="G68" i="2"/>
  <c r="D68" i="2"/>
  <c r="G67" i="2"/>
  <c r="F67" i="2"/>
  <c r="E67" i="2"/>
  <c r="C67" i="2"/>
  <c r="B67" i="2"/>
  <c r="G66" i="2"/>
  <c r="F66" i="2"/>
  <c r="E66" i="2"/>
  <c r="C66" i="2"/>
  <c r="B66" i="2"/>
  <c r="A66" i="2"/>
  <c r="G65" i="2"/>
  <c r="F65" i="2"/>
  <c r="E65" i="2"/>
  <c r="C65" i="2"/>
  <c r="B65" i="2"/>
  <c r="A65" i="2"/>
  <c r="G64" i="2"/>
  <c r="F64" i="2"/>
  <c r="E64" i="2"/>
  <c r="C64" i="2"/>
  <c r="B64" i="2"/>
  <c r="A64" i="2"/>
  <c r="G63" i="2"/>
  <c r="F63" i="2"/>
  <c r="E63" i="2"/>
  <c r="C63" i="2"/>
  <c r="B63" i="2"/>
  <c r="A63" i="2"/>
  <c r="G62" i="2"/>
  <c r="F62" i="2"/>
  <c r="E62" i="2"/>
  <c r="C62" i="2"/>
  <c r="B62" i="2"/>
  <c r="A62" i="2"/>
  <c r="G61" i="2"/>
  <c r="F61" i="2"/>
  <c r="E61" i="2"/>
  <c r="C61" i="2"/>
  <c r="B61" i="2"/>
  <c r="A61" i="2"/>
  <c r="G60" i="2"/>
  <c r="F60" i="2"/>
  <c r="E60" i="2"/>
  <c r="C60" i="2"/>
  <c r="B60" i="2"/>
  <c r="A60" i="2"/>
  <c r="G59" i="2"/>
  <c r="F59" i="2"/>
  <c r="E59" i="2"/>
  <c r="C59" i="2"/>
  <c r="B59" i="2"/>
  <c r="A59" i="2"/>
  <c r="G58" i="2"/>
  <c r="F58" i="2"/>
  <c r="E58" i="2"/>
  <c r="C58" i="2"/>
  <c r="B58" i="2"/>
  <c r="A58" i="2"/>
  <c r="G57" i="2"/>
  <c r="F57" i="2"/>
  <c r="E57" i="2"/>
  <c r="C57" i="2"/>
  <c r="B57" i="2"/>
  <c r="A57" i="2"/>
  <c r="D56" i="2"/>
  <c r="G55" i="2"/>
  <c r="F55" i="2"/>
  <c r="E55" i="2"/>
  <c r="C55" i="2"/>
  <c r="B55" i="2"/>
  <c r="G54" i="2"/>
  <c r="F54" i="2"/>
  <c r="E54" i="2"/>
  <c r="C54" i="2"/>
  <c r="B54" i="2"/>
  <c r="A54" i="2"/>
  <c r="G53" i="2"/>
  <c r="F53" i="2"/>
  <c r="E53" i="2"/>
  <c r="C53" i="2"/>
  <c r="B53" i="2"/>
  <c r="A53" i="2"/>
  <c r="G52" i="2"/>
  <c r="F52" i="2"/>
  <c r="E52" i="2"/>
  <c r="C52" i="2"/>
  <c r="B52" i="2"/>
  <c r="A52" i="2"/>
  <c r="G51" i="2"/>
  <c r="F51" i="2"/>
  <c r="E51" i="2"/>
  <c r="C51" i="2"/>
  <c r="B51" i="2"/>
  <c r="A51" i="2"/>
  <c r="G50" i="2"/>
  <c r="F50" i="2"/>
  <c r="E50" i="2"/>
  <c r="C50" i="2"/>
  <c r="B50" i="2"/>
  <c r="A50" i="2"/>
  <c r="G49" i="2"/>
  <c r="F49" i="2"/>
  <c r="E49" i="2"/>
  <c r="C49" i="2"/>
  <c r="B49" i="2"/>
  <c r="A49" i="2"/>
  <c r="G48" i="2"/>
  <c r="F48" i="2"/>
  <c r="E48" i="2"/>
  <c r="C48" i="2"/>
  <c r="B48" i="2"/>
  <c r="A48" i="2"/>
  <c r="G47" i="2"/>
  <c r="F47" i="2"/>
  <c r="E47" i="2"/>
  <c r="C47" i="2"/>
  <c r="B47" i="2"/>
  <c r="A47" i="2"/>
  <c r="G46" i="2"/>
  <c r="F46" i="2"/>
  <c r="E46" i="2"/>
  <c r="C46" i="2"/>
  <c r="B46" i="2"/>
  <c r="A46" i="2"/>
  <c r="G45" i="2"/>
  <c r="F45" i="2"/>
  <c r="E45" i="2"/>
  <c r="C45" i="2"/>
  <c r="B45" i="2"/>
  <c r="A45" i="2"/>
  <c r="D44" i="2"/>
  <c r="G43" i="2"/>
  <c r="F43" i="2"/>
  <c r="E43" i="2"/>
  <c r="C43" i="2"/>
  <c r="B43" i="2"/>
  <c r="G42" i="2"/>
  <c r="F42" i="2"/>
  <c r="E42" i="2"/>
  <c r="C42" i="2"/>
  <c r="B42" i="2"/>
  <c r="A42" i="2"/>
  <c r="G41" i="2"/>
  <c r="F41" i="2"/>
  <c r="E41" i="2"/>
  <c r="C41" i="2"/>
  <c r="B41" i="2"/>
  <c r="A41" i="2"/>
  <c r="G40" i="2"/>
  <c r="F40" i="2"/>
  <c r="E40" i="2"/>
  <c r="C40" i="2"/>
  <c r="B40" i="2"/>
  <c r="A40" i="2"/>
  <c r="G39" i="2"/>
  <c r="F39" i="2"/>
  <c r="E39" i="2"/>
  <c r="C39" i="2"/>
  <c r="B39" i="2"/>
  <c r="A39" i="2"/>
  <c r="G38" i="2"/>
  <c r="F38" i="2"/>
  <c r="E38" i="2"/>
  <c r="C38" i="2"/>
  <c r="B38" i="2"/>
  <c r="A38" i="2"/>
  <c r="G37" i="2"/>
  <c r="F37" i="2"/>
  <c r="E37" i="2"/>
  <c r="C37" i="2"/>
  <c r="B37" i="2"/>
  <c r="A37" i="2"/>
  <c r="G36" i="2"/>
  <c r="F36" i="2"/>
  <c r="E36" i="2"/>
  <c r="C36" i="2"/>
  <c r="B36" i="2"/>
  <c r="A36" i="2"/>
  <c r="G35" i="2"/>
  <c r="F35" i="2"/>
  <c r="E35" i="2"/>
  <c r="C35" i="2"/>
  <c r="B35" i="2"/>
  <c r="A35" i="2"/>
  <c r="G34" i="2"/>
  <c r="F34" i="2"/>
  <c r="E34" i="2"/>
  <c r="C34" i="2"/>
  <c r="B34" i="2"/>
  <c r="A34" i="2"/>
  <c r="G33" i="2"/>
  <c r="F33" i="2"/>
  <c r="E33" i="2"/>
  <c r="C33" i="2"/>
  <c r="B33" i="2"/>
  <c r="A33" i="2"/>
  <c r="D32" i="2"/>
  <c r="G31" i="2"/>
  <c r="F31" i="2"/>
  <c r="E31" i="2"/>
  <c r="C31" i="2"/>
  <c r="B31" i="2"/>
  <c r="G30" i="2"/>
  <c r="F30" i="2"/>
  <c r="E30" i="2"/>
  <c r="C30" i="2"/>
  <c r="B30" i="2"/>
  <c r="A30" i="2"/>
  <c r="G29" i="2"/>
  <c r="F29" i="2"/>
  <c r="E29" i="2"/>
  <c r="C29" i="2"/>
  <c r="B29" i="2"/>
  <c r="A29" i="2"/>
  <c r="G28" i="2"/>
  <c r="F28" i="2"/>
  <c r="E28" i="2"/>
  <c r="C28" i="2"/>
  <c r="B28" i="2"/>
  <c r="A28" i="2"/>
  <c r="G27" i="2"/>
  <c r="F27" i="2"/>
  <c r="E27" i="2"/>
  <c r="C27" i="2"/>
  <c r="B27" i="2"/>
  <c r="A27" i="2"/>
  <c r="G26" i="2"/>
  <c r="F26" i="2"/>
  <c r="E26" i="2"/>
  <c r="C26" i="2"/>
  <c r="B26" i="2"/>
  <c r="A26" i="2"/>
  <c r="G25" i="2"/>
  <c r="F25" i="2"/>
  <c r="E25" i="2"/>
  <c r="C25" i="2"/>
  <c r="B25" i="2"/>
  <c r="A25" i="2"/>
  <c r="G24" i="2"/>
  <c r="F24" i="2"/>
  <c r="E24" i="2"/>
  <c r="C24" i="2"/>
  <c r="B24" i="2"/>
  <c r="A24" i="2"/>
  <c r="G23" i="2"/>
  <c r="F23" i="2"/>
  <c r="E23" i="2"/>
  <c r="C23" i="2"/>
  <c r="B23" i="2"/>
  <c r="A23" i="2"/>
  <c r="G22" i="2"/>
  <c r="F22" i="2"/>
  <c r="E22" i="2"/>
  <c r="C22" i="2"/>
  <c r="B22" i="2"/>
  <c r="A22" i="2"/>
  <c r="G21" i="2"/>
  <c r="F21" i="2"/>
  <c r="E21" i="2"/>
  <c r="C21" i="2"/>
  <c r="B21" i="2"/>
  <c r="A21" i="2"/>
  <c r="D20" i="2"/>
  <c r="G19" i="2"/>
  <c r="F19" i="2"/>
  <c r="E19" i="2"/>
  <c r="C19" i="2"/>
  <c r="B19" i="2"/>
  <c r="G18" i="2"/>
  <c r="F18" i="2"/>
  <c r="E18" i="2"/>
  <c r="C18" i="2"/>
  <c r="B18" i="2"/>
  <c r="A18" i="2"/>
  <c r="G17" i="2"/>
  <c r="F17" i="2"/>
  <c r="E17" i="2"/>
  <c r="C17" i="2"/>
  <c r="B17" i="2"/>
  <c r="A17" i="2"/>
  <c r="G16" i="2"/>
  <c r="F16" i="2"/>
  <c r="E16" i="2"/>
  <c r="C16" i="2"/>
  <c r="B16" i="2"/>
  <c r="A16" i="2"/>
  <c r="G15" i="2"/>
  <c r="F15" i="2"/>
  <c r="E15" i="2"/>
  <c r="C15" i="2"/>
  <c r="B15" i="2"/>
  <c r="A15" i="2"/>
  <c r="G14" i="2"/>
  <c r="F14" i="2"/>
  <c r="E14" i="2"/>
  <c r="C14" i="2"/>
  <c r="B14" i="2"/>
  <c r="A14" i="2"/>
  <c r="G13" i="2"/>
  <c r="F13" i="2"/>
  <c r="E13" i="2"/>
  <c r="C13" i="2"/>
  <c r="B13" i="2"/>
  <c r="A13" i="2"/>
  <c r="G12" i="2"/>
  <c r="F12" i="2"/>
  <c r="E12" i="2"/>
  <c r="C12" i="2"/>
  <c r="B12" i="2"/>
  <c r="A12" i="2"/>
  <c r="G11" i="2"/>
  <c r="F11" i="2"/>
  <c r="E11" i="2"/>
  <c r="C11" i="2"/>
  <c r="B11" i="2"/>
  <c r="A11" i="2"/>
  <c r="G10" i="2"/>
  <c r="F10" i="2"/>
  <c r="E10" i="2"/>
  <c r="C10" i="2"/>
  <c r="B10" i="2"/>
  <c r="A10" i="2"/>
  <c r="G9" i="2"/>
  <c r="F9" i="2"/>
  <c r="E9" i="2"/>
  <c r="C9" i="2"/>
  <c r="B9" i="2"/>
  <c r="A9" i="2"/>
  <c r="D8" i="2"/>
  <c r="G7" i="2"/>
  <c r="F7" i="2"/>
  <c r="E7" i="2"/>
  <c r="C7" i="2"/>
  <c r="B6" i="2"/>
  <c r="G404" i="3"/>
  <c r="F404" i="3"/>
  <c r="E404" i="3"/>
  <c r="D404" i="3"/>
  <c r="C404" i="3"/>
  <c r="B404" i="3"/>
  <c r="A404" i="3"/>
  <c r="G403" i="3"/>
  <c r="F403" i="3"/>
  <c r="E403" i="3"/>
  <c r="D403" i="3"/>
  <c r="C403" i="3"/>
  <c r="B403" i="3"/>
  <c r="A403" i="3"/>
  <c r="G402" i="3"/>
  <c r="F402" i="3"/>
  <c r="E402" i="3"/>
  <c r="D402" i="3"/>
  <c r="C402" i="3"/>
  <c r="B402" i="3"/>
  <c r="A402" i="3"/>
  <c r="G401" i="3"/>
  <c r="F401" i="3"/>
  <c r="E401" i="3"/>
  <c r="D401" i="3"/>
  <c r="C401" i="3"/>
  <c r="B401" i="3"/>
  <c r="A401" i="3"/>
  <c r="G400" i="3"/>
  <c r="F400" i="3"/>
  <c r="E400" i="3"/>
  <c r="D400" i="3"/>
  <c r="C400" i="3"/>
  <c r="B400" i="3"/>
  <c r="A400" i="3"/>
  <c r="G399" i="3"/>
  <c r="F399" i="3"/>
  <c r="E399" i="3"/>
  <c r="D399" i="3"/>
  <c r="C399" i="3"/>
  <c r="B399" i="3"/>
  <c r="A399" i="3"/>
  <c r="G398" i="3"/>
  <c r="F398" i="3"/>
  <c r="E398" i="3"/>
  <c r="D398" i="3"/>
  <c r="C398" i="3"/>
  <c r="B398" i="3"/>
  <c r="A398" i="3"/>
  <c r="G397" i="3"/>
  <c r="F397" i="3"/>
  <c r="E397" i="3"/>
  <c r="D397" i="3"/>
  <c r="C397" i="3"/>
  <c r="B397" i="3"/>
  <c r="A397" i="3"/>
  <c r="G396" i="3"/>
  <c r="F396" i="3"/>
  <c r="E396" i="3"/>
  <c r="D396" i="3"/>
  <c r="C396" i="3"/>
  <c r="B396" i="3"/>
  <c r="A396" i="3"/>
  <c r="G395" i="3"/>
  <c r="F395" i="3"/>
  <c r="E395" i="3"/>
  <c r="D395" i="3"/>
  <c r="C395" i="3"/>
  <c r="B395" i="3"/>
  <c r="A395" i="3"/>
  <c r="G394" i="3"/>
  <c r="F394" i="3"/>
  <c r="E394" i="3"/>
  <c r="D394" i="3"/>
  <c r="C394" i="3"/>
  <c r="B394" i="3"/>
  <c r="A394" i="3"/>
  <c r="G393" i="3"/>
  <c r="F393" i="3"/>
  <c r="E393" i="3"/>
  <c r="D393" i="3"/>
  <c r="C393" i="3"/>
  <c r="B393" i="3"/>
  <c r="A393" i="3"/>
  <c r="G392" i="3"/>
  <c r="F392" i="3"/>
  <c r="E392" i="3"/>
  <c r="D392" i="3"/>
  <c r="C392" i="3"/>
  <c r="B392" i="3"/>
  <c r="A392" i="3"/>
  <c r="G391" i="3"/>
  <c r="F391" i="3"/>
  <c r="E391" i="3"/>
  <c r="D391" i="3"/>
  <c r="C391" i="3"/>
  <c r="B391" i="3"/>
  <c r="A391" i="3"/>
  <c r="G390" i="3"/>
  <c r="F390" i="3"/>
  <c r="E390" i="3"/>
  <c r="D390" i="3"/>
  <c r="C390" i="3"/>
  <c r="B390" i="3"/>
  <c r="A390" i="3"/>
  <c r="G389" i="3"/>
  <c r="F389" i="3"/>
  <c r="E389" i="3"/>
  <c r="D389" i="3"/>
  <c r="C389" i="3"/>
  <c r="B389" i="3"/>
  <c r="A389" i="3"/>
  <c r="G388" i="3"/>
  <c r="F388" i="3"/>
  <c r="E388" i="3"/>
  <c r="D388" i="3"/>
  <c r="C388" i="3"/>
  <c r="B388" i="3"/>
  <c r="A388" i="3"/>
  <c r="G387" i="3"/>
  <c r="F387" i="3"/>
  <c r="E387" i="3"/>
  <c r="D387" i="3"/>
  <c r="C387" i="3"/>
  <c r="B387" i="3"/>
  <c r="A387" i="3"/>
  <c r="G386" i="3"/>
  <c r="F386" i="3"/>
  <c r="E386" i="3"/>
  <c r="D386" i="3"/>
  <c r="C386" i="3"/>
  <c r="B386" i="3"/>
  <c r="A386" i="3"/>
  <c r="D385" i="3"/>
  <c r="G383" i="3"/>
  <c r="F383" i="3"/>
  <c r="E383" i="3"/>
  <c r="D383" i="3"/>
  <c r="C383" i="3"/>
  <c r="B383" i="3"/>
  <c r="A383" i="3"/>
  <c r="G382" i="3"/>
  <c r="F382" i="3"/>
  <c r="E382" i="3"/>
  <c r="D382" i="3"/>
  <c r="C382" i="3"/>
  <c r="B382" i="3"/>
  <c r="A382" i="3"/>
  <c r="G381" i="3"/>
  <c r="F381" i="3"/>
  <c r="E381" i="3"/>
  <c r="D381" i="3"/>
  <c r="C381" i="3"/>
  <c r="B381" i="3"/>
  <c r="A381" i="3"/>
  <c r="G380" i="3"/>
  <c r="F380" i="3"/>
  <c r="E380" i="3"/>
  <c r="D380" i="3"/>
  <c r="C380" i="3"/>
  <c r="B380" i="3"/>
  <c r="A380" i="3"/>
  <c r="G379" i="3"/>
  <c r="F379" i="3"/>
  <c r="E379" i="3"/>
  <c r="D379" i="3"/>
  <c r="C379" i="3"/>
  <c r="B379" i="3"/>
  <c r="A379" i="3"/>
  <c r="G378" i="3"/>
  <c r="F378" i="3"/>
  <c r="E378" i="3"/>
  <c r="D378" i="3"/>
  <c r="C378" i="3"/>
  <c r="B378" i="3"/>
  <c r="A378" i="3"/>
  <c r="G377" i="3"/>
  <c r="F377" i="3"/>
  <c r="E377" i="3"/>
  <c r="D377" i="3"/>
  <c r="C377" i="3"/>
  <c r="B377" i="3"/>
  <c r="A377" i="3"/>
  <c r="G376" i="3"/>
  <c r="F376" i="3"/>
  <c r="E376" i="3"/>
  <c r="D376" i="3"/>
  <c r="C376" i="3"/>
  <c r="B376" i="3"/>
  <c r="A376" i="3"/>
  <c r="G375" i="3"/>
  <c r="F375" i="3"/>
  <c r="E375" i="3"/>
  <c r="D375" i="3"/>
  <c r="C375" i="3"/>
  <c r="B375" i="3"/>
  <c r="A375" i="3"/>
  <c r="G374" i="3"/>
  <c r="F374" i="3"/>
  <c r="E374" i="3"/>
  <c r="D374" i="3"/>
  <c r="C374" i="3"/>
  <c r="B374" i="3"/>
  <c r="A374" i="3"/>
  <c r="D373" i="3"/>
  <c r="G371" i="3"/>
  <c r="F371" i="3"/>
  <c r="E371" i="3"/>
  <c r="D371" i="3"/>
  <c r="C371" i="3"/>
  <c r="B371" i="3"/>
  <c r="A371" i="3"/>
  <c r="G370" i="3"/>
  <c r="F370" i="3"/>
  <c r="E370" i="3"/>
  <c r="D370" i="3"/>
  <c r="C370" i="3"/>
  <c r="B370" i="3"/>
  <c r="A370" i="3"/>
  <c r="G369" i="3"/>
  <c r="F369" i="3"/>
  <c r="E369" i="3"/>
  <c r="D369" i="3"/>
  <c r="C369" i="3"/>
  <c r="B369" i="3"/>
  <c r="A369" i="3"/>
  <c r="G368" i="3"/>
  <c r="F368" i="3"/>
  <c r="E368" i="3"/>
  <c r="D368" i="3"/>
  <c r="C368" i="3"/>
  <c r="B368" i="3"/>
  <c r="A368" i="3"/>
  <c r="G367" i="3"/>
  <c r="F367" i="3"/>
  <c r="E367" i="3"/>
  <c r="D367" i="3"/>
  <c r="C367" i="3"/>
  <c r="B367" i="3"/>
  <c r="A367" i="3"/>
  <c r="G366" i="3"/>
  <c r="F366" i="3"/>
  <c r="E366" i="3"/>
  <c r="D366" i="3"/>
  <c r="C366" i="3"/>
  <c r="B366" i="3"/>
  <c r="A366" i="3"/>
  <c r="G365" i="3"/>
  <c r="F365" i="3"/>
  <c r="E365" i="3"/>
  <c r="D365" i="3"/>
  <c r="C365" i="3"/>
  <c r="B365" i="3"/>
  <c r="A365" i="3"/>
  <c r="G364" i="3"/>
  <c r="F364" i="3"/>
  <c r="E364" i="3"/>
  <c r="D364" i="3"/>
  <c r="C364" i="3"/>
  <c r="B364" i="3"/>
  <c r="A364" i="3"/>
  <c r="G363" i="3"/>
  <c r="F363" i="3"/>
  <c r="E363" i="3"/>
  <c r="D363" i="3"/>
  <c r="C363" i="3"/>
  <c r="B363" i="3"/>
  <c r="A363" i="3"/>
  <c r="G362" i="3"/>
  <c r="F362" i="3"/>
  <c r="E362" i="3"/>
  <c r="D362" i="3"/>
  <c r="C362" i="3"/>
  <c r="B362" i="3"/>
  <c r="A362" i="3"/>
  <c r="D361" i="3"/>
  <c r="G359" i="3"/>
  <c r="F359" i="3"/>
  <c r="E359" i="3"/>
  <c r="D359" i="3"/>
  <c r="C359" i="3"/>
  <c r="B359" i="3"/>
  <c r="A359" i="3"/>
  <c r="G358" i="3"/>
  <c r="F358" i="3"/>
  <c r="E358" i="3"/>
  <c r="D358" i="3"/>
  <c r="C358" i="3"/>
  <c r="B358" i="3"/>
  <c r="A358" i="3"/>
  <c r="G357" i="3"/>
  <c r="F357" i="3"/>
  <c r="E357" i="3"/>
  <c r="D357" i="3"/>
  <c r="C357" i="3"/>
  <c r="B357" i="3"/>
  <c r="A357" i="3"/>
  <c r="G356" i="3"/>
  <c r="F356" i="3"/>
  <c r="E356" i="3"/>
  <c r="D356" i="3"/>
  <c r="C356" i="3"/>
  <c r="B356" i="3"/>
  <c r="A356" i="3"/>
  <c r="G355" i="3"/>
  <c r="F355" i="3"/>
  <c r="E355" i="3"/>
  <c r="D355" i="3"/>
  <c r="C355" i="3"/>
  <c r="B355" i="3"/>
  <c r="A355" i="3"/>
  <c r="G354" i="3"/>
  <c r="F354" i="3"/>
  <c r="E354" i="3"/>
  <c r="D354" i="3"/>
  <c r="C354" i="3"/>
  <c r="B354" i="3"/>
  <c r="A354" i="3"/>
  <c r="G353" i="3"/>
  <c r="F353" i="3"/>
  <c r="E353" i="3"/>
  <c r="D353" i="3"/>
  <c r="C353" i="3"/>
  <c r="B353" i="3"/>
  <c r="A353" i="3"/>
  <c r="G352" i="3"/>
  <c r="F352" i="3"/>
  <c r="E352" i="3"/>
  <c r="D352" i="3"/>
  <c r="C352" i="3"/>
  <c r="B352" i="3"/>
  <c r="A352" i="3"/>
  <c r="G351" i="3"/>
  <c r="F351" i="3"/>
  <c r="E351" i="3"/>
  <c r="D351" i="3"/>
  <c r="C351" i="3"/>
  <c r="B351" i="3"/>
  <c r="A351" i="3"/>
  <c r="G350" i="3"/>
  <c r="F350" i="3"/>
  <c r="E350" i="3"/>
  <c r="D350" i="3"/>
  <c r="C350" i="3"/>
  <c r="B350" i="3"/>
  <c r="A350" i="3"/>
  <c r="D349" i="3"/>
  <c r="G347" i="3"/>
  <c r="F347" i="3"/>
  <c r="E347" i="3"/>
  <c r="D347" i="3"/>
  <c r="C347" i="3"/>
  <c r="B347" i="3"/>
  <c r="A347" i="3"/>
  <c r="G346" i="3"/>
  <c r="F346" i="3"/>
  <c r="E346" i="3"/>
  <c r="D346" i="3"/>
  <c r="C346" i="3"/>
  <c r="B346" i="3"/>
  <c r="A346" i="3"/>
  <c r="G345" i="3"/>
  <c r="F345" i="3"/>
  <c r="E345" i="3"/>
  <c r="D345" i="3"/>
  <c r="C345" i="3"/>
  <c r="B345" i="3"/>
  <c r="A345" i="3"/>
  <c r="G344" i="3"/>
  <c r="F344" i="3"/>
  <c r="E344" i="3"/>
  <c r="D344" i="3"/>
  <c r="C344" i="3"/>
  <c r="B344" i="3"/>
  <c r="A344" i="3"/>
  <c r="G343" i="3"/>
  <c r="F343" i="3"/>
  <c r="E343" i="3"/>
  <c r="D343" i="3"/>
  <c r="C343" i="3"/>
  <c r="B343" i="3"/>
  <c r="A343" i="3"/>
  <c r="G342" i="3"/>
  <c r="F342" i="3"/>
  <c r="E342" i="3"/>
  <c r="D342" i="3"/>
  <c r="C342" i="3"/>
  <c r="B342" i="3"/>
  <c r="A342" i="3"/>
  <c r="G341" i="3"/>
  <c r="F341" i="3"/>
  <c r="E341" i="3"/>
  <c r="D341" i="3"/>
  <c r="C341" i="3"/>
  <c r="B341" i="3"/>
  <c r="A341" i="3"/>
  <c r="G340" i="3"/>
  <c r="F340" i="3"/>
  <c r="E340" i="3"/>
  <c r="D340" i="3"/>
  <c r="C340" i="3"/>
  <c r="B340" i="3"/>
  <c r="A340" i="3"/>
  <c r="G339" i="3"/>
  <c r="F339" i="3"/>
  <c r="E339" i="3"/>
  <c r="D339" i="3"/>
  <c r="C339" i="3"/>
  <c r="B339" i="3"/>
  <c r="A339" i="3"/>
  <c r="G338" i="3"/>
  <c r="F338" i="3"/>
  <c r="E338" i="3"/>
  <c r="D338" i="3"/>
  <c r="C338" i="3"/>
  <c r="B338" i="3"/>
  <c r="A338" i="3"/>
  <c r="D337" i="3"/>
  <c r="G335" i="3"/>
  <c r="F335" i="3"/>
  <c r="E335" i="3"/>
  <c r="D335" i="3"/>
  <c r="C335" i="3"/>
  <c r="B335" i="3"/>
  <c r="A335" i="3"/>
  <c r="G334" i="3"/>
  <c r="F334" i="3"/>
  <c r="E334" i="3"/>
  <c r="D334" i="3"/>
  <c r="C334" i="3"/>
  <c r="B334" i="3"/>
  <c r="A334" i="3"/>
  <c r="G333" i="3"/>
  <c r="F333" i="3"/>
  <c r="E333" i="3"/>
  <c r="D333" i="3"/>
  <c r="C333" i="3"/>
  <c r="B333" i="3"/>
  <c r="A333" i="3"/>
  <c r="G332" i="3"/>
  <c r="F332" i="3"/>
  <c r="E332" i="3"/>
  <c r="D332" i="3"/>
  <c r="C332" i="3"/>
  <c r="B332" i="3"/>
  <c r="A332" i="3"/>
  <c r="G331" i="3"/>
  <c r="F331" i="3"/>
  <c r="E331" i="3"/>
  <c r="D331" i="3"/>
  <c r="C331" i="3"/>
  <c r="B331" i="3"/>
  <c r="A331" i="3"/>
  <c r="G330" i="3"/>
  <c r="F330" i="3"/>
  <c r="E330" i="3"/>
  <c r="D330" i="3"/>
  <c r="C330" i="3"/>
  <c r="B330" i="3"/>
  <c r="A330" i="3"/>
  <c r="G329" i="3"/>
  <c r="F329" i="3"/>
  <c r="E329" i="3"/>
  <c r="D329" i="3"/>
  <c r="C329" i="3"/>
  <c r="B329" i="3"/>
  <c r="A329" i="3"/>
  <c r="G328" i="3"/>
  <c r="F328" i="3"/>
  <c r="E328" i="3"/>
  <c r="D328" i="3"/>
  <c r="C328" i="3"/>
  <c r="B328" i="3"/>
  <c r="A328" i="3"/>
  <c r="G327" i="3"/>
  <c r="F327" i="3"/>
  <c r="E327" i="3"/>
  <c r="D327" i="3"/>
  <c r="C327" i="3"/>
  <c r="B327" i="3"/>
  <c r="A327" i="3"/>
  <c r="G326" i="3"/>
  <c r="F326" i="3"/>
  <c r="E326" i="3"/>
  <c r="D326" i="3"/>
  <c r="C326" i="3"/>
  <c r="B326" i="3"/>
  <c r="A326" i="3"/>
  <c r="D325" i="3"/>
  <c r="G323" i="3"/>
  <c r="F323" i="3"/>
  <c r="E323" i="3"/>
  <c r="D323" i="3"/>
  <c r="C323" i="3"/>
  <c r="B323" i="3"/>
  <c r="A323" i="3"/>
  <c r="G322" i="3"/>
  <c r="F322" i="3"/>
  <c r="E322" i="3"/>
  <c r="D322" i="3"/>
  <c r="C322" i="3"/>
  <c r="B322" i="3"/>
  <c r="A322" i="3"/>
  <c r="G321" i="3"/>
  <c r="F321" i="3"/>
  <c r="E321" i="3"/>
  <c r="D321" i="3"/>
  <c r="C321" i="3"/>
  <c r="B321" i="3"/>
  <c r="A321" i="3"/>
  <c r="G320" i="3"/>
  <c r="F320" i="3"/>
  <c r="E320" i="3"/>
  <c r="D320" i="3"/>
  <c r="C320" i="3"/>
  <c r="B320" i="3"/>
  <c r="A320" i="3"/>
  <c r="G319" i="3"/>
  <c r="F319" i="3"/>
  <c r="E319" i="3"/>
  <c r="D319" i="3"/>
  <c r="C319" i="3"/>
  <c r="B319" i="3"/>
  <c r="A319" i="3"/>
  <c r="G318" i="3"/>
  <c r="F318" i="3"/>
  <c r="E318" i="3"/>
  <c r="D318" i="3"/>
  <c r="C318" i="3"/>
  <c r="B318" i="3"/>
  <c r="A318" i="3"/>
  <c r="G317" i="3"/>
  <c r="F317" i="3"/>
  <c r="E317" i="3"/>
  <c r="D317" i="3"/>
  <c r="C317" i="3"/>
  <c r="B317" i="3"/>
  <c r="A317" i="3"/>
  <c r="G316" i="3"/>
  <c r="F316" i="3"/>
  <c r="E316" i="3"/>
  <c r="D316" i="3"/>
  <c r="C316" i="3"/>
  <c r="B316" i="3"/>
  <c r="A316" i="3"/>
  <c r="G315" i="3"/>
  <c r="F315" i="3"/>
  <c r="E315" i="3"/>
  <c r="D315" i="3"/>
  <c r="C315" i="3"/>
  <c r="B315" i="3"/>
  <c r="A315" i="3"/>
  <c r="G314" i="3"/>
  <c r="F314" i="3"/>
  <c r="E314" i="3"/>
  <c r="D314" i="3"/>
  <c r="C314" i="3"/>
  <c r="B314" i="3"/>
  <c r="A314" i="3"/>
  <c r="D313" i="3"/>
  <c r="G311" i="3"/>
  <c r="F311" i="3"/>
  <c r="E311" i="3"/>
  <c r="D311" i="3"/>
  <c r="C311" i="3"/>
  <c r="B311" i="3"/>
  <c r="A311" i="3"/>
  <c r="G310" i="3"/>
  <c r="F310" i="3"/>
  <c r="E310" i="3"/>
  <c r="D310" i="3"/>
  <c r="C310" i="3"/>
  <c r="B310" i="3"/>
  <c r="A310" i="3"/>
  <c r="G309" i="3"/>
  <c r="F309" i="3"/>
  <c r="E309" i="3"/>
  <c r="D309" i="3"/>
  <c r="C309" i="3"/>
  <c r="B309" i="3"/>
  <c r="A309" i="3"/>
  <c r="G308" i="3"/>
  <c r="F308" i="3"/>
  <c r="E308" i="3"/>
  <c r="D308" i="3"/>
  <c r="C308" i="3"/>
  <c r="B308" i="3"/>
  <c r="A308" i="3"/>
  <c r="G307" i="3"/>
  <c r="F307" i="3"/>
  <c r="E307" i="3"/>
  <c r="D307" i="3"/>
  <c r="C307" i="3"/>
  <c r="B307" i="3"/>
  <c r="A307" i="3"/>
  <c r="G306" i="3"/>
  <c r="F306" i="3"/>
  <c r="E306" i="3"/>
  <c r="D306" i="3"/>
  <c r="C306" i="3"/>
  <c r="B306" i="3"/>
  <c r="A306" i="3"/>
  <c r="G305" i="3"/>
  <c r="F305" i="3"/>
  <c r="E305" i="3"/>
  <c r="D305" i="3"/>
  <c r="C305" i="3"/>
  <c r="B305" i="3"/>
  <c r="A305" i="3"/>
  <c r="G304" i="3"/>
  <c r="F304" i="3"/>
  <c r="E304" i="3"/>
  <c r="D304" i="3"/>
  <c r="C304" i="3"/>
  <c r="B304" i="3"/>
  <c r="A304" i="3"/>
  <c r="G303" i="3"/>
  <c r="F303" i="3"/>
  <c r="E303" i="3"/>
  <c r="D303" i="3"/>
  <c r="C303" i="3"/>
  <c r="B303" i="3"/>
  <c r="A303" i="3"/>
  <c r="G302" i="3"/>
  <c r="F302" i="3"/>
  <c r="E302" i="3"/>
  <c r="D302" i="3"/>
  <c r="C302" i="3"/>
  <c r="B302" i="3"/>
  <c r="A302" i="3"/>
  <c r="D301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D289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D275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D261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D247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D233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D219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D205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D191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D177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D163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D151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D137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D125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D113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D101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D87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D73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D59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D47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D33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D21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D7" i="3"/>
  <c r="G399" i="1"/>
  <c r="G398" i="1"/>
  <c r="G397" i="1"/>
  <c r="G396" i="1"/>
  <c r="G395" i="1"/>
  <c r="G394" i="1"/>
  <c r="G393" i="1"/>
  <c r="G392" i="1"/>
  <c r="G391" i="1"/>
  <c r="G390" i="1"/>
  <c r="H389" i="1"/>
  <c r="G389" i="1"/>
  <c r="G386" i="1"/>
  <c r="G385" i="1"/>
  <c r="G384" i="1"/>
  <c r="G383" i="1"/>
  <c r="F383" i="1"/>
  <c r="E383" i="1"/>
  <c r="D383" i="1"/>
  <c r="C383" i="1"/>
  <c r="B383" i="1"/>
  <c r="A383" i="1"/>
  <c r="G382" i="1"/>
  <c r="F382" i="1"/>
  <c r="E382" i="1"/>
  <c r="D382" i="1"/>
  <c r="C382" i="1"/>
  <c r="B382" i="1"/>
  <c r="A382" i="1"/>
  <c r="G381" i="1"/>
  <c r="F381" i="1"/>
  <c r="E381" i="1"/>
  <c r="D381" i="1"/>
  <c r="C381" i="1"/>
  <c r="B381" i="1"/>
  <c r="A381" i="1"/>
  <c r="G380" i="1"/>
  <c r="F380" i="1"/>
  <c r="E380" i="1"/>
  <c r="D380" i="1"/>
  <c r="C380" i="1"/>
  <c r="B380" i="1"/>
  <c r="A380" i="1"/>
  <c r="G379" i="1"/>
  <c r="F379" i="1"/>
  <c r="E379" i="1"/>
  <c r="D379" i="1"/>
  <c r="C379" i="1"/>
  <c r="B379" i="1"/>
  <c r="A379" i="1"/>
  <c r="G378" i="1"/>
  <c r="F378" i="1"/>
  <c r="E378" i="1"/>
  <c r="D378" i="1"/>
  <c r="C378" i="1"/>
  <c r="B378" i="1"/>
  <c r="A378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G374" i="1"/>
  <c r="F374" i="1"/>
  <c r="E374" i="1"/>
  <c r="D374" i="1"/>
  <c r="C374" i="1"/>
  <c r="B374" i="1"/>
  <c r="A374" i="1"/>
  <c r="G373" i="1"/>
  <c r="F373" i="1"/>
  <c r="E373" i="1"/>
  <c r="D373" i="1"/>
  <c r="C373" i="1"/>
  <c r="B373" i="1"/>
  <c r="A373" i="1"/>
  <c r="G372" i="1"/>
  <c r="F372" i="1"/>
  <c r="E372" i="1"/>
  <c r="D372" i="1"/>
  <c r="C372" i="1"/>
  <c r="B372" i="1"/>
  <c r="A372" i="1"/>
  <c r="G371" i="1"/>
  <c r="F371" i="1"/>
  <c r="E371" i="1"/>
  <c r="D371" i="1"/>
  <c r="C371" i="1"/>
  <c r="B371" i="1"/>
  <c r="A371" i="1"/>
  <c r="G370" i="1"/>
  <c r="F370" i="1"/>
  <c r="E370" i="1"/>
  <c r="D370" i="1"/>
  <c r="C370" i="1"/>
  <c r="B370" i="1"/>
  <c r="A370" i="1"/>
  <c r="G369" i="1"/>
  <c r="F369" i="1"/>
  <c r="E369" i="1"/>
  <c r="D369" i="1"/>
  <c r="C369" i="1"/>
  <c r="B369" i="1"/>
  <c r="A369" i="1"/>
  <c r="G368" i="1"/>
  <c r="F368" i="1"/>
  <c r="E368" i="1"/>
  <c r="D368" i="1"/>
  <c r="C368" i="1"/>
  <c r="B368" i="1"/>
  <c r="A368" i="1"/>
  <c r="G367" i="1"/>
  <c r="F367" i="1"/>
  <c r="E367" i="1"/>
  <c r="D367" i="1"/>
  <c r="C367" i="1"/>
  <c r="B367" i="1"/>
  <c r="A367" i="1"/>
  <c r="G366" i="1"/>
  <c r="F366" i="1"/>
  <c r="E366" i="1"/>
  <c r="D366" i="1"/>
  <c r="C366" i="1"/>
  <c r="B366" i="1"/>
  <c r="A366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G362" i="1"/>
  <c r="F362" i="1"/>
  <c r="E362" i="1"/>
  <c r="D362" i="1"/>
  <c r="C362" i="1"/>
  <c r="B362" i="1"/>
  <c r="A362" i="1"/>
  <c r="G361" i="1"/>
  <c r="F361" i="1"/>
  <c r="E361" i="1"/>
  <c r="D361" i="1"/>
  <c r="C361" i="1"/>
  <c r="B361" i="1"/>
  <c r="A361" i="1"/>
  <c r="G360" i="1"/>
  <c r="F360" i="1"/>
  <c r="E360" i="1"/>
  <c r="D360" i="1"/>
  <c r="C360" i="1"/>
  <c r="B360" i="1"/>
  <c r="A360" i="1"/>
  <c r="G359" i="1"/>
  <c r="F359" i="1"/>
  <c r="E359" i="1"/>
  <c r="D359" i="1"/>
  <c r="C359" i="1"/>
  <c r="B359" i="1"/>
  <c r="A359" i="1"/>
  <c r="G358" i="1"/>
  <c r="F358" i="1"/>
  <c r="E358" i="1"/>
  <c r="D358" i="1"/>
  <c r="C358" i="1"/>
  <c r="B358" i="1"/>
  <c r="A358" i="1"/>
  <c r="G357" i="1"/>
  <c r="F357" i="1"/>
  <c r="E357" i="1"/>
  <c r="D357" i="1"/>
  <c r="C357" i="1"/>
  <c r="B357" i="1"/>
  <c r="A357" i="1"/>
  <c r="G356" i="1"/>
  <c r="F356" i="1"/>
  <c r="E356" i="1"/>
  <c r="D356" i="1"/>
  <c r="C356" i="1"/>
  <c r="B356" i="1"/>
  <c r="A356" i="1"/>
  <c r="G355" i="1"/>
  <c r="F355" i="1"/>
  <c r="E355" i="1"/>
  <c r="D355" i="1"/>
  <c r="C355" i="1"/>
  <c r="B355" i="1"/>
  <c r="A355" i="1"/>
  <c r="G354" i="1"/>
  <c r="F354" i="1"/>
  <c r="E354" i="1"/>
  <c r="D354" i="1"/>
  <c r="C354" i="1"/>
  <c r="B354" i="1"/>
  <c r="A354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G350" i="1"/>
  <c r="F350" i="1"/>
  <c r="E350" i="1"/>
  <c r="D350" i="1"/>
  <c r="C350" i="1"/>
  <c r="B350" i="1"/>
  <c r="A350" i="1"/>
  <c r="G349" i="1"/>
  <c r="F349" i="1"/>
  <c r="E349" i="1"/>
  <c r="D349" i="1"/>
  <c r="C349" i="1"/>
  <c r="B349" i="1"/>
  <c r="A349" i="1"/>
  <c r="G348" i="1"/>
  <c r="F348" i="1"/>
  <c r="E348" i="1"/>
  <c r="D348" i="1"/>
  <c r="C348" i="1"/>
  <c r="B348" i="1"/>
  <c r="A348" i="1"/>
  <c r="G347" i="1"/>
  <c r="F347" i="1"/>
  <c r="E347" i="1"/>
  <c r="D347" i="1"/>
  <c r="C347" i="1"/>
  <c r="B347" i="1"/>
  <c r="A347" i="1"/>
  <c r="G346" i="1"/>
  <c r="F346" i="1"/>
  <c r="E346" i="1"/>
  <c r="D346" i="1"/>
  <c r="C346" i="1"/>
  <c r="B346" i="1"/>
  <c r="A346" i="1"/>
  <c r="G345" i="1"/>
  <c r="F345" i="1"/>
  <c r="E345" i="1"/>
  <c r="D345" i="1"/>
  <c r="C345" i="1"/>
  <c r="B345" i="1"/>
  <c r="A345" i="1"/>
  <c r="G344" i="1"/>
  <c r="F344" i="1"/>
  <c r="E344" i="1"/>
  <c r="D344" i="1"/>
  <c r="C344" i="1"/>
  <c r="B344" i="1"/>
  <c r="A344" i="1"/>
  <c r="G343" i="1"/>
  <c r="F343" i="1"/>
  <c r="E343" i="1"/>
  <c r="D343" i="1"/>
  <c r="C343" i="1"/>
  <c r="B343" i="1"/>
  <c r="A343" i="1"/>
  <c r="G342" i="1"/>
  <c r="F342" i="1"/>
  <c r="E342" i="1"/>
  <c r="D342" i="1"/>
  <c r="C342" i="1"/>
  <c r="B342" i="1"/>
  <c r="A342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G338" i="1"/>
  <c r="F338" i="1"/>
  <c r="E338" i="1"/>
  <c r="D338" i="1"/>
  <c r="C338" i="1"/>
  <c r="B338" i="1"/>
  <c r="A338" i="1"/>
  <c r="G337" i="1"/>
  <c r="F337" i="1"/>
  <c r="E337" i="1"/>
  <c r="D337" i="1"/>
  <c r="C337" i="1"/>
  <c r="B337" i="1"/>
  <c r="A337" i="1"/>
  <c r="G336" i="1"/>
  <c r="F336" i="1"/>
  <c r="E336" i="1"/>
  <c r="D336" i="1"/>
  <c r="C336" i="1"/>
  <c r="B336" i="1"/>
  <c r="A336" i="1"/>
  <c r="G335" i="1"/>
  <c r="F335" i="1"/>
  <c r="E335" i="1"/>
  <c r="D335" i="1"/>
  <c r="C335" i="1"/>
  <c r="B335" i="1"/>
  <c r="A335" i="1"/>
  <c r="G334" i="1"/>
  <c r="F334" i="1"/>
  <c r="E334" i="1"/>
  <c r="D334" i="1"/>
  <c r="C334" i="1"/>
  <c r="B334" i="1"/>
  <c r="A334" i="1"/>
  <c r="G333" i="1"/>
  <c r="F333" i="1"/>
  <c r="E333" i="1"/>
  <c r="D333" i="1"/>
  <c r="C333" i="1"/>
  <c r="B333" i="1"/>
  <c r="A333" i="1"/>
  <c r="G332" i="1"/>
  <c r="F332" i="1"/>
  <c r="E332" i="1"/>
  <c r="D332" i="1"/>
  <c r="C332" i="1"/>
  <c r="B332" i="1"/>
  <c r="A332" i="1"/>
  <c r="G331" i="1"/>
  <c r="F331" i="1"/>
  <c r="E331" i="1"/>
  <c r="D331" i="1"/>
  <c r="C331" i="1"/>
  <c r="B331" i="1"/>
  <c r="A331" i="1"/>
  <c r="G330" i="1"/>
  <c r="F330" i="1"/>
  <c r="E330" i="1"/>
  <c r="D330" i="1"/>
  <c r="C330" i="1"/>
  <c r="B330" i="1"/>
  <c r="A330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H326" i="1"/>
  <c r="F326" i="1"/>
  <c r="E326" i="1"/>
  <c r="D326" i="1"/>
  <c r="C326" i="1"/>
  <c r="B326" i="1"/>
  <c r="A326" i="1"/>
  <c r="H325" i="1"/>
  <c r="F325" i="1"/>
  <c r="E325" i="1"/>
  <c r="D325" i="1"/>
  <c r="C325" i="1"/>
  <c r="B325" i="1"/>
  <c r="A325" i="1"/>
  <c r="H324" i="1"/>
  <c r="F324" i="1"/>
  <c r="E324" i="1"/>
  <c r="D324" i="1"/>
  <c r="C324" i="1"/>
  <c r="B324" i="1"/>
  <c r="A324" i="1"/>
  <c r="H323" i="1"/>
  <c r="F323" i="1"/>
  <c r="E323" i="1"/>
  <c r="D323" i="1"/>
  <c r="C323" i="1"/>
  <c r="B323" i="1"/>
  <c r="A323" i="1"/>
  <c r="H322" i="1"/>
  <c r="F322" i="1"/>
  <c r="E322" i="1"/>
  <c r="D322" i="1"/>
  <c r="C322" i="1"/>
  <c r="B322" i="1"/>
  <c r="A322" i="1"/>
  <c r="H321" i="1"/>
  <c r="F321" i="1"/>
  <c r="E321" i="1"/>
  <c r="D321" i="1"/>
  <c r="C321" i="1"/>
  <c r="B321" i="1"/>
  <c r="A321" i="1"/>
  <c r="H320" i="1"/>
  <c r="F320" i="1"/>
  <c r="E320" i="1"/>
  <c r="D320" i="1"/>
  <c r="C320" i="1"/>
  <c r="B320" i="1"/>
  <c r="A320" i="1"/>
  <c r="H319" i="1"/>
  <c r="F319" i="1"/>
  <c r="E319" i="1"/>
  <c r="D319" i="1"/>
  <c r="C319" i="1"/>
  <c r="B319" i="1"/>
  <c r="A319" i="1"/>
  <c r="H318" i="1"/>
  <c r="F318" i="1"/>
  <c r="E318" i="1"/>
  <c r="D318" i="1"/>
  <c r="C318" i="1"/>
  <c r="B318" i="1"/>
  <c r="A318" i="1"/>
  <c r="H317" i="1"/>
  <c r="F317" i="1"/>
  <c r="E317" i="1"/>
  <c r="D317" i="1"/>
  <c r="C317" i="1"/>
  <c r="B317" i="1"/>
  <c r="A317" i="1"/>
  <c r="H316" i="1"/>
  <c r="G316" i="1"/>
  <c r="F316" i="1"/>
  <c r="E316" i="1"/>
  <c r="D316" i="1"/>
  <c r="G314" i="1"/>
  <c r="F314" i="1"/>
  <c r="E314" i="1"/>
  <c r="D314" i="1"/>
  <c r="C314" i="1"/>
  <c r="B314" i="1"/>
  <c r="A314" i="1"/>
  <c r="G313" i="1"/>
  <c r="F313" i="1"/>
  <c r="E313" i="1"/>
  <c r="D313" i="1"/>
  <c r="C313" i="1"/>
  <c r="B313" i="1"/>
  <c r="A313" i="1"/>
  <c r="G312" i="1"/>
  <c r="F312" i="1"/>
  <c r="E312" i="1"/>
  <c r="D312" i="1"/>
  <c r="C312" i="1"/>
  <c r="B312" i="1"/>
  <c r="A312" i="1"/>
  <c r="G311" i="1"/>
  <c r="F311" i="1"/>
  <c r="E311" i="1"/>
  <c r="D311" i="1"/>
  <c r="C311" i="1"/>
  <c r="B311" i="1"/>
  <c r="A311" i="1"/>
  <c r="G310" i="1"/>
  <c r="F310" i="1"/>
  <c r="E310" i="1"/>
  <c r="D310" i="1"/>
  <c r="C310" i="1"/>
  <c r="B310" i="1"/>
  <c r="A310" i="1"/>
  <c r="G309" i="1"/>
  <c r="F309" i="1"/>
  <c r="E309" i="1"/>
  <c r="D309" i="1"/>
  <c r="C309" i="1"/>
  <c r="B309" i="1"/>
  <c r="A309" i="1"/>
  <c r="G308" i="1"/>
  <c r="F308" i="1"/>
  <c r="E308" i="1"/>
  <c r="D308" i="1"/>
  <c r="C308" i="1"/>
  <c r="B308" i="1"/>
  <c r="A308" i="1"/>
  <c r="G307" i="1"/>
  <c r="F307" i="1"/>
  <c r="E307" i="1"/>
  <c r="D307" i="1"/>
  <c r="C307" i="1"/>
  <c r="B307" i="1"/>
  <c r="A307" i="1"/>
  <c r="G306" i="1"/>
  <c r="F306" i="1"/>
  <c r="E306" i="1"/>
  <c r="D306" i="1"/>
  <c r="C306" i="1"/>
  <c r="B306" i="1"/>
  <c r="A306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H302" i="1"/>
  <c r="F302" i="1"/>
  <c r="E302" i="1"/>
  <c r="D302" i="1"/>
  <c r="C302" i="1"/>
  <c r="B302" i="1"/>
  <c r="A302" i="1"/>
  <c r="H301" i="1"/>
  <c r="F301" i="1"/>
  <c r="E301" i="1"/>
  <c r="D301" i="1"/>
  <c r="C301" i="1"/>
  <c r="B301" i="1"/>
  <c r="A301" i="1"/>
  <c r="H300" i="1"/>
  <c r="F300" i="1"/>
  <c r="E300" i="1"/>
  <c r="D300" i="1"/>
  <c r="C300" i="1"/>
  <c r="B300" i="1"/>
  <c r="A300" i="1"/>
  <c r="H299" i="1"/>
  <c r="F299" i="1"/>
  <c r="E299" i="1"/>
  <c r="D299" i="1"/>
  <c r="C299" i="1"/>
  <c r="B299" i="1"/>
  <c r="A299" i="1"/>
  <c r="H298" i="1"/>
  <c r="F298" i="1"/>
  <c r="E298" i="1"/>
  <c r="D298" i="1"/>
  <c r="C298" i="1"/>
  <c r="B298" i="1"/>
  <c r="A298" i="1"/>
  <c r="H297" i="1"/>
  <c r="F297" i="1"/>
  <c r="E297" i="1"/>
  <c r="D297" i="1"/>
  <c r="C297" i="1"/>
  <c r="B297" i="1"/>
  <c r="A297" i="1"/>
  <c r="H296" i="1"/>
  <c r="F296" i="1"/>
  <c r="E296" i="1"/>
  <c r="D296" i="1"/>
  <c r="C296" i="1"/>
  <c r="B296" i="1"/>
  <c r="A296" i="1"/>
  <c r="H295" i="1"/>
  <c r="F295" i="1"/>
  <c r="E295" i="1"/>
  <c r="D295" i="1"/>
  <c r="C295" i="1"/>
  <c r="B295" i="1"/>
  <c r="A295" i="1"/>
  <c r="H294" i="1"/>
  <c r="F294" i="1"/>
  <c r="E294" i="1"/>
  <c r="D294" i="1"/>
  <c r="C294" i="1"/>
  <c r="B294" i="1"/>
  <c r="A294" i="1"/>
  <c r="H293" i="1"/>
  <c r="F293" i="1"/>
  <c r="E293" i="1"/>
  <c r="D293" i="1"/>
  <c r="C293" i="1"/>
  <c r="B293" i="1"/>
  <c r="A293" i="1"/>
  <c r="H292" i="1"/>
  <c r="G292" i="1"/>
  <c r="F292" i="1"/>
  <c r="E292" i="1"/>
  <c r="D292" i="1"/>
  <c r="D291" i="1"/>
  <c r="B291" i="1"/>
  <c r="D290" i="1"/>
  <c r="H289" i="1"/>
  <c r="F289" i="1"/>
  <c r="E289" i="1"/>
  <c r="D289" i="1"/>
  <c r="C289" i="1"/>
  <c r="B289" i="1"/>
  <c r="A289" i="1"/>
  <c r="H288" i="1"/>
  <c r="F288" i="1"/>
  <c r="E288" i="1"/>
  <c r="D288" i="1"/>
  <c r="C288" i="1"/>
  <c r="B288" i="1"/>
  <c r="A288" i="1"/>
  <c r="H287" i="1"/>
  <c r="F287" i="1"/>
  <c r="E287" i="1"/>
  <c r="D287" i="1"/>
  <c r="C287" i="1"/>
  <c r="B287" i="1"/>
  <c r="A287" i="1"/>
  <c r="H286" i="1"/>
  <c r="F286" i="1"/>
  <c r="E286" i="1"/>
  <c r="D286" i="1"/>
  <c r="C286" i="1"/>
  <c r="B286" i="1"/>
  <c r="A286" i="1"/>
  <c r="H285" i="1"/>
  <c r="F285" i="1"/>
  <c r="E285" i="1"/>
  <c r="D285" i="1"/>
  <c r="C285" i="1"/>
  <c r="B285" i="1"/>
  <c r="A285" i="1"/>
  <c r="H284" i="1"/>
  <c r="F284" i="1"/>
  <c r="E284" i="1"/>
  <c r="D284" i="1"/>
  <c r="C284" i="1"/>
  <c r="B284" i="1"/>
  <c r="A284" i="1"/>
  <c r="H283" i="1"/>
  <c r="F283" i="1"/>
  <c r="E283" i="1"/>
  <c r="D283" i="1"/>
  <c r="C283" i="1"/>
  <c r="B283" i="1"/>
  <c r="A283" i="1"/>
  <c r="H282" i="1"/>
  <c r="F282" i="1"/>
  <c r="E282" i="1"/>
  <c r="D282" i="1"/>
  <c r="C282" i="1"/>
  <c r="B282" i="1"/>
  <c r="A282" i="1"/>
  <c r="H281" i="1"/>
  <c r="F281" i="1"/>
  <c r="E281" i="1"/>
  <c r="D281" i="1"/>
  <c r="C281" i="1"/>
  <c r="B281" i="1"/>
  <c r="A281" i="1"/>
  <c r="H280" i="1"/>
  <c r="F280" i="1"/>
  <c r="E280" i="1"/>
  <c r="D280" i="1"/>
  <c r="C280" i="1"/>
  <c r="B280" i="1"/>
  <c r="A280" i="1"/>
  <c r="D279" i="1"/>
  <c r="H277" i="1"/>
  <c r="F277" i="1"/>
  <c r="E277" i="1"/>
  <c r="D277" i="1"/>
  <c r="C277" i="1"/>
  <c r="B277" i="1"/>
  <c r="A277" i="1"/>
  <c r="H276" i="1"/>
  <c r="F276" i="1"/>
  <c r="E276" i="1"/>
  <c r="D276" i="1"/>
  <c r="C276" i="1"/>
  <c r="B276" i="1"/>
  <c r="A276" i="1"/>
  <c r="H275" i="1"/>
  <c r="F275" i="1"/>
  <c r="E275" i="1"/>
  <c r="D275" i="1"/>
  <c r="C275" i="1"/>
  <c r="B275" i="1"/>
  <c r="A275" i="1"/>
  <c r="H274" i="1"/>
  <c r="F274" i="1"/>
  <c r="E274" i="1"/>
  <c r="D274" i="1"/>
  <c r="C274" i="1"/>
  <c r="B274" i="1"/>
  <c r="A274" i="1"/>
  <c r="H273" i="1"/>
  <c r="F273" i="1"/>
  <c r="E273" i="1"/>
  <c r="D273" i="1"/>
  <c r="C273" i="1"/>
  <c r="B273" i="1"/>
  <c r="A273" i="1"/>
  <c r="H272" i="1"/>
  <c r="F272" i="1"/>
  <c r="E272" i="1"/>
  <c r="D272" i="1"/>
  <c r="C272" i="1"/>
  <c r="B272" i="1"/>
  <c r="A272" i="1"/>
  <c r="H271" i="1"/>
  <c r="F271" i="1"/>
  <c r="E271" i="1"/>
  <c r="D271" i="1"/>
  <c r="C271" i="1"/>
  <c r="B271" i="1"/>
  <c r="A271" i="1"/>
  <c r="H270" i="1"/>
  <c r="F270" i="1"/>
  <c r="E270" i="1"/>
  <c r="D270" i="1"/>
  <c r="C270" i="1"/>
  <c r="B270" i="1"/>
  <c r="A270" i="1"/>
  <c r="H269" i="1"/>
  <c r="F269" i="1"/>
  <c r="E269" i="1"/>
  <c r="D269" i="1"/>
  <c r="C269" i="1"/>
  <c r="B269" i="1"/>
  <c r="A269" i="1"/>
  <c r="H268" i="1"/>
  <c r="F268" i="1"/>
  <c r="E268" i="1"/>
  <c r="D268" i="1"/>
  <c r="C268" i="1"/>
  <c r="B268" i="1"/>
  <c r="A268" i="1"/>
  <c r="D267" i="1"/>
  <c r="H265" i="1"/>
  <c r="F265" i="1"/>
  <c r="E265" i="1"/>
  <c r="D265" i="1"/>
  <c r="C265" i="1"/>
  <c r="B265" i="1"/>
  <c r="A265" i="1"/>
  <c r="H264" i="1"/>
  <c r="F264" i="1"/>
  <c r="E264" i="1"/>
  <c r="D264" i="1"/>
  <c r="C264" i="1"/>
  <c r="B264" i="1"/>
  <c r="A264" i="1"/>
  <c r="H263" i="1"/>
  <c r="F263" i="1"/>
  <c r="E263" i="1"/>
  <c r="D263" i="1"/>
  <c r="C263" i="1"/>
  <c r="B263" i="1"/>
  <c r="A263" i="1"/>
  <c r="H262" i="1"/>
  <c r="F262" i="1"/>
  <c r="E262" i="1"/>
  <c r="D262" i="1"/>
  <c r="C262" i="1"/>
  <c r="B262" i="1"/>
  <c r="A262" i="1"/>
  <c r="H261" i="1"/>
  <c r="F261" i="1"/>
  <c r="E261" i="1"/>
  <c r="D261" i="1"/>
  <c r="C261" i="1"/>
  <c r="B261" i="1"/>
  <c r="A261" i="1"/>
  <c r="H260" i="1"/>
  <c r="F260" i="1"/>
  <c r="E260" i="1"/>
  <c r="D260" i="1"/>
  <c r="C260" i="1"/>
  <c r="B260" i="1"/>
  <c r="A260" i="1"/>
  <c r="H259" i="1"/>
  <c r="F259" i="1"/>
  <c r="E259" i="1"/>
  <c r="D259" i="1"/>
  <c r="C259" i="1"/>
  <c r="B259" i="1"/>
  <c r="A259" i="1"/>
  <c r="H258" i="1"/>
  <c r="F258" i="1"/>
  <c r="E258" i="1"/>
  <c r="D258" i="1"/>
  <c r="C258" i="1"/>
  <c r="B258" i="1"/>
  <c r="A258" i="1"/>
  <c r="H257" i="1"/>
  <c r="F257" i="1"/>
  <c r="E257" i="1"/>
  <c r="D257" i="1"/>
  <c r="C257" i="1"/>
  <c r="B257" i="1"/>
  <c r="A257" i="1"/>
  <c r="H256" i="1"/>
  <c r="F256" i="1"/>
  <c r="E256" i="1"/>
  <c r="D256" i="1"/>
  <c r="C256" i="1"/>
  <c r="B256" i="1"/>
  <c r="A256" i="1"/>
  <c r="D255" i="1"/>
  <c r="D254" i="1"/>
  <c r="H253" i="1"/>
  <c r="F253" i="1"/>
  <c r="E253" i="1"/>
  <c r="D253" i="1"/>
  <c r="C253" i="1"/>
  <c r="B253" i="1"/>
  <c r="A253" i="1"/>
  <c r="H252" i="1"/>
  <c r="F252" i="1"/>
  <c r="E252" i="1"/>
  <c r="D252" i="1"/>
  <c r="C252" i="1"/>
  <c r="B252" i="1"/>
  <c r="A252" i="1"/>
  <c r="H251" i="1"/>
  <c r="F251" i="1"/>
  <c r="E251" i="1"/>
  <c r="D251" i="1"/>
  <c r="C251" i="1"/>
  <c r="B251" i="1"/>
  <c r="A251" i="1"/>
  <c r="H250" i="1"/>
  <c r="F250" i="1"/>
  <c r="E250" i="1"/>
  <c r="D250" i="1"/>
  <c r="C250" i="1"/>
  <c r="B250" i="1"/>
  <c r="A250" i="1"/>
  <c r="H249" i="1"/>
  <c r="F249" i="1"/>
  <c r="E249" i="1"/>
  <c r="D249" i="1"/>
  <c r="C249" i="1"/>
  <c r="B249" i="1"/>
  <c r="A249" i="1"/>
  <c r="H248" i="1"/>
  <c r="F248" i="1"/>
  <c r="E248" i="1"/>
  <c r="D248" i="1"/>
  <c r="C248" i="1"/>
  <c r="B248" i="1"/>
  <c r="A248" i="1"/>
  <c r="H247" i="1"/>
  <c r="F247" i="1"/>
  <c r="E247" i="1"/>
  <c r="D247" i="1"/>
  <c r="C247" i="1"/>
  <c r="B247" i="1"/>
  <c r="A247" i="1"/>
  <c r="H246" i="1"/>
  <c r="F246" i="1"/>
  <c r="E246" i="1"/>
  <c r="D246" i="1"/>
  <c r="C246" i="1"/>
  <c r="B246" i="1"/>
  <c r="A246" i="1"/>
  <c r="H245" i="1"/>
  <c r="F245" i="1"/>
  <c r="E245" i="1"/>
  <c r="D245" i="1"/>
  <c r="C245" i="1"/>
  <c r="B245" i="1"/>
  <c r="A245" i="1"/>
  <c r="H244" i="1"/>
  <c r="F244" i="1"/>
  <c r="E244" i="1"/>
  <c r="D244" i="1"/>
  <c r="C244" i="1"/>
  <c r="B244" i="1"/>
  <c r="A244" i="1"/>
  <c r="D243" i="1"/>
  <c r="D242" i="1"/>
  <c r="H241" i="1"/>
  <c r="F241" i="1"/>
  <c r="E241" i="1"/>
  <c r="D241" i="1"/>
  <c r="C241" i="1"/>
  <c r="B241" i="1"/>
  <c r="A241" i="1"/>
  <c r="H240" i="1"/>
  <c r="F240" i="1"/>
  <c r="E240" i="1"/>
  <c r="D240" i="1"/>
  <c r="C240" i="1"/>
  <c r="B240" i="1"/>
  <c r="A240" i="1"/>
  <c r="H239" i="1"/>
  <c r="F239" i="1"/>
  <c r="E239" i="1"/>
  <c r="D239" i="1"/>
  <c r="C239" i="1"/>
  <c r="B239" i="1"/>
  <c r="A239" i="1"/>
  <c r="H238" i="1"/>
  <c r="F238" i="1"/>
  <c r="E238" i="1"/>
  <c r="D238" i="1"/>
  <c r="C238" i="1"/>
  <c r="B238" i="1"/>
  <c r="A238" i="1"/>
  <c r="H237" i="1"/>
  <c r="F237" i="1"/>
  <c r="E237" i="1"/>
  <c r="D237" i="1"/>
  <c r="C237" i="1"/>
  <c r="B237" i="1"/>
  <c r="A237" i="1"/>
  <c r="H236" i="1"/>
  <c r="F236" i="1"/>
  <c r="E236" i="1"/>
  <c r="D236" i="1"/>
  <c r="C236" i="1"/>
  <c r="B236" i="1"/>
  <c r="A236" i="1"/>
  <c r="H235" i="1"/>
  <c r="F235" i="1"/>
  <c r="E235" i="1"/>
  <c r="D235" i="1"/>
  <c r="C235" i="1"/>
  <c r="B235" i="1"/>
  <c r="A235" i="1"/>
  <c r="H234" i="1"/>
  <c r="F234" i="1"/>
  <c r="E234" i="1"/>
  <c r="D234" i="1"/>
  <c r="C234" i="1"/>
  <c r="B234" i="1"/>
  <c r="A234" i="1"/>
  <c r="H233" i="1"/>
  <c r="F233" i="1"/>
  <c r="E233" i="1"/>
  <c r="D233" i="1"/>
  <c r="C233" i="1"/>
  <c r="B233" i="1"/>
  <c r="A233" i="1"/>
  <c r="H232" i="1"/>
  <c r="F232" i="1"/>
  <c r="E232" i="1"/>
  <c r="D232" i="1"/>
  <c r="C232" i="1"/>
  <c r="B232" i="1"/>
  <c r="A232" i="1"/>
  <c r="D231" i="1"/>
  <c r="C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D90" i="1"/>
  <c r="C89" i="1"/>
  <c r="B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D76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D62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D48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D34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D20" i="1"/>
  <c r="C19" i="1"/>
  <c r="B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D324" i="7" l="1"/>
  <c r="D325" i="7"/>
  <c r="D326" i="7"/>
  <c r="D327" i="7"/>
  <c r="D328" i="7"/>
  <c r="D329" i="7"/>
  <c r="D330" i="7"/>
  <c r="D331" i="7"/>
  <c r="D332" i="7"/>
  <c r="D333" i="7"/>
  <c r="D334" i="7"/>
  <c r="D120" i="5"/>
  <c r="D106" i="5"/>
  <c r="D107" i="5"/>
  <c r="D321" i="6"/>
  <c r="D322" i="6"/>
  <c r="D309" i="6"/>
  <c r="D308" i="6"/>
  <c r="D295" i="6"/>
  <c r="D294" i="6"/>
  <c r="D280" i="6"/>
  <c r="D281" i="6"/>
  <c r="D277" i="6"/>
  <c r="D268" i="6"/>
  <c r="D259" i="6"/>
  <c r="D258" i="6"/>
  <c r="D249" i="6"/>
  <c r="D248" i="6"/>
  <c r="D247" i="6"/>
  <c r="D246" i="6"/>
  <c r="D245" i="6"/>
  <c r="D244" i="6"/>
  <c r="D236" i="6"/>
  <c r="D235" i="6"/>
  <c r="D234" i="6"/>
  <c r="D222" i="6"/>
  <c r="D221" i="6"/>
  <c r="D208" i="6"/>
  <c r="D207" i="6"/>
  <c r="D194" i="6"/>
  <c r="D193" i="6"/>
  <c r="D192" i="6"/>
  <c r="D180" i="6"/>
  <c r="D179" i="6"/>
  <c r="D166" i="6"/>
  <c r="D165" i="6"/>
  <c r="D268" i="2"/>
  <c r="D283" i="2"/>
  <c r="D305" i="2"/>
  <c r="D306" i="2"/>
  <c r="D319" i="2"/>
  <c r="D320" i="2"/>
  <c r="D333" i="2"/>
  <c r="D334" i="2"/>
  <c r="D345" i="2"/>
  <c r="D346" i="2"/>
  <c r="D347" i="2"/>
  <c r="D360" i="2"/>
  <c r="D361" i="2"/>
  <c r="D362" i="2"/>
  <c r="D363" i="2"/>
  <c r="D364" i="2"/>
  <c r="D365" i="2"/>
  <c r="D366" i="2"/>
  <c r="D367" i="2"/>
  <c r="D368" i="2"/>
  <c r="D369" i="2"/>
  <c r="D370" i="2"/>
  <c r="D304" i="2"/>
  <c r="D307" i="2"/>
  <c r="D308" i="2"/>
  <c r="D309" i="2"/>
  <c r="D310" i="2"/>
  <c r="D311" i="2"/>
  <c r="D312" i="2"/>
  <c r="D313" i="2"/>
  <c r="D314" i="2"/>
  <c r="D315" i="2"/>
  <c r="D290" i="2"/>
  <c r="D291" i="2"/>
  <c r="D292" i="2"/>
  <c r="D293" i="2"/>
  <c r="D294" i="2"/>
  <c r="D295" i="2"/>
  <c r="D296" i="2"/>
  <c r="D297" i="2"/>
  <c r="D298" i="2"/>
  <c r="D299" i="2"/>
  <c r="D300" i="2"/>
  <c r="D280" i="2"/>
  <c r="D281" i="2"/>
  <c r="D282" i="2"/>
  <c r="D284" i="2"/>
  <c r="D285" i="2"/>
  <c r="D286" i="2"/>
  <c r="D257" i="2"/>
  <c r="D258" i="2"/>
  <c r="D259" i="2"/>
  <c r="D245" i="2"/>
  <c r="D244" i="2"/>
  <c r="D231" i="2"/>
  <c r="D230" i="2"/>
  <c r="D217" i="2"/>
  <c r="D203" i="2"/>
  <c r="D188" i="2"/>
  <c r="D183" i="8"/>
  <c r="D184" i="8"/>
  <c r="D185" i="8"/>
  <c r="D186" i="8"/>
  <c r="D187" i="8"/>
  <c r="D188" i="8"/>
  <c r="D189" i="8"/>
  <c r="D190" i="8"/>
  <c r="D191" i="8"/>
  <c r="D192" i="8"/>
  <c r="D193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3" i="8"/>
  <c r="D254" i="8"/>
  <c r="D255" i="8"/>
  <c r="D256" i="8"/>
  <c r="D257" i="8"/>
  <c r="D258" i="8"/>
  <c r="D259" i="8"/>
  <c r="D260" i="8"/>
  <c r="D261" i="8"/>
  <c r="D262" i="8"/>
  <c r="D263" i="8"/>
  <c r="D266" i="8"/>
  <c r="D267" i="8"/>
  <c r="D268" i="8"/>
  <c r="D269" i="8"/>
  <c r="D270" i="8"/>
  <c r="D271" i="8"/>
  <c r="D272" i="8"/>
  <c r="D273" i="8"/>
  <c r="D274" i="8"/>
  <c r="D275" i="8"/>
  <c r="D276" i="8"/>
  <c r="D279" i="8"/>
  <c r="D280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20" i="8"/>
  <c r="D321" i="8"/>
  <c r="D179" i="8"/>
  <c r="D168" i="8"/>
  <c r="D169" i="8"/>
  <c r="D170" i="8"/>
  <c r="D171" i="8"/>
  <c r="D172" i="8"/>
  <c r="D173" i="8"/>
  <c r="D174" i="8"/>
  <c r="D175" i="8"/>
  <c r="D176" i="8"/>
  <c r="D177" i="8"/>
  <c r="D178" i="8"/>
  <c r="D164" i="8"/>
  <c r="D165" i="8"/>
  <c r="D334" i="8"/>
  <c r="D331" i="8"/>
  <c r="D330" i="8"/>
  <c r="D329" i="8"/>
  <c r="D326" i="8"/>
  <c r="D325" i="8"/>
  <c r="D324" i="8"/>
  <c r="D323" i="8"/>
  <c r="D322" i="8"/>
  <c r="D306" i="8"/>
  <c r="D290" i="8"/>
  <c r="D288" i="8"/>
  <c r="D287" i="8"/>
  <c r="D286" i="8"/>
  <c r="D285" i="8"/>
  <c r="D284" i="8"/>
  <c r="D283" i="8"/>
  <c r="D282" i="8"/>
  <c r="D281" i="8"/>
  <c r="D277" i="8"/>
  <c r="D265" i="8"/>
  <c r="D252" i="8"/>
  <c r="D251" i="8"/>
  <c r="D237" i="8"/>
  <c r="D223" i="8"/>
  <c r="D209" i="8"/>
  <c r="D195" i="8"/>
  <c r="D182" i="8"/>
  <c r="D181" i="8"/>
  <c r="D167" i="8"/>
  <c r="D163" i="8"/>
  <c r="D161" i="8"/>
  <c r="D160" i="8"/>
  <c r="D159" i="8"/>
  <c r="D157" i="8"/>
  <c r="D156" i="8"/>
  <c r="D155" i="8"/>
  <c r="D154" i="8"/>
  <c r="D153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28" i="8"/>
  <c r="D327" i="8"/>
  <c r="D292" i="8"/>
  <c r="D289" i="8"/>
  <c r="D162" i="8"/>
  <c r="D158" i="8"/>
  <c r="D98" i="7"/>
  <c r="D99" i="7"/>
  <c r="D100" i="7"/>
  <c r="D101" i="7"/>
  <c r="D102" i="7"/>
  <c r="D103" i="7"/>
  <c r="D79" i="7"/>
  <c r="D70" i="7"/>
  <c r="D71" i="7"/>
  <c r="D72" i="7"/>
  <c r="D73" i="7"/>
  <c r="D74" i="7"/>
  <c r="D75" i="7"/>
  <c r="D76" i="7"/>
  <c r="D77" i="7"/>
  <c r="D78" i="7"/>
  <c r="D86" i="7"/>
  <c r="D87" i="7"/>
  <c r="D88" i="7"/>
  <c r="D89" i="7"/>
  <c r="D90" i="7"/>
  <c r="D91" i="7"/>
  <c r="D108" i="7"/>
  <c r="D109" i="7"/>
  <c r="D110" i="7"/>
  <c r="D111" i="7"/>
  <c r="D112" i="7"/>
  <c r="D113" i="7"/>
  <c r="D114" i="7"/>
  <c r="D115" i="7"/>
  <c r="D106" i="7"/>
  <c r="D107" i="7"/>
  <c r="D94" i="7"/>
  <c r="D95" i="7"/>
  <c r="D96" i="7"/>
  <c r="D97" i="7"/>
  <c r="D82" i="7"/>
  <c r="D83" i="7"/>
  <c r="D84" i="7"/>
  <c r="D85" i="7"/>
  <c r="D48" i="7"/>
  <c r="D49" i="7"/>
  <c r="D50" i="7"/>
  <c r="D51" i="7"/>
  <c r="D52" i="7"/>
  <c r="D53" i="7"/>
  <c r="D54" i="7"/>
  <c r="D35" i="7"/>
  <c r="D36" i="7"/>
  <c r="D37" i="7"/>
  <c r="D38" i="7"/>
  <c r="D39" i="7"/>
  <c r="D40" i="7"/>
  <c r="D41" i="7"/>
  <c r="D42" i="7"/>
  <c r="D27" i="7"/>
  <c r="D28" i="7"/>
  <c r="D29" i="7"/>
  <c r="D30" i="7"/>
  <c r="D31" i="7"/>
  <c r="D59" i="7"/>
  <c r="D60" i="7"/>
  <c r="D61" i="7"/>
  <c r="D62" i="7"/>
  <c r="D63" i="7"/>
  <c r="D64" i="7"/>
  <c r="D65" i="7"/>
  <c r="D66" i="7"/>
  <c r="D230" i="7"/>
  <c r="D231" i="7"/>
  <c r="D232" i="7"/>
  <c r="D233" i="7"/>
  <c r="D234" i="7"/>
  <c r="D235" i="7"/>
  <c r="D236" i="7"/>
  <c r="D237" i="7"/>
  <c r="D238" i="7"/>
  <c r="D243" i="7"/>
  <c r="D244" i="7"/>
  <c r="D245" i="7"/>
  <c r="D246" i="7"/>
  <c r="D247" i="7"/>
  <c r="D248" i="7"/>
  <c r="D249" i="7"/>
  <c r="D250" i="7"/>
  <c r="D251" i="7"/>
  <c r="D256" i="7"/>
  <c r="D257" i="7"/>
  <c r="D258" i="7"/>
  <c r="D259" i="7"/>
  <c r="D260" i="7"/>
  <c r="D261" i="7"/>
  <c r="D262" i="7"/>
  <c r="D263" i="7"/>
  <c r="D264" i="7"/>
  <c r="D265" i="7"/>
  <c r="D270" i="7"/>
  <c r="D271" i="7"/>
  <c r="D272" i="7"/>
  <c r="D273" i="7"/>
  <c r="D274" i="7"/>
  <c r="D275" i="7"/>
  <c r="D276" i="7"/>
  <c r="D277" i="7"/>
  <c r="D278" i="7"/>
  <c r="D279" i="7"/>
  <c r="D284" i="7"/>
  <c r="D285" i="7"/>
  <c r="D286" i="7"/>
  <c r="D287" i="7"/>
  <c r="D288" i="7"/>
  <c r="D289" i="7"/>
  <c r="D290" i="7"/>
  <c r="D291" i="7"/>
  <c r="D292" i="7"/>
  <c r="D293" i="7"/>
  <c r="D302" i="7"/>
  <c r="D303" i="7"/>
  <c r="D304" i="7"/>
  <c r="D305" i="7"/>
  <c r="D306" i="7"/>
  <c r="D307" i="7"/>
  <c r="D322" i="7"/>
  <c r="D316" i="7"/>
  <c r="D317" i="7"/>
  <c r="D318" i="7"/>
  <c r="D319" i="7"/>
  <c r="D320" i="7"/>
  <c r="D321" i="7"/>
  <c r="D19" i="7"/>
  <c r="D315" i="7"/>
  <c r="D313" i="7"/>
  <c r="D311" i="7"/>
  <c r="D310" i="7"/>
  <c r="D308" i="7"/>
  <c r="D299" i="7"/>
  <c r="D298" i="7"/>
  <c r="D296" i="7"/>
  <c r="D294" i="7"/>
  <c r="D283" i="7"/>
  <c r="D269" i="7"/>
  <c r="D268" i="7"/>
  <c r="D255" i="7"/>
  <c r="D254" i="7"/>
  <c r="D252" i="7"/>
  <c r="D240" i="7"/>
  <c r="D229" i="7"/>
  <c r="D227" i="7"/>
  <c r="D226" i="7"/>
  <c r="D224" i="7"/>
  <c r="D222" i="7"/>
  <c r="D221" i="7"/>
  <c r="D220" i="7"/>
  <c r="D217" i="7"/>
  <c r="D216" i="7"/>
  <c r="D214" i="7"/>
  <c r="D213" i="7"/>
  <c r="D212" i="7"/>
  <c r="D208" i="7"/>
  <c r="D207" i="7"/>
  <c r="D205" i="7"/>
  <c r="D204" i="7"/>
  <c r="D203" i="7"/>
  <c r="D200" i="7"/>
  <c r="D199" i="7"/>
  <c r="D196" i="7"/>
  <c r="D195" i="7"/>
  <c r="D194" i="7"/>
  <c r="D191" i="7"/>
  <c r="D190" i="7"/>
  <c r="D188" i="7"/>
  <c r="D187" i="7"/>
  <c r="D186" i="7"/>
  <c r="D181" i="7"/>
  <c r="D179" i="7"/>
  <c r="D178" i="7"/>
  <c r="D177" i="7"/>
  <c r="D174" i="7"/>
  <c r="D173" i="7"/>
  <c r="D171" i="7"/>
  <c r="D170" i="7"/>
  <c r="D168" i="7"/>
  <c r="D166" i="7"/>
  <c r="D165" i="7"/>
  <c r="D164" i="7"/>
  <c r="D161" i="7"/>
  <c r="D160" i="7"/>
  <c r="D158" i="7"/>
  <c r="D157" i="7"/>
  <c r="D156" i="7"/>
  <c r="D152" i="7"/>
  <c r="D151" i="7"/>
  <c r="D149" i="7"/>
  <c r="D148" i="7"/>
  <c r="D147" i="7"/>
  <c r="D144" i="7"/>
  <c r="D143" i="7"/>
  <c r="D105" i="7"/>
  <c r="D93" i="7"/>
  <c r="D67" i="7"/>
  <c r="D58" i="7"/>
  <c r="D55" i="7"/>
  <c r="D47" i="7"/>
  <c r="D46" i="7"/>
  <c r="D45" i="7"/>
  <c r="D34" i="7"/>
  <c r="D33" i="7"/>
  <c r="D25" i="7"/>
  <c r="D24" i="7"/>
  <c r="D23" i="7"/>
  <c r="D22" i="7"/>
  <c r="D18" i="7"/>
  <c r="D17" i="7"/>
  <c r="D15" i="7"/>
  <c r="D14" i="7"/>
  <c r="D13" i="7"/>
  <c r="D12" i="7"/>
  <c r="D10" i="7"/>
  <c r="D9" i="7"/>
  <c r="D314" i="7"/>
  <c r="D312" i="7"/>
  <c r="D301" i="7"/>
  <c r="D300" i="7"/>
  <c r="D297" i="7"/>
  <c r="D282" i="7"/>
  <c r="D280" i="7"/>
  <c r="D266" i="7"/>
  <c r="D242" i="7"/>
  <c r="D241" i="7"/>
  <c r="D228" i="7"/>
  <c r="D223" i="7"/>
  <c r="D219" i="7"/>
  <c r="D218" i="7"/>
  <c r="D215" i="7"/>
  <c r="D210" i="7"/>
  <c r="D209" i="7"/>
  <c r="D206" i="7"/>
  <c r="D202" i="7"/>
  <c r="D201" i="7"/>
  <c r="D198" i="7"/>
  <c r="D193" i="7"/>
  <c r="D192" i="7"/>
  <c r="D189" i="7"/>
  <c r="D185" i="7"/>
  <c r="D184" i="7"/>
  <c r="D182" i="7"/>
  <c r="D180" i="7"/>
  <c r="D176" i="7"/>
  <c r="D175" i="7"/>
  <c r="D172" i="7"/>
  <c r="D167" i="7"/>
  <c r="D163" i="7"/>
  <c r="D162" i="7"/>
  <c r="D159" i="7"/>
  <c r="D154" i="7"/>
  <c r="D153" i="7"/>
  <c r="D150" i="7"/>
  <c r="D146" i="7"/>
  <c r="D145" i="7"/>
  <c r="D142" i="7"/>
  <c r="D81" i="7"/>
  <c r="D69" i="7"/>
  <c r="D57" i="7"/>
  <c r="D43" i="7"/>
  <c r="D26" i="7"/>
  <c r="D21" i="7"/>
  <c r="D16" i="7"/>
  <c r="D11" i="7"/>
  <c r="G17" i="4"/>
  <c r="F17" i="4"/>
  <c r="E17" i="4"/>
  <c r="C17" i="4"/>
  <c r="B17" i="4"/>
  <c r="A17" i="4"/>
  <c r="G16" i="4"/>
  <c r="F16" i="4"/>
  <c r="E16" i="4"/>
  <c r="C16" i="4"/>
  <c r="B16" i="4"/>
  <c r="A16" i="4"/>
  <c r="G15" i="4"/>
  <c r="F15" i="4"/>
  <c r="E15" i="4"/>
  <c r="C15" i="4"/>
  <c r="B15" i="4"/>
  <c r="A15" i="4"/>
  <c r="G14" i="4"/>
  <c r="F14" i="4"/>
  <c r="E14" i="4"/>
  <c r="C14" i="4"/>
  <c r="B14" i="4"/>
  <c r="A14" i="4"/>
  <c r="G13" i="4"/>
  <c r="F13" i="4"/>
  <c r="E13" i="4"/>
  <c r="C13" i="4"/>
  <c r="B13" i="4"/>
  <c r="A13" i="4"/>
  <c r="G12" i="4"/>
  <c r="F12" i="4"/>
  <c r="E12" i="4"/>
  <c r="C12" i="4"/>
  <c r="B12" i="4"/>
  <c r="A12" i="4"/>
  <c r="G11" i="4"/>
  <c r="F11" i="4"/>
  <c r="E11" i="4"/>
  <c r="C11" i="4"/>
  <c r="B11" i="4"/>
  <c r="A11" i="4"/>
  <c r="G10" i="4"/>
  <c r="F10" i="4"/>
  <c r="E10" i="4"/>
  <c r="C10" i="4"/>
  <c r="B10" i="4"/>
  <c r="A10" i="4"/>
  <c r="G9" i="4"/>
  <c r="F9" i="4"/>
  <c r="E9" i="4"/>
  <c r="C9" i="4"/>
  <c r="B9" i="4"/>
  <c r="A9" i="4"/>
  <c r="D8" i="4"/>
  <c r="G7" i="4"/>
  <c r="F7" i="4"/>
  <c r="E7" i="4"/>
  <c r="C7" i="4"/>
  <c r="B6" i="4"/>
  <c r="G347" i="4"/>
  <c r="F347" i="4"/>
  <c r="E347" i="4"/>
  <c r="C347" i="4"/>
  <c r="B347" i="4"/>
  <c r="A347" i="4"/>
  <c r="G346" i="4"/>
  <c r="F346" i="4"/>
  <c r="E346" i="4"/>
  <c r="C346" i="4"/>
  <c r="B346" i="4"/>
  <c r="A346" i="4"/>
  <c r="G345" i="4"/>
  <c r="F345" i="4"/>
  <c r="E345" i="4"/>
  <c r="C345" i="4"/>
  <c r="B345" i="4"/>
  <c r="A345" i="4"/>
  <c r="G344" i="4"/>
  <c r="F344" i="4"/>
  <c r="E344" i="4"/>
  <c r="C344" i="4"/>
  <c r="B344" i="4"/>
  <c r="A344" i="4"/>
  <c r="G343" i="4"/>
  <c r="F343" i="4"/>
  <c r="E343" i="4"/>
  <c r="C343" i="4"/>
  <c r="B343" i="4"/>
  <c r="A343" i="4"/>
  <c r="G342" i="4"/>
  <c r="F342" i="4"/>
  <c r="E342" i="4"/>
  <c r="C342" i="4"/>
  <c r="B342" i="4"/>
  <c r="A342" i="4"/>
  <c r="G341" i="4"/>
  <c r="F341" i="4"/>
  <c r="E341" i="4"/>
  <c r="C341" i="4"/>
  <c r="B341" i="4"/>
  <c r="A341" i="4"/>
  <c r="G340" i="4"/>
  <c r="F340" i="4"/>
  <c r="E340" i="4"/>
  <c r="C340" i="4"/>
  <c r="B340" i="4"/>
  <c r="A340" i="4"/>
  <c r="G339" i="4"/>
  <c r="F339" i="4"/>
  <c r="E339" i="4"/>
  <c r="C339" i="4"/>
  <c r="B339" i="4"/>
  <c r="A339" i="4"/>
  <c r="G338" i="4"/>
  <c r="F338" i="4"/>
  <c r="E338" i="4"/>
  <c r="C338" i="4"/>
  <c r="B338" i="4"/>
  <c r="A338" i="4"/>
  <c r="G337" i="4"/>
  <c r="F337" i="4"/>
  <c r="E337" i="4"/>
  <c r="C337" i="4"/>
  <c r="B337" i="4"/>
  <c r="A337" i="4"/>
  <c r="G336" i="4"/>
  <c r="F336" i="4"/>
  <c r="E336" i="4"/>
  <c r="C336" i="4"/>
  <c r="B336" i="4"/>
  <c r="A336" i="4"/>
  <c r="D335" i="4"/>
  <c r="G333" i="4"/>
  <c r="F333" i="4"/>
  <c r="E333" i="4"/>
  <c r="C333" i="4"/>
  <c r="B333" i="4"/>
  <c r="A333" i="4"/>
  <c r="G332" i="4"/>
  <c r="F332" i="4"/>
  <c r="E332" i="4"/>
  <c r="C332" i="4"/>
  <c r="B332" i="4"/>
  <c r="A332" i="4"/>
  <c r="G331" i="4"/>
  <c r="F331" i="4"/>
  <c r="E331" i="4"/>
  <c r="C331" i="4"/>
  <c r="B331" i="4"/>
  <c r="A331" i="4"/>
  <c r="G330" i="4"/>
  <c r="F330" i="4"/>
  <c r="E330" i="4"/>
  <c r="C330" i="4"/>
  <c r="B330" i="4"/>
  <c r="A330" i="4"/>
  <c r="G329" i="4"/>
  <c r="F329" i="4"/>
  <c r="E329" i="4"/>
  <c r="C329" i="4"/>
  <c r="B329" i="4"/>
  <c r="A329" i="4"/>
  <c r="G328" i="4"/>
  <c r="F328" i="4"/>
  <c r="E328" i="4"/>
  <c r="C328" i="4"/>
  <c r="B328" i="4"/>
  <c r="A328" i="4"/>
  <c r="G327" i="4"/>
  <c r="F327" i="4"/>
  <c r="E327" i="4"/>
  <c r="C327" i="4"/>
  <c r="B327" i="4"/>
  <c r="A327" i="4"/>
  <c r="G326" i="4"/>
  <c r="F326" i="4"/>
  <c r="E326" i="4"/>
  <c r="C326" i="4"/>
  <c r="B326" i="4"/>
  <c r="A326" i="4"/>
  <c r="G325" i="4"/>
  <c r="F325" i="4"/>
  <c r="E325" i="4"/>
  <c r="C325" i="4"/>
  <c r="B325" i="4"/>
  <c r="A325" i="4"/>
  <c r="G324" i="4"/>
  <c r="F324" i="4"/>
  <c r="E324" i="4"/>
  <c r="C324" i="4"/>
  <c r="B324" i="4"/>
  <c r="A324" i="4"/>
  <c r="G323" i="4"/>
  <c r="F323" i="4"/>
  <c r="E323" i="4"/>
  <c r="C323" i="4"/>
  <c r="B323" i="4"/>
  <c r="A323" i="4"/>
  <c r="G322" i="4"/>
  <c r="F322" i="4"/>
  <c r="E322" i="4"/>
  <c r="C322" i="4"/>
  <c r="B322" i="4"/>
  <c r="A322" i="4"/>
  <c r="D321" i="4"/>
  <c r="G319" i="4"/>
  <c r="F319" i="4"/>
  <c r="E319" i="4"/>
  <c r="C319" i="4"/>
  <c r="B319" i="4"/>
  <c r="A319" i="4"/>
  <c r="G318" i="4"/>
  <c r="F318" i="4"/>
  <c r="E318" i="4"/>
  <c r="C318" i="4"/>
  <c r="B318" i="4"/>
  <c r="A318" i="4"/>
  <c r="G317" i="4"/>
  <c r="F317" i="4"/>
  <c r="E317" i="4"/>
  <c r="C317" i="4"/>
  <c r="B317" i="4"/>
  <c r="A317" i="4"/>
  <c r="G316" i="4"/>
  <c r="F316" i="4"/>
  <c r="E316" i="4"/>
  <c r="C316" i="4"/>
  <c r="B316" i="4"/>
  <c r="A316" i="4"/>
  <c r="G315" i="4"/>
  <c r="F315" i="4"/>
  <c r="E315" i="4"/>
  <c r="C315" i="4"/>
  <c r="B315" i="4"/>
  <c r="A315" i="4"/>
  <c r="G314" i="4"/>
  <c r="F314" i="4"/>
  <c r="E314" i="4"/>
  <c r="C314" i="4"/>
  <c r="B314" i="4"/>
  <c r="A314" i="4"/>
  <c r="G313" i="4"/>
  <c r="F313" i="4"/>
  <c r="E313" i="4"/>
  <c r="C313" i="4"/>
  <c r="B313" i="4"/>
  <c r="A313" i="4"/>
  <c r="G312" i="4"/>
  <c r="F312" i="4"/>
  <c r="E312" i="4"/>
  <c r="C312" i="4"/>
  <c r="B312" i="4"/>
  <c r="A312" i="4"/>
  <c r="G311" i="4"/>
  <c r="F311" i="4"/>
  <c r="E311" i="4"/>
  <c r="C311" i="4"/>
  <c r="B311" i="4"/>
  <c r="A311" i="4"/>
  <c r="G310" i="4"/>
  <c r="F310" i="4"/>
  <c r="E310" i="4"/>
  <c r="C310" i="4"/>
  <c r="B310" i="4"/>
  <c r="A310" i="4"/>
  <c r="G309" i="4"/>
  <c r="F309" i="4"/>
  <c r="E309" i="4"/>
  <c r="C309" i="4"/>
  <c r="B309" i="4"/>
  <c r="A309" i="4"/>
  <c r="G308" i="4"/>
  <c r="F308" i="4"/>
  <c r="E308" i="4"/>
  <c r="C308" i="4"/>
  <c r="B308" i="4"/>
  <c r="A308" i="4"/>
  <c r="D307" i="4"/>
  <c r="G305" i="4"/>
  <c r="F305" i="4"/>
  <c r="E305" i="4"/>
  <c r="C305" i="4"/>
  <c r="B305" i="4"/>
  <c r="A305" i="4"/>
  <c r="G304" i="4"/>
  <c r="F304" i="4"/>
  <c r="E304" i="4"/>
  <c r="C304" i="4"/>
  <c r="B304" i="4"/>
  <c r="A304" i="4"/>
  <c r="G303" i="4"/>
  <c r="F303" i="4"/>
  <c r="E303" i="4"/>
  <c r="C303" i="4"/>
  <c r="B303" i="4"/>
  <c r="A303" i="4"/>
  <c r="G302" i="4"/>
  <c r="F302" i="4"/>
  <c r="E302" i="4"/>
  <c r="C302" i="4"/>
  <c r="B302" i="4"/>
  <c r="A302" i="4"/>
  <c r="G301" i="4"/>
  <c r="F301" i="4"/>
  <c r="E301" i="4"/>
  <c r="C301" i="4"/>
  <c r="B301" i="4"/>
  <c r="A301" i="4"/>
  <c r="G300" i="4"/>
  <c r="F300" i="4"/>
  <c r="E300" i="4"/>
  <c r="C300" i="4"/>
  <c r="B300" i="4"/>
  <c r="A300" i="4"/>
  <c r="G299" i="4"/>
  <c r="F299" i="4"/>
  <c r="E299" i="4"/>
  <c r="C299" i="4"/>
  <c r="B299" i="4"/>
  <c r="A299" i="4"/>
  <c r="G298" i="4"/>
  <c r="F298" i="4"/>
  <c r="E298" i="4"/>
  <c r="C298" i="4"/>
  <c r="B298" i="4"/>
  <c r="A298" i="4"/>
  <c r="G297" i="4"/>
  <c r="F297" i="4"/>
  <c r="E297" i="4"/>
  <c r="C297" i="4"/>
  <c r="B297" i="4"/>
  <c r="A297" i="4"/>
  <c r="G296" i="4"/>
  <c r="F296" i="4"/>
  <c r="E296" i="4"/>
  <c r="C296" i="4"/>
  <c r="B296" i="4"/>
  <c r="A296" i="4"/>
  <c r="G295" i="4"/>
  <c r="F295" i="4"/>
  <c r="E295" i="4"/>
  <c r="C295" i="4"/>
  <c r="B295" i="4"/>
  <c r="A295" i="4"/>
  <c r="G294" i="4"/>
  <c r="F294" i="4"/>
  <c r="E294" i="4"/>
  <c r="C294" i="4"/>
  <c r="B294" i="4"/>
  <c r="A294" i="4"/>
  <c r="D293" i="4"/>
  <c r="G291" i="4"/>
  <c r="F291" i="4"/>
  <c r="E291" i="4"/>
  <c r="C291" i="4"/>
  <c r="B291" i="4"/>
  <c r="A291" i="4"/>
  <c r="G290" i="4"/>
  <c r="F290" i="4"/>
  <c r="E290" i="4"/>
  <c r="C290" i="4"/>
  <c r="B290" i="4"/>
  <c r="A290" i="4"/>
  <c r="G289" i="4"/>
  <c r="F289" i="4"/>
  <c r="E289" i="4"/>
  <c r="C289" i="4"/>
  <c r="B289" i="4"/>
  <c r="A289" i="4"/>
  <c r="G288" i="4"/>
  <c r="F288" i="4"/>
  <c r="E288" i="4"/>
  <c r="C288" i="4"/>
  <c r="B288" i="4"/>
  <c r="A288" i="4"/>
  <c r="G287" i="4"/>
  <c r="F287" i="4"/>
  <c r="E287" i="4"/>
  <c r="C287" i="4"/>
  <c r="B287" i="4"/>
  <c r="A287" i="4"/>
  <c r="G286" i="4"/>
  <c r="F286" i="4"/>
  <c r="E286" i="4"/>
  <c r="C286" i="4"/>
  <c r="B286" i="4"/>
  <c r="A286" i="4"/>
  <c r="G285" i="4"/>
  <c r="F285" i="4"/>
  <c r="E285" i="4"/>
  <c r="C285" i="4"/>
  <c r="B285" i="4"/>
  <c r="A285" i="4"/>
  <c r="G284" i="4"/>
  <c r="F284" i="4"/>
  <c r="E284" i="4"/>
  <c r="C284" i="4"/>
  <c r="B284" i="4"/>
  <c r="A284" i="4"/>
  <c r="G283" i="4"/>
  <c r="F283" i="4"/>
  <c r="E283" i="4"/>
  <c r="C283" i="4"/>
  <c r="B283" i="4"/>
  <c r="A283" i="4"/>
  <c r="G282" i="4"/>
  <c r="F282" i="4"/>
  <c r="E282" i="4"/>
  <c r="C282" i="4"/>
  <c r="B282" i="4"/>
  <c r="A282" i="4"/>
  <c r="G281" i="4"/>
  <c r="F281" i="4"/>
  <c r="E281" i="4"/>
  <c r="C281" i="4"/>
  <c r="B281" i="4"/>
  <c r="A281" i="4"/>
  <c r="G280" i="4"/>
  <c r="F280" i="4"/>
  <c r="E280" i="4"/>
  <c r="C280" i="4"/>
  <c r="B280" i="4"/>
  <c r="A280" i="4"/>
  <c r="D279" i="4"/>
  <c r="G277" i="4"/>
  <c r="F277" i="4"/>
  <c r="E277" i="4"/>
  <c r="C277" i="4"/>
  <c r="B277" i="4"/>
  <c r="A277" i="4"/>
  <c r="G276" i="4"/>
  <c r="F276" i="4"/>
  <c r="E276" i="4"/>
  <c r="C276" i="4"/>
  <c r="B276" i="4"/>
  <c r="A276" i="4"/>
  <c r="G275" i="4"/>
  <c r="F275" i="4"/>
  <c r="E275" i="4"/>
  <c r="C275" i="4"/>
  <c r="B275" i="4"/>
  <c r="A275" i="4"/>
  <c r="G274" i="4"/>
  <c r="F274" i="4"/>
  <c r="E274" i="4"/>
  <c r="C274" i="4"/>
  <c r="B274" i="4"/>
  <c r="A274" i="4"/>
  <c r="G273" i="4"/>
  <c r="F273" i="4"/>
  <c r="E273" i="4"/>
  <c r="C273" i="4"/>
  <c r="B273" i="4"/>
  <c r="A273" i="4"/>
  <c r="G272" i="4"/>
  <c r="F272" i="4"/>
  <c r="E272" i="4"/>
  <c r="C272" i="4"/>
  <c r="B272" i="4"/>
  <c r="A272" i="4"/>
  <c r="G271" i="4"/>
  <c r="F271" i="4"/>
  <c r="E271" i="4"/>
  <c r="C271" i="4"/>
  <c r="B271" i="4"/>
  <c r="A271" i="4"/>
  <c r="G270" i="4"/>
  <c r="F270" i="4"/>
  <c r="E270" i="4"/>
  <c r="C270" i="4"/>
  <c r="B270" i="4"/>
  <c r="A270" i="4"/>
  <c r="G269" i="4"/>
  <c r="F269" i="4"/>
  <c r="E269" i="4"/>
  <c r="C269" i="4"/>
  <c r="B269" i="4"/>
  <c r="A269" i="4"/>
  <c r="G268" i="4"/>
  <c r="F268" i="4"/>
  <c r="E268" i="4"/>
  <c r="C268" i="4"/>
  <c r="B268" i="4"/>
  <c r="A268" i="4"/>
  <c r="G267" i="4"/>
  <c r="F267" i="4"/>
  <c r="E267" i="4"/>
  <c r="C267" i="4"/>
  <c r="B267" i="4"/>
  <c r="A267" i="4"/>
  <c r="G266" i="4"/>
  <c r="F266" i="4"/>
  <c r="E266" i="4"/>
  <c r="C266" i="4"/>
  <c r="B266" i="4"/>
  <c r="A266" i="4"/>
  <c r="D265" i="4"/>
  <c r="G263" i="4"/>
  <c r="F263" i="4"/>
  <c r="E263" i="4"/>
  <c r="C263" i="4"/>
  <c r="B263" i="4"/>
  <c r="A263" i="4"/>
  <c r="G262" i="4"/>
  <c r="F262" i="4"/>
  <c r="E262" i="4"/>
  <c r="C262" i="4"/>
  <c r="B262" i="4"/>
  <c r="A262" i="4"/>
  <c r="G261" i="4"/>
  <c r="F261" i="4"/>
  <c r="E261" i="4"/>
  <c r="C261" i="4"/>
  <c r="B261" i="4"/>
  <c r="A261" i="4"/>
  <c r="G260" i="4"/>
  <c r="F260" i="4"/>
  <c r="E260" i="4"/>
  <c r="C260" i="4"/>
  <c r="B260" i="4"/>
  <c r="A260" i="4"/>
  <c r="G259" i="4"/>
  <c r="F259" i="4"/>
  <c r="E259" i="4"/>
  <c r="C259" i="4"/>
  <c r="B259" i="4"/>
  <c r="A259" i="4"/>
  <c r="G258" i="4"/>
  <c r="F258" i="4"/>
  <c r="E258" i="4"/>
  <c r="C258" i="4"/>
  <c r="B258" i="4"/>
  <c r="A258" i="4"/>
  <c r="G257" i="4"/>
  <c r="F257" i="4"/>
  <c r="E257" i="4"/>
  <c r="C257" i="4"/>
  <c r="B257" i="4"/>
  <c r="A257" i="4"/>
  <c r="G256" i="4"/>
  <c r="F256" i="4"/>
  <c r="E256" i="4"/>
  <c r="C256" i="4"/>
  <c r="B256" i="4"/>
  <c r="A256" i="4"/>
  <c r="G255" i="4"/>
  <c r="F255" i="4"/>
  <c r="E255" i="4"/>
  <c r="C255" i="4"/>
  <c r="B255" i="4"/>
  <c r="A255" i="4"/>
  <c r="G254" i="4"/>
  <c r="F254" i="4"/>
  <c r="E254" i="4"/>
  <c r="C254" i="4"/>
  <c r="B254" i="4"/>
  <c r="A254" i="4"/>
  <c r="G253" i="4"/>
  <c r="F253" i="4"/>
  <c r="E253" i="4"/>
  <c r="C253" i="4"/>
  <c r="B253" i="4"/>
  <c r="A253" i="4"/>
  <c r="G252" i="4"/>
  <c r="F252" i="4"/>
  <c r="E252" i="4"/>
  <c r="C252" i="4"/>
  <c r="B252" i="4"/>
  <c r="A252" i="4"/>
  <c r="D251" i="4"/>
  <c r="G250" i="4"/>
  <c r="F250" i="4"/>
  <c r="E250" i="4"/>
  <c r="C250" i="4"/>
  <c r="B250" i="4"/>
  <c r="G249" i="4"/>
  <c r="F249" i="4"/>
  <c r="E249" i="4"/>
  <c r="C249" i="4"/>
  <c r="B249" i="4"/>
  <c r="A249" i="4"/>
  <c r="G248" i="4"/>
  <c r="F248" i="4"/>
  <c r="E248" i="4"/>
  <c r="C248" i="4"/>
  <c r="B248" i="4"/>
  <c r="A248" i="4"/>
  <c r="G247" i="4"/>
  <c r="F247" i="4"/>
  <c r="E247" i="4"/>
  <c r="C247" i="4"/>
  <c r="B247" i="4"/>
  <c r="A247" i="4"/>
  <c r="G246" i="4"/>
  <c r="F246" i="4"/>
  <c r="E246" i="4"/>
  <c r="C246" i="4"/>
  <c r="B246" i="4"/>
  <c r="A246" i="4"/>
  <c r="G245" i="4"/>
  <c r="F245" i="4"/>
  <c r="E245" i="4"/>
  <c r="C245" i="4"/>
  <c r="B245" i="4"/>
  <c r="A245" i="4"/>
  <c r="G244" i="4"/>
  <c r="F244" i="4"/>
  <c r="E244" i="4"/>
  <c r="C244" i="4"/>
  <c r="B244" i="4"/>
  <c r="A244" i="4"/>
  <c r="G243" i="4"/>
  <c r="F243" i="4"/>
  <c r="E243" i="4"/>
  <c r="C243" i="4"/>
  <c r="B243" i="4"/>
  <c r="A243" i="4"/>
  <c r="G242" i="4"/>
  <c r="F242" i="4"/>
  <c r="E242" i="4"/>
  <c r="C242" i="4"/>
  <c r="B242" i="4"/>
  <c r="A242" i="4"/>
  <c r="G241" i="4"/>
  <c r="F241" i="4"/>
  <c r="E241" i="4"/>
  <c r="C241" i="4"/>
  <c r="B241" i="4"/>
  <c r="A241" i="4"/>
  <c r="G240" i="4"/>
  <c r="F240" i="4"/>
  <c r="E240" i="4"/>
  <c r="C240" i="4"/>
  <c r="B240" i="4"/>
  <c r="A240" i="4"/>
  <c r="G239" i="4"/>
  <c r="F239" i="4"/>
  <c r="E239" i="4"/>
  <c r="C239" i="4"/>
  <c r="B239" i="4"/>
  <c r="A239" i="4"/>
  <c r="G238" i="4"/>
  <c r="F238" i="4"/>
  <c r="E238" i="4"/>
  <c r="C238" i="4"/>
  <c r="B238" i="4"/>
  <c r="A238" i="4"/>
  <c r="D237" i="4"/>
  <c r="G236" i="4"/>
  <c r="F236" i="4"/>
  <c r="E236" i="4"/>
  <c r="C236" i="4"/>
  <c r="B236" i="4"/>
  <c r="G235" i="4"/>
  <c r="F235" i="4"/>
  <c r="E235" i="4"/>
  <c r="C235" i="4"/>
  <c r="B235" i="4"/>
  <c r="A235" i="4"/>
  <c r="G234" i="4"/>
  <c r="F234" i="4"/>
  <c r="E234" i="4"/>
  <c r="C234" i="4"/>
  <c r="B234" i="4"/>
  <c r="A234" i="4"/>
  <c r="G233" i="4"/>
  <c r="F233" i="4"/>
  <c r="E233" i="4"/>
  <c r="C233" i="4"/>
  <c r="B233" i="4"/>
  <c r="A233" i="4"/>
  <c r="G232" i="4"/>
  <c r="F232" i="4"/>
  <c r="E232" i="4"/>
  <c r="C232" i="4"/>
  <c r="B232" i="4"/>
  <c r="A232" i="4"/>
  <c r="G231" i="4"/>
  <c r="F231" i="4"/>
  <c r="E231" i="4"/>
  <c r="C231" i="4"/>
  <c r="B231" i="4"/>
  <c r="A231" i="4"/>
  <c r="G230" i="4"/>
  <c r="F230" i="4"/>
  <c r="E230" i="4"/>
  <c r="C230" i="4"/>
  <c r="B230" i="4"/>
  <c r="A230" i="4"/>
  <c r="G229" i="4"/>
  <c r="F229" i="4"/>
  <c r="E229" i="4"/>
  <c r="C229" i="4"/>
  <c r="B229" i="4"/>
  <c r="A229" i="4"/>
  <c r="G228" i="4"/>
  <c r="F228" i="4"/>
  <c r="E228" i="4"/>
  <c r="C228" i="4"/>
  <c r="B228" i="4"/>
  <c r="A228" i="4"/>
  <c r="G227" i="4"/>
  <c r="F227" i="4"/>
  <c r="E227" i="4"/>
  <c r="C227" i="4"/>
  <c r="B227" i="4"/>
  <c r="A227" i="4"/>
  <c r="G226" i="4"/>
  <c r="F226" i="4"/>
  <c r="E226" i="4"/>
  <c r="C226" i="4"/>
  <c r="B226" i="4"/>
  <c r="A226" i="4"/>
  <c r="G225" i="4"/>
  <c r="F225" i="4"/>
  <c r="E225" i="4"/>
  <c r="C225" i="4"/>
  <c r="B225" i="4"/>
  <c r="A225" i="4"/>
  <c r="G224" i="4"/>
  <c r="F224" i="4"/>
  <c r="E224" i="4"/>
  <c r="C224" i="4"/>
  <c r="B224" i="4"/>
  <c r="A224" i="4"/>
  <c r="D223" i="4"/>
  <c r="G222" i="4"/>
  <c r="F222" i="4"/>
  <c r="E222" i="4"/>
  <c r="C222" i="4"/>
  <c r="B222" i="4"/>
  <c r="G221" i="4"/>
  <c r="F221" i="4"/>
  <c r="E221" i="4"/>
  <c r="C221" i="4"/>
  <c r="B221" i="4"/>
  <c r="A221" i="4"/>
  <c r="G220" i="4"/>
  <c r="F220" i="4"/>
  <c r="E220" i="4"/>
  <c r="C220" i="4"/>
  <c r="B220" i="4"/>
  <c r="A220" i="4"/>
  <c r="G219" i="4"/>
  <c r="F219" i="4"/>
  <c r="E219" i="4"/>
  <c r="C219" i="4"/>
  <c r="B219" i="4"/>
  <c r="A219" i="4"/>
  <c r="G218" i="4"/>
  <c r="F218" i="4"/>
  <c r="E218" i="4"/>
  <c r="C218" i="4"/>
  <c r="B218" i="4"/>
  <c r="A218" i="4"/>
  <c r="G217" i="4"/>
  <c r="F217" i="4"/>
  <c r="E217" i="4"/>
  <c r="C217" i="4"/>
  <c r="B217" i="4"/>
  <c r="A217" i="4"/>
  <c r="G216" i="4"/>
  <c r="F216" i="4"/>
  <c r="E216" i="4"/>
  <c r="C216" i="4"/>
  <c r="B216" i="4"/>
  <c r="A216" i="4"/>
  <c r="G215" i="4"/>
  <c r="F215" i="4"/>
  <c r="E215" i="4"/>
  <c r="C215" i="4"/>
  <c r="B215" i="4"/>
  <c r="A215" i="4"/>
  <c r="G214" i="4"/>
  <c r="F214" i="4"/>
  <c r="E214" i="4"/>
  <c r="C214" i="4"/>
  <c r="B214" i="4"/>
  <c r="A214" i="4"/>
  <c r="G213" i="4"/>
  <c r="F213" i="4"/>
  <c r="E213" i="4"/>
  <c r="C213" i="4"/>
  <c r="B213" i="4"/>
  <c r="A213" i="4"/>
  <c r="G212" i="4"/>
  <c r="F212" i="4"/>
  <c r="E212" i="4"/>
  <c r="C212" i="4"/>
  <c r="B212" i="4"/>
  <c r="A212" i="4"/>
  <c r="G211" i="4"/>
  <c r="F211" i="4"/>
  <c r="E211" i="4"/>
  <c r="C211" i="4"/>
  <c r="B211" i="4"/>
  <c r="A211" i="4"/>
  <c r="G210" i="4"/>
  <c r="F210" i="4"/>
  <c r="E210" i="4"/>
  <c r="C210" i="4"/>
  <c r="B210" i="4"/>
  <c r="A210" i="4"/>
  <c r="D209" i="4"/>
  <c r="G208" i="4"/>
  <c r="F208" i="4"/>
  <c r="E208" i="4"/>
  <c r="C208" i="4"/>
  <c r="B208" i="4"/>
  <c r="G207" i="4"/>
  <c r="F207" i="4"/>
  <c r="E207" i="4"/>
  <c r="C207" i="4"/>
  <c r="B207" i="4"/>
  <c r="A207" i="4"/>
  <c r="G206" i="4"/>
  <c r="F206" i="4"/>
  <c r="E206" i="4"/>
  <c r="C206" i="4"/>
  <c r="B206" i="4"/>
  <c r="A206" i="4"/>
  <c r="G205" i="4"/>
  <c r="F205" i="4"/>
  <c r="E205" i="4"/>
  <c r="C205" i="4"/>
  <c r="B205" i="4"/>
  <c r="A205" i="4"/>
  <c r="G204" i="4"/>
  <c r="F204" i="4"/>
  <c r="E204" i="4"/>
  <c r="C204" i="4"/>
  <c r="B204" i="4"/>
  <c r="A204" i="4"/>
  <c r="G203" i="4"/>
  <c r="F203" i="4"/>
  <c r="E203" i="4"/>
  <c r="C203" i="4"/>
  <c r="B203" i="4"/>
  <c r="A203" i="4"/>
  <c r="G202" i="4"/>
  <c r="F202" i="4"/>
  <c r="E202" i="4"/>
  <c r="C202" i="4"/>
  <c r="B202" i="4"/>
  <c r="A202" i="4"/>
  <c r="G201" i="4"/>
  <c r="F201" i="4"/>
  <c r="E201" i="4"/>
  <c r="C201" i="4"/>
  <c r="B201" i="4"/>
  <c r="A201" i="4"/>
  <c r="G200" i="4"/>
  <c r="F200" i="4"/>
  <c r="E200" i="4"/>
  <c r="C200" i="4"/>
  <c r="B200" i="4"/>
  <c r="A200" i="4"/>
  <c r="G199" i="4"/>
  <c r="F199" i="4"/>
  <c r="E199" i="4"/>
  <c r="C199" i="4"/>
  <c r="B199" i="4"/>
  <c r="A199" i="4"/>
  <c r="G198" i="4"/>
  <c r="F198" i="4"/>
  <c r="E198" i="4"/>
  <c r="C198" i="4"/>
  <c r="B198" i="4"/>
  <c r="A198" i="4"/>
  <c r="G197" i="4"/>
  <c r="F197" i="4"/>
  <c r="E197" i="4"/>
  <c r="C197" i="4"/>
  <c r="B197" i="4"/>
  <c r="A197" i="4"/>
  <c r="G196" i="4"/>
  <c r="F196" i="4"/>
  <c r="E196" i="4"/>
  <c r="C196" i="4"/>
  <c r="B196" i="4"/>
  <c r="A196" i="4"/>
  <c r="D195" i="4"/>
  <c r="G194" i="4"/>
  <c r="F194" i="4"/>
  <c r="E194" i="4"/>
  <c r="C194" i="4"/>
  <c r="B194" i="4"/>
  <c r="G193" i="4"/>
  <c r="F193" i="4"/>
  <c r="E193" i="4"/>
  <c r="C193" i="4"/>
  <c r="B193" i="4"/>
  <c r="A193" i="4"/>
  <c r="G192" i="4"/>
  <c r="F192" i="4"/>
  <c r="E192" i="4"/>
  <c r="C192" i="4"/>
  <c r="B192" i="4"/>
  <c r="A192" i="4"/>
  <c r="G191" i="4"/>
  <c r="F191" i="4"/>
  <c r="E191" i="4"/>
  <c r="C191" i="4"/>
  <c r="B191" i="4"/>
  <c r="A191" i="4"/>
  <c r="G190" i="4"/>
  <c r="F190" i="4"/>
  <c r="E190" i="4"/>
  <c r="C190" i="4"/>
  <c r="B190" i="4"/>
  <c r="A190" i="4"/>
  <c r="G189" i="4"/>
  <c r="F189" i="4"/>
  <c r="E189" i="4"/>
  <c r="C189" i="4"/>
  <c r="B189" i="4"/>
  <c r="A189" i="4"/>
  <c r="G188" i="4"/>
  <c r="F188" i="4"/>
  <c r="E188" i="4"/>
  <c r="C188" i="4"/>
  <c r="B188" i="4"/>
  <c r="A188" i="4"/>
  <c r="G187" i="4"/>
  <c r="F187" i="4"/>
  <c r="E187" i="4"/>
  <c r="C187" i="4"/>
  <c r="B187" i="4"/>
  <c r="A187" i="4"/>
  <c r="G186" i="4"/>
  <c r="F186" i="4"/>
  <c r="E186" i="4"/>
  <c r="C186" i="4"/>
  <c r="B186" i="4"/>
  <c r="A186" i="4"/>
  <c r="G185" i="4"/>
  <c r="F185" i="4"/>
  <c r="E185" i="4"/>
  <c r="C185" i="4"/>
  <c r="B185" i="4"/>
  <c r="A185" i="4"/>
  <c r="G184" i="4"/>
  <c r="F184" i="4"/>
  <c r="E184" i="4"/>
  <c r="C184" i="4"/>
  <c r="B184" i="4"/>
  <c r="A184" i="4"/>
  <c r="G183" i="4"/>
  <c r="F183" i="4"/>
  <c r="E183" i="4"/>
  <c r="C183" i="4"/>
  <c r="B183" i="4"/>
  <c r="A183" i="4"/>
  <c r="G182" i="4"/>
  <c r="F182" i="4"/>
  <c r="E182" i="4"/>
  <c r="C182" i="4"/>
  <c r="B182" i="4"/>
  <c r="A182" i="4"/>
  <c r="D181" i="4"/>
  <c r="G180" i="4"/>
  <c r="F180" i="4"/>
  <c r="E180" i="4"/>
  <c r="C180" i="4"/>
  <c r="B180" i="4"/>
  <c r="G179" i="4"/>
  <c r="F179" i="4"/>
  <c r="E179" i="4"/>
  <c r="C179" i="4"/>
  <c r="B179" i="4"/>
  <c r="A179" i="4"/>
  <c r="G178" i="4"/>
  <c r="F178" i="4"/>
  <c r="E178" i="4"/>
  <c r="C178" i="4"/>
  <c r="B178" i="4"/>
  <c r="A178" i="4"/>
  <c r="G177" i="4"/>
  <c r="F177" i="4"/>
  <c r="E177" i="4"/>
  <c r="C177" i="4"/>
  <c r="B177" i="4"/>
  <c r="A177" i="4"/>
  <c r="G176" i="4"/>
  <c r="F176" i="4"/>
  <c r="E176" i="4"/>
  <c r="C176" i="4"/>
  <c r="B176" i="4"/>
  <c r="A176" i="4"/>
  <c r="G175" i="4"/>
  <c r="F175" i="4"/>
  <c r="E175" i="4"/>
  <c r="C175" i="4"/>
  <c r="B175" i="4"/>
  <c r="A175" i="4"/>
  <c r="G174" i="4"/>
  <c r="F174" i="4"/>
  <c r="E174" i="4"/>
  <c r="C174" i="4"/>
  <c r="B174" i="4"/>
  <c r="A174" i="4"/>
  <c r="G173" i="4"/>
  <c r="F173" i="4"/>
  <c r="E173" i="4"/>
  <c r="C173" i="4"/>
  <c r="B173" i="4"/>
  <c r="A173" i="4"/>
  <c r="G172" i="4"/>
  <c r="F172" i="4"/>
  <c r="E172" i="4"/>
  <c r="C172" i="4"/>
  <c r="B172" i="4"/>
  <c r="A172" i="4"/>
  <c r="G171" i="4"/>
  <c r="F171" i="4"/>
  <c r="E171" i="4"/>
  <c r="C171" i="4"/>
  <c r="B171" i="4"/>
  <c r="A171" i="4"/>
  <c r="G170" i="4"/>
  <c r="F170" i="4"/>
  <c r="E170" i="4"/>
  <c r="C170" i="4"/>
  <c r="B170" i="4"/>
  <c r="A170" i="4"/>
  <c r="G169" i="4"/>
  <c r="F169" i="4"/>
  <c r="E169" i="4"/>
  <c r="C169" i="4"/>
  <c r="B169" i="4"/>
  <c r="A169" i="4"/>
  <c r="G168" i="4"/>
  <c r="F168" i="4"/>
  <c r="E168" i="4"/>
  <c r="C168" i="4"/>
  <c r="B168" i="4"/>
  <c r="A168" i="4"/>
  <c r="D167" i="4"/>
  <c r="G166" i="4"/>
  <c r="F166" i="4"/>
  <c r="E166" i="4"/>
  <c r="C166" i="4"/>
  <c r="B166" i="4"/>
  <c r="D93" i="5"/>
  <c r="D79" i="5"/>
  <c r="D65" i="5"/>
  <c r="D51" i="5"/>
  <c r="D37" i="5"/>
  <c r="D23" i="5"/>
  <c r="D9" i="5"/>
  <c r="D332" i="6" l="1"/>
  <c r="D331" i="6"/>
  <c r="D330" i="6"/>
  <c r="D329" i="6"/>
  <c r="D328" i="6"/>
  <c r="D327" i="6"/>
  <c r="D326" i="6"/>
  <c r="D325" i="6"/>
  <c r="D324" i="6"/>
  <c r="D323" i="6"/>
  <c r="D319" i="6"/>
  <c r="D318" i="6"/>
  <c r="D317" i="6"/>
  <c r="D316" i="6"/>
  <c r="D315" i="6"/>
  <c r="D314" i="6"/>
  <c r="D313" i="6"/>
  <c r="D312" i="6"/>
  <c r="D311" i="6"/>
  <c r="D310" i="6"/>
  <c r="D307" i="6"/>
  <c r="D305" i="6"/>
  <c r="D304" i="6"/>
  <c r="D303" i="6"/>
  <c r="D302" i="6"/>
  <c r="D301" i="6"/>
  <c r="D300" i="6"/>
  <c r="D299" i="6"/>
  <c r="D298" i="6"/>
  <c r="D297" i="6"/>
  <c r="D296" i="6"/>
  <c r="D293" i="6"/>
  <c r="D291" i="6"/>
  <c r="D290" i="6"/>
  <c r="D289" i="6"/>
  <c r="D288" i="6"/>
  <c r="D287" i="6"/>
  <c r="D286" i="6"/>
  <c r="D285" i="6"/>
  <c r="D284" i="6"/>
  <c r="D283" i="6"/>
  <c r="D282" i="6"/>
  <c r="D278" i="6"/>
  <c r="D276" i="6"/>
  <c r="D275" i="6"/>
  <c r="D274" i="6"/>
  <c r="D273" i="6"/>
  <c r="D272" i="6"/>
  <c r="D271" i="6"/>
  <c r="D270" i="6"/>
  <c r="D269" i="6"/>
  <c r="D266" i="6"/>
  <c r="D264" i="6"/>
  <c r="D263" i="6"/>
  <c r="D262" i="6"/>
  <c r="D261" i="6"/>
  <c r="D260" i="6"/>
  <c r="D257" i="6"/>
  <c r="D255" i="6"/>
  <c r="D253" i="6"/>
  <c r="D250" i="6"/>
  <c r="D242" i="6"/>
  <c r="D240" i="6"/>
  <c r="D238" i="6"/>
  <c r="D233" i="6"/>
  <c r="D232" i="6"/>
  <c r="D231" i="6"/>
  <c r="D230" i="6"/>
  <c r="D229" i="6"/>
  <c r="D228" i="6"/>
  <c r="D227" i="6"/>
  <c r="D226" i="6"/>
  <c r="D225" i="6"/>
  <c r="D224" i="6"/>
  <c r="D220" i="6"/>
  <c r="D219" i="6"/>
  <c r="D218" i="6"/>
  <c r="D217" i="6"/>
  <c r="D216" i="6"/>
  <c r="D215" i="6"/>
  <c r="D214" i="6"/>
  <c r="D213" i="6"/>
  <c r="D212" i="6"/>
  <c r="D211" i="6"/>
  <c r="D210" i="6"/>
  <c r="D206" i="6"/>
  <c r="D205" i="6"/>
  <c r="D204" i="6"/>
  <c r="D203" i="6"/>
  <c r="D202" i="6"/>
  <c r="D201" i="6"/>
  <c r="D200" i="6"/>
  <c r="D199" i="6"/>
  <c r="D198" i="6"/>
  <c r="D197" i="6"/>
  <c r="D196" i="6"/>
  <c r="D190" i="6"/>
  <c r="D188" i="6"/>
  <c r="D186" i="6"/>
  <c r="D184" i="6"/>
  <c r="D182" i="6"/>
  <c r="D178" i="6"/>
  <c r="D177" i="6"/>
  <c r="D176" i="6"/>
  <c r="D175" i="6"/>
  <c r="D174" i="6"/>
  <c r="D173" i="6"/>
  <c r="D172" i="6"/>
  <c r="D171" i="6"/>
  <c r="D170" i="6"/>
  <c r="D169" i="6"/>
  <c r="D168" i="6"/>
  <c r="D164" i="6"/>
  <c r="D163" i="6"/>
  <c r="D162" i="6"/>
  <c r="D161" i="6"/>
  <c r="D160" i="6"/>
  <c r="D159" i="6"/>
  <c r="D158" i="6"/>
  <c r="D157" i="6"/>
  <c r="D156" i="6"/>
  <c r="D155" i="6"/>
  <c r="D154" i="6"/>
  <c r="D152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267" i="6"/>
  <c r="D256" i="6"/>
  <c r="D254" i="6"/>
  <c r="D252" i="6"/>
  <c r="D243" i="6"/>
  <c r="D241" i="6"/>
  <c r="D239" i="6"/>
  <c r="D191" i="6"/>
  <c r="D189" i="6"/>
  <c r="D187" i="6"/>
  <c r="D185" i="6"/>
  <c r="D183" i="6"/>
  <c r="D318" i="5"/>
  <c r="D316" i="5"/>
  <c r="D314" i="5"/>
  <c r="D312" i="5"/>
  <c r="D307" i="5"/>
  <c r="D306" i="5"/>
  <c r="D305" i="5"/>
  <c r="D303" i="5"/>
  <c r="D302" i="5"/>
  <c r="D301" i="5"/>
  <c r="D299" i="5"/>
  <c r="D297" i="5"/>
  <c r="D296" i="5"/>
  <c r="D294" i="5"/>
  <c r="D293" i="5"/>
  <c r="D292" i="5"/>
  <c r="D290" i="5"/>
  <c r="D289" i="5"/>
  <c r="D288" i="5"/>
  <c r="D284" i="5"/>
  <c r="D283" i="5"/>
  <c r="D281" i="5"/>
  <c r="D280" i="5"/>
  <c r="D279" i="5"/>
  <c r="D277" i="5"/>
  <c r="D276" i="5"/>
  <c r="D275" i="5"/>
  <c r="D273" i="5"/>
  <c r="D272" i="5"/>
  <c r="D271" i="5"/>
  <c r="D270" i="5"/>
  <c r="D268" i="5"/>
  <c r="D267" i="5"/>
  <c r="D266" i="5"/>
  <c r="D264" i="5"/>
  <c r="D263" i="5"/>
  <c r="D259" i="5"/>
  <c r="D258" i="5"/>
  <c r="D257" i="5"/>
  <c r="D255" i="5"/>
  <c r="D254" i="5"/>
  <c r="D253" i="5"/>
  <c r="D251" i="5"/>
  <c r="D249" i="5"/>
  <c r="D248" i="5"/>
  <c r="D246" i="5"/>
  <c r="D245" i="5"/>
  <c r="D244" i="5"/>
  <c r="D242" i="5"/>
  <c r="D241" i="5"/>
  <c r="D240" i="5"/>
  <c r="D236" i="5"/>
  <c r="D235" i="5"/>
  <c r="D233" i="5"/>
  <c r="D232" i="5"/>
  <c r="D231" i="5"/>
  <c r="D229" i="5"/>
  <c r="D228" i="5"/>
  <c r="D227" i="5"/>
  <c r="D225" i="5"/>
  <c r="D224" i="5"/>
  <c r="D223" i="5"/>
  <c r="D222" i="5"/>
  <c r="D220" i="5"/>
  <c r="D219" i="5"/>
  <c r="D218" i="5"/>
  <c r="D216" i="5"/>
  <c r="D215" i="5"/>
  <c r="D175" i="5"/>
  <c r="D174" i="5"/>
  <c r="D173" i="5"/>
  <c r="D171" i="5"/>
  <c r="D170" i="5"/>
  <c r="D169" i="5"/>
  <c r="D167" i="5"/>
  <c r="D166" i="5"/>
  <c r="D165" i="5"/>
  <c r="D160" i="5"/>
  <c r="D158" i="5"/>
  <c r="D156" i="5"/>
  <c r="D154" i="5"/>
  <c r="D152" i="5"/>
  <c r="D146" i="5"/>
  <c r="D145" i="5"/>
  <c r="D143" i="5"/>
  <c r="D142" i="5"/>
  <c r="D140" i="5"/>
  <c r="D139" i="5"/>
  <c r="D138" i="5"/>
  <c r="D136" i="5"/>
  <c r="D133" i="5"/>
  <c r="D131" i="5"/>
  <c r="D129" i="5"/>
  <c r="D125" i="5"/>
  <c r="D119" i="5"/>
  <c r="D118" i="5"/>
  <c r="D117" i="5"/>
  <c r="D115" i="5"/>
  <c r="D114" i="5"/>
  <c r="D113" i="5"/>
  <c r="D111" i="5"/>
  <c r="D110" i="5"/>
  <c r="D109" i="5"/>
  <c r="D104" i="5"/>
  <c r="D100" i="5"/>
  <c r="D96" i="5"/>
  <c r="D94" i="5"/>
  <c r="D91" i="5"/>
  <c r="D90" i="5"/>
  <c r="D88" i="5"/>
  <c r="D87" i="5"/>
  <c r="D86" i="5"/>
  <c r="D84" i="5"/>
  <c r="D83" i="5"/>
  <c r="D81" i="5"/>
  <c r="D80" i="5"/>
  <c r="D78" i="5"/>
  <c r="D77" i="5"/>
  <c r="D75" i="5"/>
  <c r="D73" i="5"/>
  <c r="D69" i="5"/>
  <c r="D64" i="5"/>
  <c r="D63" i="5"/>
  <c r="D62" i="5"/>
  <c r="D61" i="5"/>
  <c r="D59" i="5"/>
  <c r="D58" i="5"/>
  <c r="D57" i="5"/>
  <c r="D55" i="5"/>
  <c r="D54" i="5"/>
  <c r="D53" i="5"/>
  <c r="D50" i="5"/>
  <c r="D48" i="5"/>
  <c r="D44" i="5"/>
  <c r="D40" i="5"/>
  <c r="D38" i="5"/>
  <c r="D34" i="5"/>
  <c r="D33" i="5"/>
  <c r="D32" i="5"/>
  <c r="D30" i="5"/>
  <c r="D29" i="5"/>
  <c r="D28" i="5"/>
  <c r="D26" i="5"/>
  <c r="D24" i="5"/>
  <c r="D21" i="5"/>
  <c r="D19" i="5"/>
  <c r="D17" i="5"/>
  <c r="D13" i="5"/>
  <c r="D347" i="4"/>
  <c r="D346" i="4"/>
  <c r="D345" i="4"/>
  <c r="D344" i="4"/>
  <c r="D343" i="4"/>
  <c r="D342" i="4"/>
  <c r="D341" i="4"/>
  <c r="D340" i="4"/>
  <c r="D339" i="4"/>
  <c r="D338" i="4"/>
  <c r="D337" i="4"/>
  <c r="D336" i="4"/>
  <c r="D332" i="4"/>
  <c r="D330" i="4"/>
  <c r="D329" i="4"/>
  <c r="D327" i="4"/>
  <c r="D326" i="4"/>
  <c r="D325" i="4"/>
  <c r="D324" i="4"/>
  <c r="D323" i="4"/>
  <c r="D322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5" i="4"/>
  <c r="D303" i="4"/>
  <c r="D300" i="4"/>
  <c r="D298" i="4"/>
  <c r="D297" i="4"/>
  <c r="D295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6" i="4"/>
  <c r="D274" i="4"/>
  <c r="D273" i="4"/>
  <c r="D271" i="4"/>
  <c r="D270" i="4"/>
  <c r="D269" i="4"/>
  <c r="D268" i="4"/>
  <c r="D267" i="4"/>
  <c r="D266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49" i="4"/>
  <c r="D248" i="4"/>
  <c r="D247" i="4"/>
  <c r="D246" i="4"/>
  <c r="D245" i="4"/>
  <c r="D243" i="4"/>
  <c r="D242" i="4"/>
  <c r="D241" i="4"/>
  <c r="D240" i="4"/>
  <c r="D239" i="4"/>
  <c r="D238" i="4"/>
  <c r="D235" i="4"/>
  <c r="D234" i="4"/>
  <c r="D233" i="4"/>
  <c r="D232" i="4"/>
  <c r="D231" i="4"/>
  <c r="D230" i="4"/>
  <c r="D229" i="4"/>
  <c r="D227" i="4"/>
  <c r="D226" i="4"/>
  <c r="D225" i="4"/>
  <c r="D224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8" i="4"/>
  <c r="D207" i="4"/>
  <c r="D206" i="4"/>
  <c r="D204" i="4"/>
  <c r="D203" i="4"/>
  <c r="D202" i="4"/>
  <c r="D201" i="4"/>
  <c r="D200" i="4"/>
  <c r="D199" i="4"/>
  <c r="D198" i="4"/>
  <c r="D197" i="4"/>
  <c r="D196" i="4"/>
  <c r="D194" i="4"/>
  <c r="D193" i="4"/>
  <c r="D192" i="4"/>
  <c r="D191" i="4"/>
  <c r="D189" i="4"/>
  <c r="D188" i="4"/>
  <c r="D187" i="4"/>
  <c r="D186" i="4"/>
  <c r="D185" i="4"/>
  <c r="D184" i="4"/>
  <c r="D183" i="4"/>
  <c r="D182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6" i="4"/>
  <c r="D17" i="4"/>
  <c r="D16" i="4"/>
  <c r="D15" i="4"/>
  <c r="D14" i="4"/>
  <c r="D13" i="4"/>
  <c r="D12" i="4"/>
  <c r="D11" i="4"/>
  <c r="D10" i="4"/>
  <c r="D9" i="4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19" i="5"/>
  <c r="D317" i="5"/>
  <c r="D315" i="5"/>
  <c r="D313" i="5"/>
  <c r="D311" i="5"/>
  <c r="D310" i="5"/>
  <c r="D309" i="5"/>
  <c r="D308" i="5"/>
  <c r="D304" i="5"/>
  <c r="D300" i="5"/>
  <c r="D298" i="5"/>
  <c r="D295" i="5"/>
  <c r="D291" i="5"/>
  <c r="D287" i="5"/>
  <c r="D286" i="5"/>
  <c r="D285" i="5"/>
  <c r="D282" i="5"/>
  <c r="D278" i="5"/>
  <c r="D274" i="5"/>
  <c r="D269" i="5"/>
  <c r="D265" i="5"/>
  <c r="D262" i="5"/>
  <c r="D261" i="5"/>
  <c r="D260" i="5"/>
  <c r="D256" i="5"/>
  <c r="D252" i="5"/>
  <c r="D250" i="5"/>
  <c r="D247" i="5"/>
  <c r="D243" i="5"/>
  <c r="D239" i="5"/>
  <c r="D238" i="5"/>
  <c r="D237" i="5"/>
  <c r="D234" i="5"/>
  <c r="D230" i="5"/>
  <c r="D226" i="5"/>
  <c r="D221" i="5"/>
  <c r="D217" i="5"/>
  <c r="D214" i="5"/>
  <c r="D178" i="5"/>
  <c r="D172" i="5"/>
  <c r="D168" i="5"/>
  <c r="D164" i="5"/>
  <c r="D161" i="5"/>
  <c r="D159" i="5"/>
  <c r="D157" i="5"/>
  <c r="D155" i="5"/>
  <c r="D153" i="5"/>
  <c r="D151" i="5"/>
  <c r="D150" i="5"/>
  <c r="D147" i="5"/>
  <c r="D144" i="5"/>
  <c r="D141" i="5"/>
  <c r="D137" i="5"/>
  <c r="D132" i="5"/>
  <c r="D130" i="5"/>
  <c r="D128" i="5"/>
  <c r="D127" i="5"/>
  <c r="D126" i="5"/>
  <c r="D124" i="5"/>
  <c r="D123" i="5"/>
  <c r="D122" i="5"/>
  <c r="D116" i="5"/>
  <c r="D112" i="5"/>
  <c r="D108" i="5"/>
  <c r="D105" i="5"/>
  <c r="D103" i="5"/>
  <c r="D102" i="5"/>
  <c r="D101" i="5"/>
  <c r="D99" i="5"/>
  <c r="D98" i="5"/>
  <c r="D97" i="5"/>
  <c r="D95" i="5"/>
  <c r="D92" i="5"/>
  <c r="D89" i="5"/>
  <c r="D85" i="5"/>
  <c r="D82" i="5"/>
  <c r="D76" i="5"/>
  <c r="D74" i="5"/>
  <c r="D72" i="5"/>
  <c r="D71" i="5"/>
  <c r="D70" i="5"/>
  <c r="D68" i="5"/>
  <c r="D67" i="5"/>
  <c r="D66" i="5"/>
  <c r="D60" i="5"/>
  <c r="D56" i="5"/>
  <c r="D52" i="5"/>
  <c r="D49" i="5"/>
  <c r="D47" i="5"/>
  <c r="D46" i="5"/>
  <c r="D45" i="5"/>
  <c r="D43" i="5"/>
  <c r="D42" i="5"/>
  <c r="D41" i="5"/>
  <c r="D39" i="5"/>
  <c r="D36" i="5"/>
  <c r="D35" i="5"/>
  <c r="D31" i="5"/>
  <c r="D27" i="5"/>
  <c r="D25" i="5"/>
  <c r="D22" i="5"/>
  <c r="D20" i="5"/>
  <c r="D18" i="5"/>
  <c r="D16" i="5"/>
  <c r="D15" i="5"/>
  <c r="D14" i="5"/>
  <c r="D12" i="5"/>
  <c r="D11" i="5"/>
  <c r="D10" i="5"/>
  <c r="D205" i="4"/>
  <c r="D250" i="4"/>
  <c r="D277" i="4"/>
  <c r="D301" i="4"/>
  <c r="D333" i="4"/>
  <c r="D190" i="4"/>
  <c r="D228" i="4"/>
  <c r="D236" i="4"/>
  <c r="D244" i="4"/>
  <c r="D272" i="4"/>
  <c r="D275" i="4"/>
  <c r="D294" i="4"/>
  <c r="D296" i="4"/>
  <c r="D299" i="4"/>
  <c r="D302" i="4"/>
  <c r="D304" i="4"/>
  <c r="D328" i="4"/>
  <c r="D331" i="4"/>
  <c r="D173" i="2"/>
  <c r="D174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175" i="2"/>
  <c r="D177" i="2"/>
  <c r="D178" i="2"/>
  <c r="D179" i="2"/>
  <c r="D180" i="2"/>
  <c r="D181" i="2"/>
  <c r="D182" i="2"/>
  <c r="D183" i="2"/>
  <c r="D184" i="2"/>
  <c r="D185" i="2"/>
  <c r="D186" i="2"/>
  <c r="D187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9" i="2"/>
  <c r="D220" i="2"/>
  <c r="D221" i="2"/>
  <c r="D222" i="2"/>
  <c r="D223" i="2"/>
  <c r="D224" i="2"/>
  <c r="D225" i="2"/>
  <c r="D226" i="2"/>
  <c r="D227" i="2"/>
  <c r="D228" i="2"/>
  <c r="D229" i="2"/>
  <c r="D233" i="2"/>
  <c r="D234" i="2"/>
  <c r="D235" i="2"/>
  <c r="D236" i="2"/>
  <c r="D237" i="2"/>
  <c r="D238" i="2"/>
  <c r="D239" i="2"/>
  <c r="D240" i="2"/>
  <c r="D241" i="2"/>
  <c r="D242" i="2"/>
  <c r="D243" i="2"/>
  <c r="D247" i="2"/>
  <c r="D248" i="2"/>
  <c r="D249" i="2"/>
  <c r="D250" i="2"/>
  <c r="D251" i="2"/>
  <c r="D252" i="2"/>
  <c r="D253" i="2"/>
  <c r="D254" i="2"/>
  <c r="D255" i="2"/>
  <c r="D256" i="2"/>
  <c r="D261" i="2"/>
  <c r="D262" i="2"/>
  <c r="D263" i="2"/>
  <c r="D264" i="2"/>
  <c r="D265" i="2"/>
  <c r="D266" i="2"/>
  <c r="D267" i="2"/>
  <c r="D269" i="2"/>
  <c r="D270" i="2"/>
  <c r="D271" i="2"/>
  <c r="D272" i="2"/>
  <c r="D275" i="2"/>
  <c r="D276" i="2"/>
  <c r="D277" i="2"/>
  <c r="D278" i="2"/>
  <c r="D279" i="2"/>
  <c r="D287" i="2"/>
  <c r="D289" i="2"/>
  <c r="D303" i="2"/>
  <c r="D317" i="2"/>
  <c r="D318" i="2"/>
  <c r="D321" i="2"/>
  <c r="D322" i="2"/>
  <c r="D323" i="2"/>
  <c r="D324" i="2"/>
  <c r="D325" i="2"/>
  <c r="D326" i="2"/>
  <c r="D327" i="2"/>
  <c r="D328" i="2"/>
  <c r="D329" i="2"/>
  <c r="D331" i="2"/>
  <c r="D332" i="2"/>
  <c r="D335" i="2"/>
  <c r="D336" i="2"/>
  <c r="D337" i="2"/>
  <c r="D338" i="2"/>
  <c r="D339" i="2"/>
  <c r="D340" i="2"/>
  <c r="D341" i="2"/>
  <c r="D342" i="2"/>
  <c r="D343" i="2"/>
  <c r="D348" i="2"/>
  <c r="D349" i="2"/>
  <c r="D350" i="2"/>
  <c r="D351" i="2"/>
  <c r="D352" i="2"/>
  <c r="D353" i="2"/>
  <c r="D354" i="2"/>
  <c r="D355" i="2"/>
  <c r="D356" i="2"/>
  <c r="D357" i="2"/>
  <c r="D359" i="2"/>
  <c r="D10" i="2"/>
  <c r="D11" i="2"/>
  <c r="D12" i="2"/>
  <c r="D13" i="2"/>
  <c r="D14" i="2"/>
  <c r="D15" i="2"/>
  <c r="D16" i="2"/>
  <c r="D17" i="2"/>
  <c r="D18" i="2"/>
  <c r="D19" i="2"/>
  <c r="D21" i="2"/>
  <c r="D22" i="2"/>
  <c r="D23" i="2"/>
  <c r="D24" i="2"/>
  <c r="D25" i="2"/>
  <c r="D26" i="2"/>
  <c r="D27" i="2"/>
  <c r="D28" i="2"/>
  <c r="D29" i="2"/>
  <c r="D30" i="2"/>
  <c r="D31" i="2"/>
  <c r="D33" i="2"/>
  <c r="D34" i="2"/>
  <c r="D35" i="2"/>
  <c r="D36" i="2"/>
  <c r="D37" i="2"/>
  <c r="D38" i="2"/>
  <c r="D39" i="2"/>
  <c r="D40" i="2"/>
  <c r="D41" i="2"/>
  <c r="D42" i="2"/>
  <c r="D43" i="2"/>
  <c r="D45" i="2"/>
  <c r="D46" i="2"/>
  <c r="D47" i="2"/>
  <c r="D48" i="2"/>
  <c r="D49" i="2"/>
  <c r="D50" i="2"/>
  <c r="D51" i="2"/>
  <c r="D52" i="2"/>
  <c r="D53" i="2"/>
  <c r="D54" i="2"/>
  <c r="D55" i="2"/>
  <c r="D57" i="2"/>
  <c r="D58" i="2"/>
  <c r="D59" i="2"/>
  <c r="D60" i="2"/>
  <c r="D61" i="2"/>
  <c r="D62" i="2"/>
  <c r="D63" i="2"/>
  <c r="D64" i="2"/>
  <c r="D65" i="2"/>
  <c r="D66" i="2"/>
  <c r="D67" i="2"/>
  <c r="D69" i="2"/>
  <c r="D70" i="2"/>
  <c r="D71" i="2"/>
  <c r="D72" i="2"/>
  <c r="D73" i="2"/>
  <c r="D74" i="2"/>
  <c r="D75" i="2"/>
  <c r="D76" i="2"/>
  <c r="D77" i="2"/>
  <c r="D78" i="2"/>
  <c r="D79" i="2"/>
  <c r="D81" i="2"/>
  <c r="D82" i="2"/>
  <c r="D83" i="2"/>
  <c r="D84" i="2"/>
  <c r="D85" i="2"/>
  <c r="D86" i="2"/>
  <c r="D87" i="2"/>
  <c r="D88" i="2"/>
  <c r="D89" i="2"/>
</calcChain>
</file>

<file path=xl/sharedStrings.xml><?xml version="1.0" encoding="utf-8"?>
<sst xmlns="http://schemas.openxmlformats.org/spreadsheetml/2006/main" count="228" uniqueCount="4">
  <si>
    <t>*</t>
  </si>
  <si>
    <t>***</t>
  </si>
  <si>
    <t>#</t>
  </si>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</sst>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yy;@"/>
  </numFmts>
  <fonts count="3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2" borderId="0" xfId="0" applyFill="1"/>
    <xf numFmtId="165" fontId="0" fillId="2" borderId="0" xfId="0" applyNumberFormat="1" applyFill="1"/>
    <xf numFmtId="14" fontId="0" fillId="2" borderId="0" xfId="0" applyNumberFormat="1" applyFill="1"/>
    <xf numFmtId="0" fontId="0" fillId="0" borderId="0" xfId="0" applyAlignment="1">
      <alignment horizontal="center"/>
    </xf>
    <xf numFmtId="16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165" fontId="0" fillId="0" borderId="0" xfId="0" applyNumberFormat="1" applyFill="1"/>
    <xf numFmtId="0" fontId="0" fillId="3" borderId="0" xfId="0" applyFill="1"/>
    <xf numFmtId="0" fontId="0" fillId="2" borderId="0" xfId="0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14" fontId="0" fillId="3" borderId="0" xfId="0" applyNumberFormat="1" applyFill="1"/>
    <xf numFmtId="0" fontId="0" fillId="0" borderId="0" xfId="0" applyFill="1" applyAlignment="1">
      <alignment horizontal="right"/>
    </xf>
    <xf numFmtId="49" fontId="0" fillId="0" borderId="0" xfId="0" applyNumberFormat="1"/>
    <xf numFmtId="49" fontId="0" fillId="2" borderId="0" xfId="0" applyNumberFormat="1" applyFill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right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/>
    <xf numFmtId="0" fontId="2" fillId="0" borderId="0" xfId="0" applyFont="1" applyBorder="1" applyAlignment="1">
      <alignment horizontal="right"/>
    </xf>
    <xf numFmtId="165" fontId="2" fillId="0" borderId="0" xfId="0" applyNumberFormat="1" applyFont="1"/>
    <xf numFmtId="164" fontId="2" fillId="0" borderId="0" xfId="0" applyNumberFormat="1" applyFont="1"/>
    <xf numFmtId="0" fontId="1" fillId="0" borderId="0" xfId="0" applyFont="1" applyFill="1"/>
    <xf numFmtId="164" fontId="0" fillId="0" borderId="0" xfId="0" applyNumberFormat="1" applyFill="1"/>
    <xf numFmtId="0" fontId="2" fillId="0" borderId="0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14" fontId="0" fillId="0" borderId="0" xfId="0" applyNumberFormat="1" applyFill="1" applyAlignment="1">
      <alignment horizontal="right"/>
    </xf>
    <xf numFmtId="49" fontId="0" fillId="0" borderId="0" xfId="0" applyNumberFormat="1" applyFill="1"/>
    <xf numFmtId="49" fontId="2" fillId="0" borderId="0" xfId="0" applyNumberFormat="1" applyFont="1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rurecords/awpc-bp_rus_ra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wrrecords/awpc_bp_wr-ra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wrrecords/awpc-bp-wr-%20e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eurecords/awpc-euro-bp-ra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eurecords/awpc-euro-b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eurecords/awpc-euro-bp_s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rurecords/awpc-bp_ru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ource/awpcrurecords/awpc-bp_rus_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-Wom"/>
      <sheetName val="BP-Men"/>
    </sheetNames>
    <sheetDataSet>
      <sheetData sheetId="0">
        <row r="1">
          <cell r="B1" t="str">
            <v>Рекорды  AWPC BP Raw - Россия</v>
          </cell>
          <cell r="C1"/>
          <cell r="D1"/>
          <cell r="E1"/>
          <cell r="F1"/>
        </row>
        <row r="2">
          <cell r="B2" t="str">
            <v>ДЕВУШКИ  (13 - 15)</v>
          </cell>
        </row>
        <row r="3">
          <cell r="A3">
            <v>44</v>
          </cell>
          <cell r="B3">
            <v>62.5</v>
          </cell>
          <cell r="C3" t="str">
            <v>Длужневская Владислава/2000</v>
          </cell>
          <cell r="D3" t="str">
            <v>Вологда</v>
          </cell>
          <cell r="E3" t="str">
            <v>24.03.2012</v>
          </cell>
          <cell r="F3" t="str">
            <v>Вологда</v>
          </cell>
        </row>
        <row r="4">
          <cell r="A4">
            <v>48</v>
          </cell>
          <cell r="B4">
            <v>72.5</v>
          </cell>
          <cell r="C4" t="str">
            <v>Длужневская Владислава/2000</v>
          </cell>
          <cell r="D4" t="str">
            <v>Вологда</v>
          </cell>
          <cell r="E4">
            <v>41342</v>
          </cell>
          <cell r="F4" t="str">
            <v>Вологда</v>
          </cell>
        </row>
        <row r="5">
          <cell r="A5">
            <v>52</v>
          </cell>
          <cell r="B5">
            <v>45</v>
          </cell>
          <cell r="C5" t="str">
            <v>Бенер Екатерина/97</v>
          </cell>
          <cell r="D5" t="str">
            <v>Тюмень</v>
          </cell>
          <cell r="E5">
            <v>40983</v>
          </cell>
          <cell r="F5" t="str">
            <v>Ростов</v>
          </cell>
        </row>
        <row r="6">
          <cell r="A6">
            <v>56</v>
          </cell>
          <cell r="B6">
            <v>60</v>
          </cell>
          <cell r="C6" t="str">
            <v>Максимова Анастасия/94</v>
          </cell>
          <cell r="D6" t="str">
            <v>Санкт-Петербург</v>
          </cell>
          <cell r="E6">
            <v>40257</v>
          </cell>
          <cell r="F6" t="str">
            <v>Курск</v>
          </cell>
        </row>
        <row r="7">
          <cell r="A7">
            <v>60</v>
          </cell>
          <cell r="B7">
            <v>60</v>
          </cell>
          <cell r="C7" t="str">
            <v>Шинкарева Елизавета/98</v>
          </cell>
          <cell r="D7" t="str">
            <v>Междуреченск</v>
          </cell>
          <cell r="E7">
            <v>41503</v>
          </cell>
          <cell r="F7" t="str">
            <v>Новосибирск</v>
          </cell>
        </row>
        <row r="8">
          <cell r="A8">
            <v>67.5</v>
          </cell>
          <cell r="B8">
            <v>60</v>
          </cell>
          <cell r="C8" t="str">
            <v>Шинкарева Елизавета/98</v>
          </cell>
          <cell r="D8" t="str">
            <v>Междуреченск</v>
          </cell>
          <cell r="E8">
            <v>41368</v>
          </cell>
          <cell r="F8" t="str">
            <v>Краснодар</v>
          </cell>
        </row>
        <row r="9">
          <cell r="A9">
            <v>75</v>
          </cell>
          <cell r="B9"/>
          <cell r="C9"/>
          <cell r="D9"/>
          <cell r="E9"/>
          <cell r="F9"/>
        </row>
        <row r="10">
          <cell r="A10">
            <v>82.5</v>
          </cell>
          <cell r="B10">
            <v>35</v>
          </cell>
          <cell r="C10" t="str">
            <v>Адияк Екатерина/97</v>
          </cell>
          <cell r="D10"/>
          <cell r="E10">
            <v>40814</v>
          </cell>
          <cell r="F10" t="str">
            <v>Екатеринбург</v>
          </cell>
        </row>
        <row r="11">
          <cell r="A11">
            <v>90</v>
          </cell>
          <cell r="B11"/>
          <cell r="C11"/>
          <cell r="D11"/>
          <cell r="E11"/>
          <cell r="F11"/>
        </row>
        <row r="12">
          <cell r="A12" t="str">
            <v>90+</v>
          </cell>
          <cell r="B12">
            <v>42.5</v>
          </cell>
          <cell r="C12" t="str">
            <v>Антух Екатерина/2000</v>
          </cell>
          <cell r="D12" t="str">
            <v>Томск</v>
          </cell>
          <cell r="E12" t="str">
            <v>03.07.2014</v>
          </cell>
          <cell r="F12" t="str">
            <v>Новосибирск</v>
          </cell>
        </row>
        <row r="13">
          <cell r="B13"/>
          <cell r="C13"/>
          <cell r="D13"/>
          <cell r="E13"/>
          <cell r="F13"/>
        </row>
        <row r="14">
          <cell r="B14" t="str">
            <v>ДЕВУШКИ  (16 - 17)</v>
          </cell>
        </row>
        <row r="15">
          <cell r="A15">
            <v>44</v>
          </cell>
          <cell r="B15"/>
          <cell r="C15"/>
          <cell r="D15"/>
          <cell r="E15"/>
          <cell r="F15"/>
        </row>
        <row r="16">
          <cell r="A16">
            <v>48</v>
          </cell>
          <cell r="B16">
            <v>52.5</v>
          </cell>
          <cell r="C16" t="str">
            <v>Фатюхина Светлана/94</v>
          </cell>
          <cell r="D16" t="str">
            <v>Москва</v>
          </cell>
          <cell r="E16">
            <v>40769</v>
          </cell>
          <cell r="F16" t="str">
            <v>Курск</v>
          </cell>
        </row>
        <row r="17">
          <cell r="A17">
            <v>52</v>
          </cell>
          <cell r="B17">
            <v>57.5</v>
          </cell>
          <cell r="C17" t="str">
            <v>Исакова Ольга/94</v>
          </cell>
          <cell r="D17" t="str">
            <v>Екатеринбург</v>
          </cell>
          <cell r="E17">
            <v>40409</v>
          </cell>
          <cell r="F17" t="str">
            <v>Москва</v>
          </cell>
        </row>
        <row r="18">
          <cell r="A18">
            <v>56</v>
          </cell>
          <cell r="B18">
            <v>52.5</v>
          </cell>
          <cell r="C18" t="str">
            <v>Скопина Алиса/90</v>
          </cell>
          <cell r="D18" t="str">
            <v>Киров</v>
          </cell>
          <cell r="E18">
            <v>39528</v>
          </cell>
          <cell r="F18" t="str">
            <v>Ростов</v>
          </cell>
        </row>
        <row r="19">
          <cell r="A19">
            <v>60</v>
          </cell>
          <cell r="B19">
            <v>67.5</v>
          </cell>
          <cell r="C19" t="str">
            <v>Шинкарева Елизавета/98</v>
          </cell>
          <cell r="D19" t="str">
            <v>Междуреченск</v>
          </cell>
          <cell r="E19" t="str">
            <v>03.07.2014</v>
          </cell>
          <cell r="F19" t="str">
            <v>Новосибирск</v>
          </cell>
        </row>
        <row r="20">
          <cell r="A20">
            <v>67.5</v>
          </cell>
          <cell r="B20">
            <v>50</v>
          </cell>
          <cell r="C20" t="str">
            <v>Терясова Ольга/96</v>
          </cell>
          <cell r="D20" t="str">
            <v>Ессентуки</v>
          </cell>
          <cell r="E20" t="str">
            <v>19.04.2014</v>
          </cell>
          <cell r="F20" t="str">
            <v>Краснодар</v>
          </cell>
        </row>
        <row r="21">
          <cell r="A21">
            <v>75</v>
          </cell>
          <cell r="B21"/>
          <cell r="C21"/>
          <cell r="D21"/>
          <cell r="E21"/>
          <cell r="F21"/>
        </row>
        <row r="22">
          <cell r="A22">
            <v>82.5</v>
          </cell>
          <cell r="B22">
            <v>52.5</v>
          </cell>
          <cell r="C22" t="str">
            <v>Симонова Алена/96</v>
          </cell>
          <cell r="D22" t="str">
            <v>Новосибирск</v>
          </cell>
          <cell r="E22">
            <v>41503</v>
          </cell>
          <cell r="F22" t="str">
            <v>Новосибирск</v>
          </cell>
        </row>
        <row r="23">
          <cell r="A23">
            <v>90</v>
          </cell>
          <cell r="B23"/>
          <cell r="C23"/>
          <cell r="D23"/>
          <cell r="E23"/>
          <cell r="F23"/>
        </row>
        <row r="24">
          <cell r="A24" t="str">
            <v>90+</v>
          </cell>
          <cell r="B24"/>
          <cell r="C24"/>
          <cell r="D24"/>
          <cell r="E24"/>
          <cell r="F24"/>
        </row>
        <row r="25">
          <cell r="B25"/>
          <cell r="C25"/>
          <cell r="D25"/>
          <cell r="E25"/>
          <cell r="F25"/>
        </row>
        <row r="26">
          <cell r="B26" t="str">
            <v>ДЕВУШКИ  (18 - 19)</v>
          </cell>
        </row>
        <row r="27">
          <cell r="A27">
            <v>44</v>
          </cell>
          <cell r="B27">
            <v>50</v>
          </cell>
          <cell r="C27" t="str">
            <v>Стратова Марина/90</v>
          </cell>
          <cell r="D27" t="str">
            <v>Южноуральск</v>
          </cell>
          <cell r="E27">
            <v>40088</v>
          </cell>
          <cell r="F27" t="str">
            <v>Ростов</v>
          </cell>
        </row>
        <row r="28">
          <cell r="A28">
            <v>48</v>
          </cell>
          <cell r="B28">
            <v>50</v>
          </cell>
          <cell r="C28" t="str">
            <v>Лапшова Мария/91</v>
          </cell>
          <cell r="D28" t="str">
            <v>Москва</v>
          </cell>
          <cell r="E28">
            <v>40522</v>
          </cell>
          <cell r="F28" t="str">
            <v>Курск</v>
          </cell>
        </row>
        <row r="29">
          <cell r="A29">
            <v>52</v>
          </cell>
          <cell r="B29">
            <v>85</v>
          </cell>
          <cell r="C29" t="str">
            <v>Кумуц Светлана/95</v>
          </cell>
          <cell r="D29" t="str">
            <v>Сатка</v>
          </cell>
          <cell r="E29">
            <v>41608</v>
          </cell>
          <cell r="F29" t="str">
            <v>Екатеринбург</v>
          </cell>
        </row>
        <row r="30">
          <cell r="A30">
            <v>56</v>
          </cell>
          <cell r="B30">
            <v>57.5</v>
          </cell>
          <cell r="C30" t="str">
            <v>Борисова Юлия/89</v>
          </cell>
          <cell r="D30"/>
          <cell r="E30">
            <v>39431</v>
          </cell>
          <cell r="F30" t="str">
            <v>Пушкино</v>
          </cell>
        </row>
        <row r="31">
          <cell r="A31">
            <v>60</v>
          </cell>
          <cell r="B31">
            <v>62.5</v>
          </cell>
          <cell r="C31" t="str">
            <v>Храмцова Анастасия/96</v>
          </cell>
          <cell r="D31" t="str">
            <v>Екатеринбург</v>
          </cell>
          <cell r="E31" t="str">
            <v>09.08.2014</v>
          </cell>
          <cell r="F31" t="str">
            <v>Екатеринбург</v>
          </cell>
        </row>
        <row r="32">
          <cell r="A32">
            <v>67.5</v>
          </cell>
          <cell r="B32">
            <v>67.5</v>
          </cell>
          <cell r="C32" t="str">
            <v>Ковылина Светлана/91</v>
          </cell>
          <cell r="D32" t="str">
            <v>Москва</v>
          </cell>
          <cell r="E32">
            <v>40409</v>
          </cell>
          <cell r="F32" t="str">
            <v>Москва</v>
          </cell>
        </row>
        <row r="33">
          <cell r="A33">
            <v>75</v>
          </cell>
          <cell r="B33">
            <v>85</v>
          </cell>
          <cell r="C33" t="str">
            <v>Коврига Анастасия/93</v>
          </cell>
          <cell r="D33" t="str">
            <v>Москва</v>
          </cell>
          <cell r="E33">
            <v>41201</v>
          </cell>
          <cell r="F33" t="str">
            <v>Краснодар</v>
          </cell>
        </row>
        <row r="34">
          <cell r="A34">
            <v>82.5</v>
          </cell>
          <cell r="B34">
            <v>85</v>
          </cell>
          <cell r="C34" t="str">
            <v>Зимина Каролина/94</v>
          </cell>
          <cell r="D34" t="str">
            <v>Буй</v>
          </cell>
          <cell r="E34">
            <v>41342</v>
          </cell>
          <cell r="F34" t="str">
            <v>Вологда</v>
          </cell>
        </row>
        <row r="35">
          <cell r="A35">
            <v>90</v>
          </cell>
          <cell r="B35"/>
          <cell r="C35"/>
          <cell r="D35"/>
          <cell r="E35"/>
          <cell r="F35"/>
        </row>
        <row r="36">
          <cell r="A36" t="str">
            <v>90+</v>
          </cell>
          <cell r="B36">
            <v>55</v>
          </cell>
          <cell r="C36" t="str">
            <v>Вольхина Полина/91</v>
          </cell>
          <cell r="D36" t="str">
            <v>Екатеринбург</v>
          </cell>
          <cell r="E36">
            <v>40640</v>
          </cell>
          <cell r="F36" t="str">
            <v>Челябинск</v>
          </cell>
        </row>
        <row r="37">
          <cell r="B37"/>
          <cell r="C37"/>
          <cell r="D37"/>
          <cell r="E37"/>
          <cell r="F37"/>
        </row>
        <row r="38">
          <cell r="B38" t="str">
            <v>ЮНИОРКИ  (20 - 23)</v>
          </cell>
        </row>
        <row r="39">
          <cell r="A39">
            <v>44</v>
          </cell>
          <cell r="B39">
            <v>52.5</v>
          </cell>
          <cell r="C39" t="str">
            <v>Образумова Екатерина/87</v>
          </cell>
          <cell r="D39" t="str">
            <v>Нижний Новгород</v>
          </cell>
          <cell r="E39">
            <v>40409</v>
          </cell>
          <cell r="F39" t="str">
            <v>Москва</v>
          </cell>
        </row>
        <row r="40">
          <cell r="A40">
            <v>48</v>
          </cell>
          <cell r="B40">
            <v>65</v>
          </cell>
          <cell r="C40" t="str">
            <v>Наренкова Евгения/85</v>
          </cell>
          <cell r="D40" t="str">
            <v>Ноябрьск</v>
          </cell>
          <cell r="E40">
            <v>39871</v>
          </cell>
          <cell r="F40" t="str">
            <v>Челябинск</v>
          </cell>
        </row>
        <row r="41">
          <cell r="A41">
            <v>52</v>
          </cell>
          <cell r="B41">
            <v>72.5</v>
          </cell>
          <cell r="C41" t="str">
            <v>Мымрина Анастасия/90</v>
          </cell>
          <cell r="D41" t="str">
            <v>Саратов</v>
          </cell>
          <cell r="E41">
            <v>40814</v>
          </cell>
          <cell r="F41" t="str">
            <v>Екатеринбург</v>
          </cell>
        </row>
        <row r="42">
          <cell r="A42">
            <v>56</v>
          </cell>
          <cell r="B42">
            <v>75</v>
          </cell>
          <cell r="C42" t="str">
            <v>Тельгова Ольга/86</v>
          </cell>
          <cell r="D42"/>
          <cell r="E42">
            <v>40034</v>
          </cell>
          <cell r="F42" t="str">
            <v>Курск</v>
          </cell>
        </row>
        <row r="43">
          <cell r="A43">
            <v>60</v>
          </cell>
          <cell r="B43">
            <v>67.5</v>
          </cell>
          <cell r="C43" t="str">
            <v>Кочеткова Ирина/86</v>
          </cell>
          <cell r="D43" t="str">
            <v>Дзержинск</v>
          </cell>
          <cell r="E43">
            <v>39431</v>
          </cell>
          <cell r="F43" t="str">
            <v>Пушкино</v>
          </cell>
        </row>
        <row r="44">
          <cell r="A44">
            <v>67.5</v>
          </cell>
          <cell r="B44">
            <v>85</v>
          </cell>
          <cell r="C44" t="str">
            <v>Пахомова Елена/86</v>
          </cell>
          <cell r="D44"/>
          <cell r="E44">
            <v>39431</v>
          </cell>
          <cell r="F44" t="str">
            <v>Пушкино</v>
          </cell>
        </row>
        <row r="45">
          <cell r="A45">
            <v>75</v>
          </cell>
          <cell r="B45">
            <v>77.5</v>
          </cell>
          <cell r="C45" t="str">
            <v>Селяева Дарья/88</v>
          </cell>
          <cell r="D45" t="str">
            <v>п.Литвиново</v>
          </cell>
          <cell r="E45">
            <v>40409</v>
          </cell>
          <cell r="F45" t="str">
            <v>Москва</v>
          </cell>
        </row>
        <row r="46">
          <cell r="A46">
            <v>82.5</v>
          </cell>
          <cell r="B46">
            <v>95</v>
          </cell>
          <cell r="C46" t="str">
            <v>Кодзаева Яна/93</v>
          </cell>
          <cell r="D46" t="str">
            <v>Владикавказ</v>
          </cell>
          <cell r="E46" t="str">
            <v>19.07.2014</v>
          </cell>
          <cell r="F46" t="str">
            <v>Краснодар</v>
          </cell>
        </row>
        <row r="47">
          <cell r="A47">
            <v>90</v>
          </cell>
          <cell r="B47"/>
          <cell r="C47"/>
          <cell r="D47"/>
          <cell r="E47"/>
          <cell r="F47"/>
        </row>
        <row r="48">
          <cell r="A48" t="str">
            <v>90+</v>
          </cell>
          <cell r="B48">
            <v>80</v>
          </cell>
          <cell r="C48" t="str">
            <v>Царевская Екатерина/90</v>
          </cell>
          <cell r="D48" t="str">
            <v>Ростов</v>
          </cell>
          <cell r="E48">
            <v>41201</v>
          </cell>
          <cell r="F48" t="str">
            <v>Краснодар</v>
          </cell>
        </row>
        <row r="49">
          <cell r="B49"/>
          <cell r="C49"/>
          <cell r="D49"/>
          <cell r="E49"/>
          <cell r="F49"/>
        </row>
        <row r="50">
          <cell r="B50" t="str">
            <v>ЖЕНЩИНЫ</v>
          </cell>
        </row>
        <row r="51">
          <cell r="A51">
            <v>44</v>
          </cell>
          <cell r="B51">
            <v>77.5</v>
          </cell>
          <cell r="C51" t="str">
            <v>Мурашева Юлия/70</v>
          </cell>
          <cell r="D51" t="str">
            <v>Шатура</v>
          </cell>
          <cell r="E51" t="str">
            <v>22.08.2014</v>
          </cell>
          <cell r="F51" t="str">
            <v>Москва</v>
          </cell>
        </row>
        <row r="52">
          <cell r="A52">
            <v>48</v>
          </cell>
          <cell r="B52">
            <v>80</v>
          </cell>
          <cell r="C52" t="str">
            <v>Бер Наталья/81</v>
          </cell>
          <cell r="D52" t="str">
            <v>Омск</v>
          </cell>
          <cell r="E52" t="str">
            <v>08.02.2014</v>
          </cell>
          <cell r="F52" t="str">
            <v>Екатеринбург</v>
          </cell>
        </row>
        <row r="53">
          <cell r="A53">
            <v>52</v>
          </cell>
          <cell r="B53">
            <v>85</v>
          </cell>
          <cell r="C53" t="str">
            <v>Кумуц Светлана/95</v>
          </cell>
          <cell r="D53" t="str">
            <v>Сатка</v>
          </cell>
          <cell r="E53">
            <v>41608</v>
          </cell>
          <cell r="F53" t="str">
            <v>Екатеринбург</v>
          </cell>
        </row>
        <row r="54">
          <cell r="A54">
            <v>56</v>
          </cell>
          <cell r="B54">
            <v>105</v>
          </cell>
          <cell r="C54" t="str">
            <v>Коновалова Наталья/74</v>
          </cell>
          <cell r="D54"/>
          <cell r="E54">
            <v>40814</v>
          </cell>
          <cell r="F54" t="str">
            <v>Екатеринбург</v>
          </cell>
        </row>
        <row r="55">
          <cell r="A55">
            <v>60</v>
          </cell>
          <cell r="B55">
            <v>105</v>
          </cell>
          <cell r="C55" t="str">
            <v>Власова Надежда/82</v>
          </cell>
          <cell r="D55" t="str">
            <v>Лобня</v>
          </cell>
          <cell r="E55" t="str">
            <v>22.08.2014</v>
          </cell>
          <cell r="F55" t="str">
            <v>Москва</v>
          </cell>
        </row>
        <row r="56">
          <cell r="A56">
            <v>67.5</v>
          </cell>
          <cell r="B56">
            <v>97.5</v>
          </cell>
          <cell r="C56" t="str">
            <v>Ракчеева Анастасия/71</v>
          </cell>
          <cell r="D56" t="str">
            <v>Москва</v>
          </cell>
          <cell r="E56" t="str">
            <v>22.08.2014</v>
          </cell>
          <cell r="F56" t="str">
            <v>Москва</v>
          </cell>
        </row>
        <row r="57">
          <cell r="A57">
            <v>75</v>
          </cell>
          <cell r="B57">
            <v>112.5</v>
          </cell>
          <cell r="C57" t="str">
            <v>Воробьева Регина/80</v>
          </cell>
          <cell r="D57" t="str">
            <v>Волгоград</v>
          </cell>
          <cell r="E57">
            <v>41567</v>
          </cell>
          <cell r="F57" t="str">
            <v>Краснодар</v>
          </cell>
        </row>
        <row r="58">
          <cell r="A58">
            <v>82.5</v>
          </cell>
          <cell r="B58">
            <v>105</v>
          </cell>
          <cell r="C58" t="str">
            <v>Пуговкина Алла/75</v>
          </cell>
          <cell r="D58" t="str">
            <v>Москва</v>
          </cell>
          <cell r="E58" t="str">
            <v>22.08.2014</v>
          </cell>
          <cell r="F58" t="str">
            <v>Москва</v>
          </cell>
        </row>
        <row r="59">
          <cell r="A59">
            <v>90</v>
          </cell>
          <cell r="B59">
            <v>102.5</v>
          </cell>
          <cell r="C59" t="str">
            <v>Кибалина Татьяна/74</v>
          </cell>
          <cell r="D59" t="str">
            <v>Екатеринбург</v>
          </cell>
          <cell r="E59">
            <v>40814</v>
          </cell>
          <cell r="F59" t="str">
            <v>Екатеринбург</v>
          </cell>
        </row>
        <row r="60">
          <cell r="A60" t="str">
            <v>90+</v>
          </cell>
          <cell r="B60">
            <v>127.5</v>
          </cell>
          <cell r="C60" t="str">
            <v>Шель-Фетенгоф Эрин/83</v>
          </cell>
          <cell r="D60" t="str">
            <v>Москва</v>
          </cell>
          <cell r="E60" t="str">
            <v>22.08.2014</v>
          </cell>
          <cell r="F60" t="str">
            <v>Москва</v>
          </cell>
        </row>
        <row r="61">
          <cell r="B61"/>
          <cell r="C61"/>
          <cell r="D61"/>
          <cell r="E61"/>
          <cell r="F61"/>
        </row>
        <row r="62">
          <cell r="B62" t="str">
            <v>ЖЕНЩИНЫ - САБМАСТЕРС  (33 - 39)</v>
          </cell>
        </row>
        <row r="63">
          <cell r="A63">
            <v>44</v>
          </cell>
          <cell r="B63">
            <v>65</v>
          </cell>
          <cell r="C63" t="str">
            <v>Покорная Ирина/77</v>
          </cell>
          <cell r="D63" t="str">
            <v>Саратов</v>
          </cell>
          <cell r="E63">
            <v>40690</v>
          </cell>
          <cell r="F63" t="str">
            <v xml:space="preserve">Хотьково </v>
          </cell>
        </row>
        <row r="64">
          <cell r="A64">
            <v>48</v>
          </cell>
          <cell r="B64">
            <v>67.5</v>
          </cell>
          <cell r="C64" t="str">
            <v>Дзина Маргарита/69</v>
          </cell>
          <cell r="D64" t="str">
            <v>Челябинск</v>
          </cell>
          <cell r="E64">
            <v>39871</v>
          </cell>
          <cell r="F64" t="str">
            <v>Челябинск</v>
          </cell>
        </row>
        <row r="65">
          <cell r="A65">
            <v>52</v>
          </cell>
          <cell r="B65">
            <v>72.5</v>
          </cell>
          <cell r="C65" t="str">
            <v>Тарасова Юлия/73</v>
          </cell>
          <cell r="D65" t="str">
            <v>Одинцово</v>
          </cell>
          <cell r="E65">
            <v>40409</v>
          </cell>
          <cell r="F65" t="str">
            <v>Москва</v>
          </cell>
        </row>
        <row r="66">
          <cell r="A66">
            <v>56</v>
          </cell>
          <cell r="B66">
            <v>105</v>
          </cell>
          <cell r="C66" t="str">
            <v>Коновалова Наталья/74</v>
          </cell>
          <cell r="D66"/>
          <cell r="E66">
            <v>40814</v>
          </cell>
          <cell r="F66" t="str">
            <v>Екатеринбург</v>
          </cell>
        </row>
        <row r="67">
          <cell r="A67">
            <v>60</v>
          </cell>
          <cell r="B67">
            <v>92.5</v>
          </cell>
          <cell r="C67" t="str">
            <v>Ракчеева Анастасия/71</v>
          </cell>
          <cell r="D67" t="str">
            <v>Москва</v>
          </cell>
          <cell r="E67">
            <v>40088</v>
          </cell>
          <cell r="F67" t="str">
            <v>Ростов</v>
          </cell>
        </row>
        <row r="68">
          <cell r="A68">
            <v>67.5</v>
          </cell>
          <cell r="B68">
            <v>97.5</v>
          </cell>
          <cell r="C68" t="str">
            <v>Ракчеева Анастасия/71</v>
          </cell>
          <cell r="D68" t="str">
            <v>Москва</v>
          </cell>
          <cell r="E68" t="str">
            <v>22.08.2014</v>
          </cell>
          <cell r="F68" t="str">
            <v>Москва</v>
          </cell>
        </row>
        <row r="69">
          <cell r="A69">
            <v>75</v>
          </cell>
          <cell r="B69">
            <v>112.5</v>
          </cell>
          <cell r="C69" t="str">
            <v>Воробьева Регина/80</v>
          </cell>
          <cell r="D69" t="str">
            <v>Волгоград</v>
          </cell>
          <cell r="E69">
            <v>41567</v>
          </cell>
          <cell r="F69" t="str">
            <v>Краснодар</v>
          </cell>
        </row>
        <row r="70">
          <cell r="A70">
            <v>82.5</v>
          </cell>
          <cell r="B70">
            <v>105</v>
          </cell>
          <cell r="C70" t="str">
            <v>Пуговкина Алла/75</v>
          </cell>
          <cell r="D70" t="str">
            <v>Москва</v>
          </cell>
          <cell r="E70" t="str">
            <v>22.08.2014</v>
          </cell>
          <cell r="F70" t="str">
            <v>Москва</v>
          </cell>
        </row>
        <row r="71">
          <cell r="A71">
            <v>90</v>
          </cell>
          <cell r="B71">
            <v>102.5</v>
          </cell>
          <cell r="C71" t="str">
            <v>Кибалина Татьяна/74</v>
          </cell>
          <cell r="D71" t="str">
            <v>Екатеринбург</v>
          </cell>
          <cell r="E71">
            <v>40814</v>
          </cell>
          <cell r="F71" t="str">
            <v>Екатеринбург</v>
          </cell>
        </row>
        <row r="72">
          <cell r="A72" t="str">
            <v>90+</v>
          </cell>
          <cell r="B72">
            <v>90</v>
          </cell>
          <cell r="C72" t="str">
            <v>Скобелкина Елена/73</v>
          </cell>
          <cell r="D72" t="str">
            <v>Горный</v>
          </cell>
          <cell r="E72">
            <v>40872</v>
          </cell>
          <cell r="F72" t="str">
            <v>Новосибирск</v>
          </cell>
        </row>
        <row r="73">
          <cell r="B73"/>
          <cell r="C73"/>
          <cell r="D73"/>
          <cell r="E73"/>
          <cell r="F73"/>
        </row>
        <row r="74">
          <cell r="B74" t="str">
            <v>МАСТЕРС - 1(40-44)</v>
          </cell>
        </row>
        <row r="75">
          <cell r="A75">
            <v>44</v>
          </cell>
          <cell r="B75">
            <v>77.5</v>
          </cell>
          <cell r="C75" t="str">
            <v>Мурашева Юлия/70</v>
          </cell>
          <cell r="D75" t="str">
            <v>Шатура</v>
          </cell>
          <cell r="E75" t="str">
            <v>22.08.2014</v>
          </cell>
          <cell r="F75" t="str">
            <v>Москва</v>
          </cell>
        </row>
        <row r="76">
          <cell r="A76">
            <v>48</v>
          </cell>
          <cell r="B76">
            <v>52.5</v>
          </cell>
          <cell r="C76" t="str">
            <v>Мариева Наталья/68</v>
          </cell>
          <cell r="D76" t="str">
            <v>Дмитров</v>
          </cell>
          <cell r="E76">
            <v>41068</v>
          </cell>
          <cell r="F76" t="str">
            <v>Moscow</v>
          </cell>
        </row>
        <row r="77">
          <cell r="A77">
            <v>52</v>
          </cell>
          <cell r="B77">
            <v>65</v>
          </cell>
          <cell r="C77" t="str">
            <v>Лазарева Елена/68</v>
          </cell>
          <cell r="D77" t="str">
            <v>Калуга</v>
          </cell>
          <cell r="E77">
            <v>40522</v>
          </cell>
          <cell r="F77" t="str">
            <v>Курск</v>
          </cell>
        </row>
        <row r="78">
          <cell r="A78">
            <v>56</v>
          </cell>
          <cell r="B78">
            <v>77.5</v>
          </cell>
          <cell r="C78" t="str">
            <v>Тарасова Юлия/73</v>
          </cell>
          <cell r="D78" t="str">
            <v>Одинцово</v>
          </cell>
          <cell r="E78" t="str">
            <v>22.08.2014</v>
          </cell>
          <cell r="F78" t="str">
            <v>Москва</v>
          </cell>
        </row>
        <row r="79">
          <cell r="A79">
            <v>60</v>
          </cell>
          <cell r="B79">
            <v>92.5</v>
          </cell>
          <cell r="C79" t="str">
            <v>Ракчеева Анастасия/71</v>
          </cell>
          <cell r="D79" t="str">
            <v>Химки</v>
          </cell>
          <cell r="E79">
            <v>41017</v>
          </cell>
          <cell r="F79" t="str">
            <v>Ростов</v>
          </cell>
        </row>
        <row r="80">
          <cell r="A80">
            <v>67.5</v>
          </cell>
          <cell r="B80">
            <v>97.5</v>
          </cell>
          <cell r="C80" t="str">
            <v>Ракчеева Анастасия/71</v>
          </cell>
          <cell r="D80" t="str">
            <v>Москва</v>
          </cell>
          <cell r="E80" t="str">
            <v>22.08.2014</v>
          </cell>
          <cell r="F80" t="str">
            <v>Москва</v>
          </cell>
        </row>
        <row r="81">
          <cell r="A81">
            <v>75</v>
          </cell>
          <cell r="B81">
            <v>105</v>
          </cell>
          <cell r="C81" t="str">
            <v>Синачева Светлана/66</v>
          </cell>
          <cell r="D81" t="str">
            <v>Трехгорный</v>
          </cell>
          <cell r="E81">
            <v>40814</v>
          </cell>
          <cell r="F81" t="str">
            <v>Екатеринбург</v>
          </cell>
        </row>
        <row r="82">
          <cell r="A82">
            <v>82.5</v>
          </cell>
          <cell r="B82">
            <v>97.5</v>
          </cell>
          <cell r="C82" t="str">
            <v>Синачева Светлана/66</v>
          </cell>
          <cell r="D82" t="str">
            <v>Трехгорный</v>
          </cell>
          <cell r="E82">
            <v>40257</v>
          </cell>
          <cell r="F82" t="str">
            <v>Курск</v>
          </cell>
        </row>
        <row r="83">
          <cell r="A83">
            <v>90</v>
          </cell>
          <cell r="B83"/>
          <cell r="C83"/>
          <cell r="D83"/>
          <cell r="E83"/>
          <cell r="F83"/>
        </row>
        <row r="84">
          <cell r="A84" t="str">
            <v>90+</v>
          </cell>
          <cell r="B84">
            <v>85</v>
          </cell>
          <cell r="C84" t="str">
            <v>Синенко Нина/67</v>
          </cell>
          <cell r="D84" t="str">
            <v>Новосибирск</v>
          </cell>
          <cell r="E84">
            <v>40872</v>
          </cell>
          <cell r="F84" t="str">
            <v>Новосибирск</v>
          </cell>
        </row>
        <row r="85">
          <cell r="B85"/>
          <cell r="C85"/>
          <cell r="D85"/>
          <cell r="E85"/>
          <cell r="F85"/>
        </row>
        <row r="86">
          <cell r="B86" t="str">
            <v>МАСТЕРС - 2(45-49)</v>
          </cell>
        </row>
        <row r="87">
          <cell r="A87">
            <v>44</v>
          </cell>
          <cell r="B87">
            <v>35</v>
          </cell>
          <cell r="C87" t="str">
            <v>Казанцева Ольга/61</v>
          </cell>
          <cell r="D87" t="str">
            <v>Москва</v>
          </cell>
          <cell r="E87">
            <v>40690</v>
          </cell>
          <cell r="F87" t="str">
            <v xml:space="preserve">Хотьково </v>
          </cell>
        </row>
        <row r="88">
          <cell r="A88">
            <v>48</v>
          </cell>
          <cell r="B88">
            <v>55</v>
          </cell>
          <cell r="C88" t="str">
            <v>Мариева Наталья/68</v>
          </cell>
          <cell r="D88" t="str">
            <v>Дмитров</v>
          </cell>
          <cell r="E88" t="str">
            <v>30.05.2014</v>
          </cell>
          <cell r="F88" t="str">
            <v>Курск</v>
          </cell>
        </row>
        <row r="89">
          <cell r="A89">
            <v>52</v>
          </cell>
          <cell r="B89">
            <v>65</v>
          </cell>
          <cell r="C89" t="str">
            <v>Кушкова Елена/67</v>
          </cell>
          <cell r="D89" t="str">
            <v>Омск</v>
          </cell>
          <cell r="E89">
            <v>41608</v>
          </cell>
          <cell r="F89" t="str">
            <v>Екатеринбург</v>
          </cell>
        </row>
        <row r="90">
          <cell r="A90">
            <v>56</v>
          </cell>
          <cell r="B90">
            <v>65</v>
          </cell>
          <cell r="C90" t="str">
            <v>Куклина Оксана/69</v>
          </cell>
          <cell r="D90" t="str">
            <v>Туапсе</v>
          </cell>
          <cell r="E90" t="str">
            <v>19.07.2014</v>
          </cell>
          <cell r="F90" t="str">
            <v>Краснодар</v>
          </cell>
        </row>
        <row r="91">
          <cell r="A91">
            <v>60</v>
          </cell>
          <cell r="B91"/>
          <cell r="C91"/>
          <cell r="D91"/>
          <cell r="E91"/>
          <cell r="F91"/>
        </row>
        <row r="92">
          <cell r="A92">
            <v>67.5</v>
          </cell>
          <cell r="B92">
            <v>52.5</v>
          </cell>
          <cell r="C92" t="str">
            <v>Сидорова Ольга/66</v>
          </cell>
          <cell r="D92" t="str">
            <v>Курск</v>
          </cell>
          <cell r="E92">
            <v>41497</v>
          </cell>
          <cell r="F92" t="str">
            <v>Курск</v>
          </cell>
        </row>
        <row r="93">
          <cell r="A93">
            <v>75</v>
          </cell>
          <cell r="B93">
            <v>105</v>
          </cell>
          <cell r="C93" t="str">
            <v>Синачева Светлана/66</v>
          </cell>
          <cell r="D93" t="str">
            <v>Трехгорный</v>
          </cell>
          <cell r="E93">
            <v>41017</v>
          </cell>
          <cell r="F93" t="str">
            <v>Ростов</v>
          </cell>
        </row>
        <row r="94">
          <cell r="A94">
            <v>82.5</v>
          </cell>
          <cell r="B94">
            <v>80</v>
          </cell>
          <cell r="C94" t="str">
            <v>Чаркова Лидия/68</v>
          </cell>
          <cell r="D94" t="str">
            <v>Санкт-Петербург</v>
          </cell>
          <cell r="E94" t="str">
            <v>22.08.2014</v>
          </cell>
          <cell r="F94" t="str">
            <v>Москва</v>
          </cell>
        </row>
        <row r="95">
          <cell r="A95">
            <v>90</v>
          </cell>
          <cell r="B95"/>
          <cell r="C95"/>
          <cell r="D95"/>
          <cell r="E95"/>
          <cell r="F95"/>
        </row>
        <row r="96">
          <cell r="A96" t="str">
            <v>90+</v>
          </cell>
          <cell r="B96">
            <v>80</v>
          </cell>
          <cell r="C96" t="str">
            <v>Кабаева Светлана/65</v>
          </cell>
          <cell r="D96" t="str">
            <v>Челябинск</v>
          </cell>
          <cell r="E96">
            <v>40640</v>
          </cell>
          <cell r="F96" t="str">
            <v>Челябинск</v>
          </cell>
        </row>
        <row r="97">
          <cell r="B97" t="str">
            <v>МАСТЕРС - 3(50-54)</v>
          </cell>
        </row>
        <row r="98">
          <cell r="A98">
            <v>44</v>
          </cell>
          <cell r="B98"/>
          <cell r="C98"/>
          <cell r="D98"/>
          <cell r="E98"/>
          <cell r="F98"/>
        </row>
        <row r="99">
          <cell r="A99">
            <v>48</v>
          </cell>
          <cell r="B99"/>
          <cell r="C99"/>
          <cell r="D99"/>
          <cell r="E99"/>
          <cell r="F99"/>
        </row>
        <row r="100">
          <cell r="A100">
            <v>52</v>
          </cell>
          <cell r="B100">
            <v>55</v>
          </cell>
          <cell r="C100" t="str">
            <v>Телегина Татьяна/61</v>
          </cell>
          <cell r="D100" t="str">
            <v>Улан-Уде</v>
          </cell>
          <cell r="E100">
            <v>41137</v>
          </cell>
          <cell r="F100" t="str">
            <v>Новосибирск</v>
          </cell>
        </row>
        <row r="101">
          <cell r="A101">
            <v>56</v>
          </cell>
          <cell r="B101"/>
          <cell r="C101"/>
          <cell r="D101"/>
          <cell r="E101"/>
          <cell r="F101"/>
        </row>
        <row r="102">
          <cell r="A102">
            <v>60</v>
          </cell>
          <cell r="B102">
            <v>42.5</v>
          </cell>
          <cell r="C102" t="str">
            <v>Шарий Вера/57</v>
          </cell>
          <cell r="D102" t="str">
            <v>Тюмень</v>
          </cell>
          <cell r="E102">
            <v>39724</v>
          </cell>
          <cell r="F102" t="str">
            <v>Екатеринбург</v>
          </cell>
        </row>
        <row r="103">
          <cell r="A103">
            <v>67.5</v>
          </cell>
          <cell r="B103"/>
          <cell r="C103"/>
          <cell r="D103"/>
          <cell r="E103"/>
          <cell r="F103"/>
        </row>
        <row r="104">
          <cell r="A104">
            <v>75</v>
          </cell>
          <cell r="B104">
            <v>55</v>
          </cell>
          <cell r="C104" t="str">
            <v>Сайфуллина Татьяна/58</v>
          </cell>
          <cell r="D104" t="str">
            <v>Ноябрьск</v>
          </cell>
          <cell r="E104">
            <v>41201</v>
          </cell>
          <cell r="F104" t="str">
            <v>Краснодар</v>
          </cell>
        </row>
        <row r="105">
          <cell r="A105">
            <v>82.5</v>
          </cell>
          <cell r="B105">
            <v>50</v>
          </cell>
          <cell r="C105" t="str">
            <v>Сайфуллина Татьяна/58</v>
          </cell>
          <cell r="D105" t="str">
            <v>Ноябрьск</v>
          </cell>
          <cell r="E105">
            <v>41017</v>
          </cell>
          <cell r="F105" t="str">
            <v>Ростов</v>
          </cell>
        </row>
        <row r="106">
          <cell r="A106">
            <v>90</v>
          </cell>
          <cell r="B106">
            <v>52.5</v>
          </cell>
          <cell r="C106" t="str">
            <v>Гаврилова Ольга/60</v>
          </cell>
          <cell r="D106" t="str">
            <v>Москва</v>
          </cell>
          <cell r="E106">
            <v>41619</v>
          </cell>
          <cell r="F106" t="str">
            <v>Курск</v>
          </cell>
        </row>
        <row r="107">
          <cell r="A107" t="str">
            <v>90+</v>
          </cell>
          <cell r="B107"/>
          <cell r="C107"/>
          <cell r="D107"/>
          <cell r="E107"/>
          <cell r="F107"/>
        </row>
        <row r="108">
          <cell r="B108" t="str">
            <v>МАСТЕРС - 5(60-64)</v>
          </cell>
        </row>
        <row r="109">
          <cell r="A109">
            <v>44</v>
          </cell>
          <cell r="B109"/>
          <cell r="C109"/>
          <cell r="D109"/>
          <cell r="E109"/>
          <cell r="F109"/>
        </row>
        <row r="110">
          <cell r="A110">
            <v>48</v>
          </cell>
          <cell r="B110"/>
          <cell r="C110"/>
          <cell r="D110"/>
          <cell r="E110"/>
          <cell r="F110"/>
        </row>
        <row r="111">
          <cell r="A111">
            <v>52</v>
          </cell>
          <cell r="B111"/>
          <cell r="C111"/>
          <cell r="D111"/>
          <cell r="E111"/>
          <cell r="F111"/>
        </row>
        <row r="112">
          <cell r="A112">
            <v>56</v>
          </cell>
          <cell r="B112"/>
          <cell r="C112"/>
          <cell r="D112"/>
          <cell r="E112"/>
          <cell r="F112"/>
        </row>
        <row r="113">
          <cell r="A113">
            <v>60</v>
          </cell>
          <cell r="B113">
            <v>47.5</v>
          </cell>
          <cell r="C113" t="str">
            <v>Кондратьева Галина/52</v>
          </cell>
          <cell r="D113" t="str">
            <v>Москва</v>
          </cell>
          <cell r="E113" t="str">
            <v>22.08.2014</v>
          </cell>
          <cell r="F113" t="str">
            <v>Москва</v>
          </cell>
        </row>
        <row r="114">
          <cell r="A114">
            <v>67.5</v>
          </cell>
          <cell r="B114"/>
          <cell r="C114"/>
          <cell r="D114"/>
          <cell r="E114"/>
          <cell r="F114"/>
        </row>
        <row r="115">
          <cell r="A115">
            <v>75</v>
          </cell>
          <cell r="B115"/>
          <cell r="C115"/>
          <cell r="D115"/>
          <cell r="E115"/>
          <cell r="F115"/>
        </row>
        <row r="116">
          <cell r="A116">
            <v>82.5</v>
          </cell>
          <cell r="B116"/>
          <cell r="C116"/>
          <cell r="D116"/>
          <cell r="E116"/>
          <cell r="F116"/>
        </row>
        <row r="117">
          <cell r="A117">
            <v>90</v>
          </cell>
          <cell r="B117"/>
          <cell r="C117"/>
          <cell r="D117"/>
          <cell r="E117"/>
          <cell r="F117"/>
        </row>
        <row r="118">
          <cell r="A118" t="str">
            <v>90+</v>
          </cell>
          <cell r="B118"/>
          <cell r="C118"/>
          <cell r="D118"/>
          <cell r="E118"/>
          <cell r="F118"/>
        </row>
        <row r="119">
          <cell r="B119" t="str">
            <v>МАСТЕРС-8(75-79)</v>
          </cell>
        </row>
        <row r="120">
          <cell r="A120">
            <v>44</v>
          </cell>
          <cell r="B120"/>
          <cell r="C120"/>
          <cell r="D120"/>
          <cell r="E120"/>
          <cell r="F120"/>
        </row>
        <row r="121">
          <cell r="A121">
            <v>48</v>
          </cell>
          <cell r="B121"/>
          <cell r="C121"/>
          <cell r="D121"/>
          <cell r="E121"/>
          <cell r="F121"/>
        </row>
        <row r="122">
          <cell r="A122">
            <v>52</v>
          </cell>
          <cell r="B122"/>
          <cell r="C122"/>
          <cell r="D122"/>
          <cell r="E122"/>
          <cell r="F122"/>
        </row>
        <row r="123">
          <cell r="A123">
            <v>56</v>
          </cell>
          <cell r="B123"/>
          <cell r="C123"/>
          <cell r="D123"/>
          <cell r="E123"/>
          <cell r="F123"/>
        </row>
        <row r="124">
          <cell r="A124">
            <v>60</v>
          </cell>
          <cell r="B124"/>
          <cell r="C124"/>
          <cell r="D124"/>
          <cell r="E124"/>
          <cell r="F124"/>
        </row>
        <row r="125">
          <cell r="A125">
            <v>67.5</v>
          </cell>
          <cell r="B125"/>
          <cell r="C125"/>
          <cell r="D125"/>
          <cell r="E125"/>
          <cell r="F125"/>
        </row>
        <row r="126">
          <cell r="A126">
            <v>75</v>
          </cell>
          <cell r="B126">
            <v>46</v>
          </cell>
          <cell r="C126" t="str">
            <v>Цверова Галина/31</v>
          </cell>
          <cell r="D126" t="str">
            <v>Сочи</v>
          </cell>
          <cell r="E126">
            <v>40088</v>
          </cell>
          <cell r="F126" t="str">
            <v>Ростов</v>
          </cell>
        </row>
        <row r="127">
          <cell r="A127">
            <v>82.5</v>
          </cell>
          <cell r="B127"/>
          <cell r="C127"/>
          <cell r="D127"/>
          <cell r="E127"/>
          <cell r="F127"/>
        </row>
        <row r="128">
          <cell r="A128">
            <v>90</v>
          </cell>
          <cell r="B128"/>
          <cell r="C128"/>
          <cell r="D128"/>
          <cell r="E128"/>
          <cell r="F128"/>
        </row>
        <row r="129">
          <cell r="A129" t="str">
            <v>90+</v>
          </cell>
          <cell r="B129"/>
          <cell r="C129"/>
          <cell r="D129"/>
          <cell r="E129"/>
          <cell r="F129"/>
        </row>
        <row r="130">
          <cell r="B130" t="str">
            <v>МАСТЕРС-9(80-84)</v>
          </cell>
        </row>
        <row r="131">
          <cell r="A131">
            <v>44</v>
          </cell>
          <cell r="B131"/>
          <cell r="C131"/>
          <cell r="D131"/>
          <cell r="E131"/>
          <cell r="F131"/>
        </row>
        <row r="132">
          <cell r="A132">
            <v>48</v>
          </cell>
          <cell r="B132"/>
          <cell r="C132"/>
          <cell r="D132"/>
          <cell r="E132"/>
          <cell r="F132"/>
        </row>
        <row r="133">
          <cell r="A133">
            <v>52</v>
          </cell>
          <cell r="B133"/>
          <cell r="C133"/>
          <cell r="D133"/>
          <cell r="E133"/>
          <cell r="F133"/>
        </row>
        <row r="134">
          <cell r="A134">
            <v>56</v>
          </cell>
          <cell r="B134"/>
          <cell r="C134"/>
          <cell r="D134"/>
          <cell r="E134"/>
          <cell r="F134"/>
        </row>
        <row r="135">
          <cell r="A135">
            <v>60</v>
          </cell>
          <cell r="B135"/>
          <cell r="C135"/>
          <cell r="D135"/>
          <cell r="E135"/>
          <cell r="F135"/>
        </row>
        <row r="136">
          <cell r="A136">
            <v>67.5</v>
          </cell>
          <cell r="B136"/>
          <cell r="C136"/>
          <cell r="D136"/>
          <cell r="E136"/>
          <cell r="F136"/>
        </row>
        <row r="137">
          <cell r="A137">
            <v>75</v>
          </cell>
          <cell r="B137">
            <v>50</v>
          </cell>
          <cell r="C137" t="str">
            <v>Цверова Галина/31</v>
          </cell>
          <cell r="D137" t="str">
            <v>Сочи</v>
          </cell>
          <cell r="E137">
            <v>41201</v>
          </cell>
          <cell r="F137" t="str">
            <v>Краснодар</v>
          </cell>
        </row>
        <row r="138">
          <cell r="A138">
            <v>82.5</v>
          </cell>
          <cell r="B138"/>
          <cell r="C138"/>
          <cell r="D138"/>
          <cell r="E138"/>
          <cell r="F138"/>
        </row>
        <row r="139">
          <cell r="A139">
            <v>90</v>
          </cell>
          <cell r="B139"/>
          <cell r="C139"/>
          <cell r="D139"/>
          <cell r="E139"/>
          <cell r="F139"/>
        </row>
        <row r="140">
          <cell r="A140" t="str">
            <v>90+</v>
          </cell>
          <cell r="B140"/>
          <cell r="C140"/>
          <cell r="D140"/>
          <cell r="E140"/>
          <cell r="F140"/>
        </row>
      </sheetData>
      <sheetData sheetId="1">
        <row r="1">
          <cell r="B1" t="str">
            <v>Рекорды  AWPC BP Raw - Россия</v>
          </cell>
          <cell r="C1"/>
          <cell r="D1"/>
          <cell r="E1"/>
          <cell r="F1"/>
        </row>
        <row r="2">
          <cell r="B2" t="str">
            <v>ЮНОШИ  (13 - 15)</v>
          </cell>
        </row>
        <row r="3">
          <cell r="A3">
            <v>52</v>
          </cell>
          <cell r="B3">
            <v>82.5</v>
          </cell>
          <cell r="C3" t="str">
            <v>Старилов Виталий/94</v>
          </cell>
          <cell r="D3" t="str">
            <v>Воронеж</v>
          </cell>
          <cell r="E3">
            <v>40257</v>
          </cell>
          <cell r="F3" t="str">
            <v>Курск</v>
          </cell>
        </row>
        <row r="4">
          <cell r="A4">
            <v>56</v>
          </cell>
          <cell r="B4">
            <v>92.5</v>
          </cell>
          <cell r="C4" t="str">
            <v>Кудрявцев Иван/93</v>
          </cell>
          <cell r="D4" t="str">
            <v>Курган</v>
          </cell>
          <cell r="E4">
            <v>39871</v>
          </cell>
          <cell r="F4" t="str">
            <v>Челябинск</v>
          </cell>
        </row>
        <row r="5">
          <cell r="A5">
            <v>60</v>
          </cell>
          <cell r="B5">
            <v>105</v>
          </cell>
          <cell r="C5" t="str">
            <v>Язовских Ярослав/97</v>
          </cell>
          <cell r="D5" t="str">
            <v>Екатеринбург</v>
          </cell>
          <cell r="E5">
            <v>40814</v>
          </cell>
          <cell r="F5" t="str">
            <v>Екатеринбург</v>
          </cell>
        </row>
        <row r="6">
          <cell r="A6" t="str">
            <v>67.5</v>
          </cell>
          <cell r="B6">
            <v>112.5</v>
          </cell>
          <cell r="C6" t="str">
            <v>Юнг Александр/98</v>
          </cell>
          <cell r="D6" t="str">
            <v>Усть-Тарка</v>
          </cell>
          <cell r="E6">
            <v>41503</v>
          </cell>
          <cell r="F6" t="str">
            <v>Новосибирск</v>
          </cell>
        </row>
        <row r="7">
          <cell r="A7">
            <v>75</v>
          </cell>
          <cell r="B7">
            <v>117.5</v>
          </cell>
          <cell r="C7" t="str">
            <v>Тяпкин Сергей/95</v>
          </cell>
          <cell r="D7" t="str">
            <v>Березовский</v>
          </cell>
          <cell r="E7">
            <v>40453</v>
          </cell>
          <cell r="F7" t="str">
            <v>Екатеринбург</v>
          </cell>
        </row>
        <row r="8">
          <cell r="A8">
            <v>82.5</v>
          </cell>
          <cell r="B8">
            <v>115</v>
          </cell>
          <cell r="C8" t="str">
            <v>Жуков Игорь/93</v>
          </cell>
          <cell r="D8" t="str">
            <v>Екатеринбург</v>
          </cell>
          <cell r="E8">
            <v>39871</v>
          </cell>
          <cell r="F8" t="str">
            <v>Челябинск</v>
          </cell>
        </row>
        <row r="9">
          <cell r="A9">
            <v>90</v>
          </cell>
          <cell r="B9">
            <v>130</v>
          </cell>
          <cell r="C9" t="str">
            <v>Бухарин Александр/99</v>
          </cell>
          <cell r="D9" t="str">
            <v>Москва</v>
          </cell>
          <cell r="E9">
            <v>41497</v>
          </cell>
          <cell r="F9" t="str">
            <v>Курск</v>
          </cell>
        </row>
        <row r="10">
          <cell r="A10">
            <v>100</v>
          </cell>
          <cell r="B10">
            <v>145</v>
          </cell>
          <cell r="C10" t="str">
            <v>Бухарин Александр/99</v>
          </cell>
          <cell r="D10" t="str">
            <v>Москва</v>
          </cell>
          <cell r="E10" t="str">
            <v>22.08.2014</v>
          </cell>
          <cell r="F10" t="str">
            <v>Москва</v>
          </cell>
        </row>
        <row r="11">
          <cell r="A11">
            <v>110</v>
          </cell>
          <cell r="B11">
            <v>80</v>
          </cell>
          <cell r="C11" t="str">
            <v>Телепов Иван/97</v>
          </cell>
          <cell r="D11" t="str">
            <v>Екатеринбург</v>
          </cell>
          <cell r="E11">
            <v>41321</v>
          </cell>
          <cell r="F11" t="str">
            <v>Екатеринбург</v>
          </cell>
        </row>
        <row r="12">
          <cell r="A12">
            <v>125</v>
          </cell>
          <cell r="B12"/>
          <cell r="C12"/>
          <cell r="D12"/>
          <cell r="E12"/>
          <cell r="F12"/>
        </row>
        <row r="13">
          <cell r="A13">
            <v>140</v>
          </cell>
          <cell r="B13"/>
          <cell r="C13"/>
          <cell r="D13"/>
          <cell r="E13"/>
          <cell r="F13"/>
        </row>
        <row r="14">
          <cell r="A14" t="str">
            <v>140+</v>
          </cell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 t="str">
            <v>ЮНОШИ  (16 - 17)</v>
          </cell>
        </row>
        <row r="17">
          <cell r="A17">
            <v>52</v>
          </cell>
          <cell r="B17">
            <v>95</v>
          </cell>
          <cell r="C17" t="str">
            <v>Трубин Владислав/93</v>
          </cell>
          <cell r="D17" t="str">
            <v>Курган</v>
          </cell>
          <cell r="E17">
            <v>40453</v>
          </cell>
          <cell r="F17" t="str">
            <v>Екатеринбург</v>
          </cell>
        </row>
        <row r="18">
          <cell r="A18">
            <v>56</v>
          </cell>
          <cell r="B18">
            <v>110</v>
          </cell>
          <cell r="C18" t="str">
            <v>Истомин Алексей/96</v>
          </cell>
          <cell r="D18" t="str">
            <v>Архангельск</v>
          </cell>
          <cell r="E18">
            <v>41720</v>
          </cell>
          <cell r="F18" t="str">
            <v>Вологда</v>
          </cell>
        </row>
        <row r="19">
          <cell r="A19">
            <v>60</v>
          </cell>
          <cell r="B19">
            <v>125.5</v>
          </cell>
          <cell r="C19" t="str">
            <v>Набиев Яшар/90</v>
          </cell>
          <cell r="D19" t="str">
            <v>Новокубанск</v>
          </cell>
          <cell r="E19">
            <v>39528</v>
          </cell>
          <cell r="F19" t="str">
            <v>Ростов</v>
          </cell>
        </row>
        <row r="20">
          <cell r="A20" t="str">
            <v>67.5</v>
          </cell>
          <cell r="B20">
            <v>145</v>
          </cell>
          <cell r="C20" t="str">
            <v>Назаренко Алексей/89</v>
          </cell>
          <cell r="D20" t="str">
            <v>Саратов</v>
          </cell>
          <cell r="E20">
            <v>39123</v>
          </cell>
          <cell r="F20" t="str">
            <v>Челябинск</v>
          </cell>
        </row>
        <row r="21">
          <cell r="A21">
            <v>75</v>
          </cell>
          <cell r="B21">
            <v>150</v>
          </cell>
          <cell r="C21" t="str">
            <v>Язовских Ярослав/97</v>
          </cell>
          <cell r="D21" t="str">
            <v>Екатеринбург</v>
          </cell>
          <cell r="E21">
            <v>41608</v>
          </cell>
          <cell r="F21" t="str">
            <v>Екатеринбург</v>
          </cell>
        </row>
        <row r="22">
          <cell r="A22" t="str">
            <v>82.5</v>
          </cell>
          <cell r="B22">
            <v>160</v>
          </cell>
          <cell r="C22" t="str">
            <v>Григорян Арман/94</v>
          </cell>
          <cell r="D22" t="str">
            <v>Белгород</v>
          </cell>
          <cell r="E22">
            <v>40769</v>
          </cell>
          <cell r="F22" t="str">
            <v>Курск</v>
          </cell>
        </row>
        <row r="23">
          <cell r="A23">
            <v>90</v>
          </cell>
          <cell r="B23">
            <v>155</v>
          </cell>
          <cell r="C23" t="str">
            <v>Заборовский Георгий/92</v>
          </cell>
          <cell r="D23" t="str">
            <v>Москва</v>
          </cell>
          <cell r="E23">
            <v>40088</v>
          </cell>
          <cell r="F23" t="str">
            <v>Ростов</v>
          </cell>
        </row>
        <row r="24">
          <cell r="A24">
            <v>100</v>
          </cell>
          <cell r="B24">
            <v>170</v>
          </cell>
          <cell r="C24" t="str">
            <v>Москаленко Станислав/92</v>
          </cell>
          <cell r="D24" t="str">
            <v>Орск</v>
          </cell>
          <cell r="E24">
            <v>40088</v>
          </cell>
          <cell r="F24" t="str">
            <v>Ростов</v>
          </cell>
        </row>
        <row r="25">
          <cell r="A25">
            <v>110</v>
          </cell>
          <cell r="B25">
            <v>155</v>
          </cell>
          <cell r="C25" t="str">
            <v>Петров Евгений/96</v>
          </cell>
          <cell r="D25" t="str">
            <v>Москва</v>
          </cell>
          <cell r="E25" t="str">
            <v>22.08.2014</v>
          </cell>
          <cell r="F25" t="str">
            <v>Москва</v>
          </cell>
        </row>
        <row r="26">
          <cell r="A26">
            <v>125</v>
          </cell>
          <cell r="B26">
            <v>150</v>
          </cell>
          <cell r="C26" t="str">
            <v>Юматов Александр/89</v>
          </cell>
          <cell r="D26" t="str">
            <v>Ростов</v>
          </cell>
          <cell r="E26">
            <v>39312</v>
          </cell>
          <cell r="F26" t="str">
            <v>Курск</v>
          </cell>
        </row>
        <row r="27">
          <cell r="A27">
            <v>140</v>
          </cell>
          <cell r="B27"/>
          <cell r="C27"/>
          <cell r="D27"/>
          <cell r="E27"/>
          <cell r="F27"/>
        </row>
        <row r="28">
          <cell r="A28" t="str">
            <v>140+</v>
          </cell>
          <cell r="B28">
            <v>107.5</v>
          </cell>
          <cell r="C28" t="str">
            <v>Савенков Кирилл/95</v>
          </cell>
          <cell r="D28" t="str">
            <v>Новосибирск</v>
          </cell>
          <cell r="E28">
            <v>41137</v>
          </cell>
          <cell r="F28" t="str">
            <v>Новосибирск</v>
          </cell>
        </row>
        <row r="29">
          <cell r="B29"/>
          <cell r="C29"/>
          <cell r="D29"/>
          <cell r="E29"/>
          <cell r="F29"/>
        </row>
        <row r="30">
          <cell r="B30" t="str">
            <v>ЮНОШИ  (18 - 19)</v>
          </cell>
        </row>
        <row r="31">
          <cell r="A31">
            <v>52</v>
          </cell>
          <cell r="B31">
            <v>105</v>
          </cell>
          <cell r="C31" t="str">
            <v>Сергеев Сергей/90</v>
          </cell>
          <cell r="D31" t="str">
            <v>Москва</v>
          </cell>
          <cell r="E31">
            <v>39528</v>
          </cell>
          <cell r="F31" t="str">
            <v>Ростов</v>
          </cell>
        </row>
        <row r="32">
          <cell r="A32">
            <v>56</v>
          </cell>
          <cell r="B32">
            <v>122.5</v>
          </cell>
          <cell r="C32" t="str">
            <v>Малышев Андрей/94</v>
          </cell>
          <cell r="D32" t="str">
            <v>Александров</v>
          </cell>
          <cell r="E32">
            <v>41586</v>
          </cell>
          <cell r="F32" t="str">
            <v>Вологда</v>
          </cell>
        </row>
        <row r="33">
          <cell r="A33">
            <v>60</v>
          </cell>
          <cell r="B33">
            <v>115</v>
          </cell>
          <cell r="C33" t="str">
            <v>Фатеев Михаил/89</v>
          </cell>
          <cell r="D33" t="str">
            <v>Екатеринбург</v>
          </cell>
          <cell r="E33">
            <v>39871</v>
          </cell>
          <cell r="F33" t="str">
            <v>Челябинск</v>
          </cell>
        </row>
        <row r="34">
          <cell r="A34" t="str">
            <v>67.5</v>
          </cell>
          <cell r="B34">
            <v>150</v>
          </cell>
          <cell r="C34" t="str">
            <v>Назаренко Алексей/89</v>
          </cell>
          <cell r="D34" t="str">
            <v>п.Светлый</v>
          </cell>
          <cell r="E34">
            <v>39312</v>
          </cell>
          <cell r="F34" t="str">
            <v>Курск</v>
          </cell>
        </row>
        <row r="35">
          <cell r="A35">
            <v>75</v>
          </cell>
          <cell r="B35">
            <v>160</v>
          </cell>
          <cell r="C35" t="str">
            <v>Хадзиев Ваха/94</v>
          </cell>
          <cell r="D35" t="str">
            <v>Карабулак</v>
          </cell>
          <cell r="E35" t="str">
            <v>22.08.2014</v>
          </cell>
          <cell r="F35" t="str">
            <v>Москва</v>
          </cell>
        </row>
        <row r="36">
          <cell r="A36" t="str">
            <v>82.5</v>
          </cell>
          <cell r="B36">
            <v>175</v>
          </cell>
          <cell r="C36" t="str">
            <v>Дронов Богдан/94</v>
          </cell>
          <cell r="D36" t="str">
            <v xml:space="preserve">Ростов </v>
          </cell>
          <cell r="E36">
            <v>41439</v>
          </cell>
          <cell r="F36" t="str">
            <v>Москва</v>
          </cell>
        </row>
        <row r="37">
          <cell r="A37">
            <v>90</v>
          </cell>
          <cell r="B37">
            <v>187.5</v>
          </cell>
          <cell r="C37" t="str">
            <v>Григорян Арман/94</v>
          </cell>
          <cell r="D37" t="str">
            <v>Белгород</v>
          </cell>
          <cell r="E37">
            <v>41128</v>
          </cell>
          <cell r="F37" t="str">
            <v>Кривой Рог</v>
          </cell>
        </row>
        <row r="38">
          <cell r="A38">
            <v>100</v>
          </cell>
          <cell r="B38">
            <v>160</v>
          </cell>
          <cell r="C38" t="str">
            <v>Богатченко Андрей/94</v>
          </cell>
          <cell r="D38" t="str">
            <v>Белгород</v>
          </cell>
          <cell r="E38">
            <v>41497</v>
          </cell>
          <cell r="F38" t="str">
            <v>Курск</v>
          </cell>
        </row>
        <row r="39">
          <cell r="A39">
            <v>110</v>
          </cell>
          <cell r="B39">
            <v>180</v>
          </cell>
          <cell r="C39" t="str">
            <v>Блюм Илья/95</v>
          </cell>
          <cell r="D39" t="str">
            <v>Череповец</v>
          </cell>
          <cell r="E39">
            <v>41342</v>
          </cell>
          <cell r="F39" t="str">
            <v>Вологда</v>
          </cell>
        </row>
        <row r="40">
          <cell r="A40">
            <v>125</v>
          </cell>
          <cell r="B40">
            <v>202.5</v>
          </cell>
          <cell r="C40" t="str">
            <v>Шереметьев Максим/94</v>
          </cell>
          <cell r="D40" t="str">
            <v>Химки</v>
          </cell>
          <cell r="E40" t="str">
            <v>22.08.2014</v>
          </cell>
          <cell r="F40" t="str">
            <v>Москва</v>
          </cell>
        </row>
        <row r="41">
          <cell r="A41">
            <v>140</v>
          </cell>
          <cell r="B41"/>
          <cell r="C41"/>
          <cell r="D41"/>
          <cell r="E41"/>
          <cell r="F41"/>
        </row>
        <row r="42">
          <cell r="A42" t="str">
            <v>140+</v>
          </cell>
          <cell r="B42"/>
          <cell r="C42"/>
          <cell r="D42"/>
          <cell r="E42"/>
          <cell r="F42"/>
        </row>
        <row r="43">
          <cell r="B43"/>
          <cell r="C43"/>
          <cell r="D43"/>
          <cell r="E43"/>
          <cell r="F43"/>
        </row>
        <row r="44">
          <cell r="B44" t="str">
            <v>ЮНИОРЫ (20 - 23)</v>
          </cell>
        </row>
        <row r="45">
          <cell r="A45">
            <v>52</v>
          </cell>
          <cell r="B45">
            <v>110</v>
          </cell>
          <cell r="C45" t="str">
            <v>Росляков Роман/88</v>
          </cell>
          <cell r="D45"/>
          <cell r="E45">
            <v>40640</v>
          </cell>
          <cell r="F45" t="str">
            <v>Челябинск</v>
          </cell>
        </row>
        <row r="46">
          <cell r="A46">
            <v>56</v>
          </cell>
          <cell r="B46">
            <v>130</v>
          </cell>
          <cell r="C46" t="str">
            <v>Каразия Сергей/87</v>
          </cell>
          <cell r="D46" t="str">
            <v>Серпухов</v>
          </cell>
          <cell r="E46">
            <v>40409</v>
          </cell>
          <cell r="F46" t="str">
            <v>Москва</v>
          </cell>
        </row>
        <row r="47">
          <cell r="A47">
            <v>60</v>
          </cell>
          <cell r="B47">
            <v>135</v>
          </cell>
          <cell r="C47" t="str">
            <v>Кирилов Антон/86</v>
          </cell>
          <cell r="D47" t="str">
            <v>Москва</v>
          </cell>
          <cell r="E47">
            <v>40257</v>
          </cell>
          <cell r="F47" t="str">
            <v>Курск</v>
          </cell>
        </row>
        <row r="48">
          <cell r="A48" t="str">
            <v>67.5</v>
          </cell>
          <cell r="B48">
            <v>160</v>
          </cell>
          <cell r="C48" t="str">
            <v>Маклаков Алексей/92</v>
          </cell>
          <cell r="D48" t="str">
            <v>Екатеринбург</v>
          </cell>
          <cell r="E48" t="str">
            <v>08.02.2014</v>
          </cell>
          <cell r="F48" t="str">
            <v>Екатеринбург</v>
          </cell>
        </row>
        <row r="49">
          <cell r="A49">
            <v>75</v>
          </cell>
          <cell r="B49">
            <v>182.5</v>
          </cell>
          <cell r="C49" t="str">
            <v>Богданов Максим/92</v>
          </cell>
          <cell r="D49" t="str">
            <v>Москва</v>
          </cell>
          <cell r="E49" t="str">
            <v>22.08.2014</v>
          </cell>
          <cell r="F49" t="str">
            <v>Москва</v>
          </cell>
        </row>
        <row r="50">
          <cell r="A50" t="str">
            <v>82.5</v>
          </cell>
          <cell r="B50">
            <v>178</v>
          </cell>
          <cell r="C50" t="str">
            <v>Житомирский Евгений/92</v>
          </cell>
          <cell r="D50" t="str">
            <v>Клинцы</v>
          </cell>
          <cell r="E50" t="str">
            <v>22.08.2014</v>
          </cell>
          <cell r="F50" t="str">
            <v>Москва</v>
          </cell>
        </row>
        <row r="51">
          <cell r="A51">
            <v>90</v>
          </cell>
          <cell r="B51">
            <v>202.5</v>
          </cell>
          <cell r="C51" t="str">
            <v>Сапожонков Андрей/87</v>
          </cell>
          <cell r="D51" t="str">
            <v>Талдом</v>
          </cell>
          <cell r="E51">
            <v>40690</v>
          </cell>
          <cell r="F51" t="str">
            <v>Хотьково</v>
          </cell>
        </row>
        <row r="52">
          <cell r="A52">
            <v>100</v>
          </cell>
          <cell r="B52">
            <v>182.5</v>
          </cell>
          <cell r="C52" t="str">
            <v>Макаревич Евгений/87</v>
          </cell>
          <cell r="D52" t="str">
            <v>Долгопрудный</v>
          </cell>
          <cell r="E52">
            <v>40409</v>
          </cell>
          <cell r="F52" t="str">
            <v>Москва</v>
          </cell>
        </row>
        <row r="53">
          <cell r="A53">
            <v>110</v>
          </cell>
          <cell r="B53">
            <v>222.5</v>
          </cell>
          <cell r="C53" t="str">
            <v>Гребнев Денис/86</v>
          </cell>
          <cell r="D53" t="str">
            <v>Москва</v>
          </cell>
          <cell r="E53">
            <v>40214</v>
          </cell>
          <cell r="F53" t="str">
            <v>Красноармейск</v>
          </cell>
        </row>
        <row r="54">
          <cell r="A54">
            <v>125</v>
          </cell>
          <cell r="B54">
            <v>215</v>
          </cell>
          <cell r="C54" t="str">
            <v>Сербин Анатолий/90</v>
          </cell>
          <cell r="D54" t="str">
            <v>Люберцы</v>
          </cell>
          <cell r="E54">
            <v>41201</v>
          </cell>
          <cell r="F54" t="str">
            <v>Краснодар</v>
          </cell>
        </row>
        <row r="55">
          <cell r="A55">
            <v>140</v>
          </cell>
          <cell r="B55">
            <v>195</v>
          </cell>
          <cell r="C55" t="str">
            <v>Марачев Роман/88</v>
          </cell>
          <cell r="D55" t="str">
            <v>Москва</v>
          </cell>
          <cell r="E55">
            <v>40409</v>
          </cell>
          <cell r="F55" t="str">
            <v>Москва</v>
          </cell>
        </row>
        <row r="56">
          <cell r="A56" t="str">
            <v>140+</v>
          </cell>
          <cell r="B56">
            <v>175</v>
          </cell>
          <cell r="C56" t="str">
            <v>Мельников Владислав/91</v>
          </cell>
          <cell r="D56" t="str">
            <v>Кропоткин</v>
          </cell>
          <cell r="E56">
            <v>41567</v>
          </cell>
          <cell r="F56" t="str">
            <v>Краснодар</v>
          </cell>
        </row>
        <row r="57">
          <cell r="B57"/>
          <cell r="C57"/>
          <cell r="D57"/>
          <cell r="E57"/>
          <cell r="F57"/>
        </row>
        <row r="58">
          <cell r="B58" t="str">
            <v>МУЖЧИНЫ</v>
          </cell>
        </row>
        <row r="59">
          <cell r="A59">
            <v>52</v>
          </cell>
          <cell r="B59">
            <v>147.5</v>
          </cell>
          <cell r="C59" t="str">
            <v>Шанин Александр/78</v>
          </cell>
          <cell r="D59" t="str">
            <v>Алапаевск</v>
          </cell>
          <cell r="E59">
            <v>41608</v>
          </cell>
          <cell r="F59" t="str">
            <v>Екатеринбург</v>
          </cell>
        </row>
        <row r="60">
          <cell r="A60">
            <v>56</v>
          </cell>
          <cell r="B60">
            <v>155</v>
          </cell>
          <cell r="C60" t="str">
            <v>Каразия Сергей/87</v>
          </cell>
          <cell r="D60" t="str">
            <v>Серпухов</v>
          </cell>
          <cell r="E60" t="str">
            <v>23.08.2014</v>
          </cell>
          <cell r="F60" t="str">
            <v>Москва</v>
          </cell>
        </row>
        <row r="61">
          <cell r="A61">
            <v>60</v>
          </cell>
          <cell r="B61">
            <v>170.5</v>
          </cell>
          <cell r="C61" t="str">
            <v>Калайчев Янис/85</v>
          </cell>
          <cell r="D61" t="str">
            <v>Екатеринбург</v>
          </cell>
          <cell r="E61">
            <v>41503</v>
          </cell>
          <cell r="F61" t="str">
            <v>Новосибирск</v>
          </cell>
        </row>
        <row r="62">
          <cell r="A62" t="str">
            <v>67.5</v>
          </cell>
          <cell r="B62">
            <v>175</v>
          </cell>
          <cell r="C62" t="str">
            <v>Стеганцев Владислав/85</v>
          </cell>
          <cell r="D62" t="str">
            <v>Сысерть</v>
          </cell>
          <cell r="E62">
            <v>40814</v>
          </cell>
          <cell r="F62" t="str">
            <v>Екатеринбург</v>
          </cell>
        </row>
        <row r="63">
          <cell r="A63">
            <v>75</v>
          </cell>
          <cell r="B63">
            <v>195.5</v>
          </cell>
          <cell r="C63" t="str">
            <v>Милостной Станислав/78</v>
          </cell>
          <cell r="D63" t="str">
            <v>Курск</v>
          </cell>
          <cell r="E63">
            <v>40814</v>
          </cell>
          <cell r="F63" t="str">
            <v>Екатеринбург</v>
          </cell>
        </row>
        <row r="64">
          <cell r="A64" t="str">
            <v>82.5</v>
          </cell>
          <cell r="B64">
            <v>212.5</v>
          </cell>
          <cell r="C64" t="str">
            <v>Сапожонков Андрей/87</v>
          </cell>
          <cell r="D64" t="str">
            <v>Талдом</v>
          </cell>
          <cell r="E64" t="str">
            <v>23.08.2014</v>
          </cell>
          <cell r="F64" t="str">
            <v>Москва</v>
          </cell>
        </row>
        <row r="65">
          <cell r="A65">
            <v>90</v>
          </cell>
          <cell r="B65">
            <v>208</v>
          </cell>
          <cell r="C65" t="str">
            <v>Ревяко Александр/85</v>
          </cell>
          <cell r="D65" t="str">
            <v>Москва</v>
          </cell>
          <cell r="E65">
            <v>41439</v>
          </cell>
          <cell r="F65" t="str">
            <v>Москва</v>
          </cell>
        </row>
        <row r="66">
          <cell r="A66">
            <v>100</v>
          </cell>
          <cell r="B66">
            <v>232.5</v>
          </cell>
          <cell r="C66" t="str">
            <v>Филимонов Олег/87</v>
          </cell>
          <cell r="D66" t="str">
            <v>Волгоград</v>
          </cell>
          <cell r="E66" t="str">
            <v>23.08.2014</v>
          </cell>
          <cell r="F66" t="str">
            <v>Москва</v>
          </cell>
        </row>
        <row r="67">
          <cell r="A67">
            <v>110</v>
          </cell>
          <cell r="B67">
            <v>232.5</v>
          </cell>
          <cell r="C67" t="str">
            <v>Тенетко Дмитрий/75</v>
          </cell>
          <cell r="D67" t="str">
            <v>Москва</v>
          </cell>
          <cell r="E67" t="str">
            <v>23.08.2014</v>
          </cell>
          <cell r="F67" t="str">
            <v>Москва</v>
          </cell>
        </row>
        <row r="68">
          <cell r="A68">
            <v>125</v>
          </cell>
          <cell r="B68">
            <v>250</v>
          </cell>
          <cell r="C68" t="str">
            <v>Завгородний Андрей/81</v>
          </cell>
          <cell r="D68" t="str">
            <v>Москва</v>
          </cell>
          <cell r="E68">
            <v>41017</v>
          </cell>
          <cell r="F68" t="str">
            <v>Ростов</v>
          </cell>
        </row>
        <row r="69">
          <cell r="A69">
            <v>140</v>
          </cell>
          <cell r="B69">
            <v>250</v>
          </cell>
          <cell r="C69" t="str">
            <v>Гулян Артур/82</v>
          </cell>
          <cell r="D69" t="str">
            <v>Краснодар</v>
          </cell>
          <cell r="E69" t="str">
            <v>30.05.2014</v>
          </cell>
          <cell r="F69" t="str">
            <v>Курск</v>
          </cell>
        </row>
        <row r="70">
          <cell r="A70" t="str">
            <v>140+</v>
          </cell>
          <cell r="B70">
            <v>220</v>
          </cell>
          <cell r="C70" t="str">
            <v>Смирнов Юрий/71</v>
          </cell>
          <cell r="D70" t="str">
            <v>Ухта</v>
          </cell>
          <cell r="E70">
            <v>40088</v>
          </cell>
          <cell r="F70" t="str">
            <v>Ростов</v>
          </cell>
        </row>
        <row r="71">
          <cell r="B71"/>
          <cell r="C71"/>
          <cell r="D71"/>
          <cell r="E71"/>
          <cell r="F71"/>
        </row>
        <row r="72">
          <cell r="B72" t="str">
            <v>МУЖЧИНЫ - САБМАСТЕРС  (33 - 39)</v>
          </cell>
        </row>
        <row r="73">
          <cell r="A73">
            <v>52</v>
          </cell>
          <cell r="B73">
            <v>147.5</v>
          </cell>
          <cell r="C73" t="str">
            <v>Шанин Александр/78</v>
          </cell>
          <cell r="D73" t="str">
            <v>Алапаевск</v>
          </cell>
          <cell r="E73">
            <v>41608</v>
          </cell>
          <cell r="F73" t="str">
            <v>Екатеринбург</v>
          </cell>
        </row>
        <row r="74">
          <cell r="A74">
            <v>56</v>
          </cell>
          <cell r="B74">
            <v>127.5</v>
          </cell>
          <cell r="C74" t="str">
            <v>Артемьев Олег/71</v>
          </cell>
          <cell r="D74" t="str">
            <v>Глазов</v>
          </cell>
          <cell r="E74">
            <v>40088</v>
          </cell>
          <cell r="F74" t="str">
            <v>Ростов</v>
          </cell>
        </row>
        <row r="75">
          <cell r="A75">
            <v>60</v>
          </cell>
          <cell r="B75">
            <v>117.5</v>
          </cell>
          <cell r="C75" t="str">
            <v>Федоров Александр/76</v>
          </cell>
          <cell r="D75" t="str">
            <v>Шатурторф</v>
          </cell>
          <cell r="E75">
            <v>40409</v>
          </cell>
          <cell r="F75" t="str">
            <v>Москва</v>
          </cell>
        </row>
        <row r="76">
          <cell r="A76" t="str">
            <v>67.5</v>
          </cell>
          <cell r="B76">
            <v>162.5</v>
          </cell>
          <cell r="C76" t="str">
            <v>Александров Александр/79</v>
          </cell>
          <cell r="D76" t="str">
            <v>Змеиногорск</v>
          </cell>
          <cell r="E76">
            <v>41137</v>
          </cell>
          <cell r="F76" t="str">
            <v>Новосибирск</v>
          </cell>
        </row>
        <row r="77">
          <cell r="A77">
            <v>75</v>
          </cell>
          <cell r="B77">
            <v>180</v>
          </cell>
          <cell r="C77" t="str">
            <v>Бабин Илья/80</v>
          </cell>
          <cell r="D77" t="str">
            <v>Березники</v>
          </cell>
          <cell r="E77">
            <v>41619</v>
          </cell>
          <cell r="F77" t="str">
            <v>Курск</v>
          </cell>
        </row>
        <row r="78">
          <cell r="A78" t="str">
            <v>82.5</v>
          </cell>
          <cell r="B78">
            <v>186</v>
          </cell>
          <cell r="C78" t="str">
            <v>Вебер Михаил/71</v>
          </cell>
          <cell r="D78" t="str">
            <v>Ростов</v>
          </cell>
          <cell r="E78">
            <v>39528</v>
          </cell>
          <cell r="F78" t="str">
            <v>Ростов</v>
          </cell>
        </row>
        <row r="79">
          <cell r="A79">
            <v>90</v>
          </cell>
          <cell r="B79">
            <v>205</v>
          </cell>
          <cell r="C79" t="str">
            <v>Хараузов Алексей/73</v>
          </cell>
          <cell r="D79" t="str">
            <v>Лесной</v>
          </cell>
          <cell r="E79">
            <v>39528</v>
          </cell>
          <cell r="F79" t="str">
            <v>Ростов</v>
          </cell>
        </row>
        <row r="80">
          <cell r="A80">
            <v>100</v>
          </cell>
          <cell r="B80">
            <v>210</v>
          </cell>
          <cell r="C80" t="str">
            <v>Милованов Павел/77</v>
          </cell>
          <cell r="D80" t="str">
            <v>Москва</v>
          </cell>
          <cell r="E80" t="str">
            <v>23.08.2014</v>
          </cell>
          <cell r="F80" t="str">
            <v>Москва</v>
          </cell>
        </row>
        <row r="81">
          <cell r="A81">
            <v>110</v>
          </cell>
          <cell r="B81">
            <v>232.5</v>
          </cell>
          <cell r="C81" t="str">
            <v>Тенетко Дмитрий/75</v>
          </cell>
          <cell r="D81" t="str">
            <v>Москва</v>
          </cell>
          <cell r="E81" t="str">
            <v>23.08.2014</v>
          </cell>
          <cell r="F81" t="str">
            <v>Москва</v>
          </cell>
        </row>
        <row r="82">
          <cell r="A82">
            <v>125</v>
          </cell>
          <cell r="B82">
            <v>218</v>
          </cell>
          <cell r="C82" t="str">
            <v>Шаров Андрей/74</v>
          </cell>
          <cell r="D82" t="str">
            <v>Пермь</v>
          </cell>
          <cell r="E82" t="str">
            <v>16.02.2013</v>
          </cell>
          <cell r="F82" t="str">
            <v>Екатеринбург</v>
          </cell>
        </row>
        <row r="83">
          <cell r="A83">
            <v>140</v>
          </cell>
          <cell r="B83">
            <v>240</v>
          </cell>
          <cell r="C83" t="str">
            <v>Худяков Сергей/75</v>
          </cell>
          <cell r="D83" t="str">
            <v>Реж</v>
          </cell>
          <cell r="E83">
            <v>41321</v>
          </cell>
          <cell r="F83" t="str">
            <v>Екатеринбург</v>
          </cell>
        </row>
        <row r="84">
          <cell r="A84" t="str">
            <v>140+</v>
          </cell>
          <cell r="B84">
            <v>222.5</v>
          </cell>
          <cell r="C84" t="str">
            <v>Козырев Олег/75</v>
          </cell>
          <cell r="D84" t="str">
            <v>Волжский</v>
          </cell>
          <cell r="E84">
            <v>41017</v>
          </cell>
          <cell r="F84" t="str">
            <v>Ростов</v>
          </cell>
        </row>
        <row r="85">
          <cell r="B85"/>
          <cell r="C85"/>
          <cell r="D85"/>
          <cell r="E85"/>
          <cell r="F85"/>
        </row>
        <row r="86">
          <cell r="B86" t="str">
            <v>МУЖЧИНЫ - МАСТЕРС  1(40 - 44)</v>
          </cell>
        </row>
        <row r="87">
          <cell r="A87">
            <v>52</v>
          </cell>
          <cell r="B87"/>
          <cell r="C87"/>
          <cell r="D87"/>
          <cell r="E87"/>
          <cell r="F87"/>
        </row>
        <row r="88">
          <cell r="A88">
            <v>56</v>
          </cell>
          <cell r="B88">
            <v>117.5</v>
          </cell>
          <cell r="C88" t="str">
            <v>Артемьев Игорь/71</v>
          </cell>
          <cell r="D88" t="str">
            <v>Глазов</v>
          </cell>
          <cell r="E88">
            <v>41128</v>
          </cell>
          <cell r="F88" t="str">
            <v>Кривой Рог</v>
          </cell>
        </row>
        <row r="89">
          <cell r="A89">
            <v>60</v>
          </cell>
          <cell r="B89">
            <v>126</v>
          </cell>
          <cell r="C89" t="str">
            <v>Артемьев Олег/71</v>
          </cell>
          <cell r="D89" t="str">
            <v>Глазов</v>
          </cell>
          <cell r="E89" t="str">
            <v>23.08.2014</v>
          </cell>
          <cell r="F89" t="str">
            <v>Москва</v>
          </cell>
        </row>
        <row r="90">
          <cell r="A90">
            <v>67.5</v>
          </cell>
          <cell r="B90">
            <v>150</v>
          </cell>
          <cell r="C90" t="str">
            <v>Заболотнев Владимир/68</v>
          </cell>
          <cell r="D90" t="str">
            <v>Курган</v>
          </cell>
          <cell r="E90">
            <v>40640</v>
          </cell>
          <cell r="F90" t="str">
            <v>Челябинск</v>
          </cell>
        </row>
        <row r="91">
          <cell r="A91">
            <v>75</v>
          </cell>
          <cell r="B91">
            <v>170</v>
          </cell>
          <cell r="C91" t="str">
            <v>Щегольков Владимир/73</v>
          </cell>
          <cell r="D91" t="str">
            <v>Москва</v>
          </cell>
          <cell r="E91">
            <v>41497</v>
          </cell>
          <cell r="F91" t="str">
            <v>Курск</v>
          </cell>
        </row>
        <row r="92">
          <cell r="A92" t="str">
            <v>82.5</v>
          </cell>
          <cell r="B92">
            <v>205</v>
          </cell>
          <cell r="C92" t="str">
            <v>Меляев Эдуард/70</v>
          </cell>
          <cell r="D92" t="str">
            <v>Московская</v>
          </cell>
          <cell r="E92">
            <v>40814</v>
          </cell>
          <cell r="F92" t="str">
            <v>Екатеринбург</v>
          </cell>
        </row>
        <row r="93">
          <cell r="A93">
            <v>90</v>
          </cell>
          <cell r="B93">
            <v>207.5</v>
          </cell>
          <cell r="C93" t="str">
            <v>Галайда Андрей/72</v>
          </cell>
          <cell r="D93" t="str">
            <v>Екатеринбург</v>
          </cell>
          <cell r="E93" t="str">
            <v>23.08.2014</v>
          </cell>
          <cell r="F93" t="str">
            <v>Москва</v>
          </cell>
        </row>
        <row r="94">
          <cell r="A94">
            <v>100</v>
          </cell>
          <cell r="B94">
            <v>215</v>
          </cell>
          <cell r="C94" t="str">
            <v>Кошечкин Константин/73</v>
          </cell>
          <cell r="D94" t="str">
            <v>Волгоград</v>
          </cell>
          <cell r="E94" t="str">
            <v>23.08.2014</v>
          </cell>
          <cell r="F94" t="str">
            <v>Москва</v>
          </cell>
        </row>
        <row r="95">
          <cell r="A95">
            <v>110</v>
          </cell>
          <cell r="B95">
            <v>210</v>
          </cell>
          <cell r="C95" t="str">
            <v>Манцеров Сергей/70</v>
          </cell>
          <cell r="D95" t="str">
            <v>Ногинск</v>
          </cell>
          <cell r="E95" t="str">
            <v>23.08.2014</v>
          </cell>
          <cell r="F95" t="str">
            <v>Москва</v>
          </cell>
        </row>
        <row r="96">
          <cell r="A96">
            <v>125</v>
          </cell>
          <cell r="B96">
            <v>210</v>
          </cell>
          <cell r="C96" t="str">
            <v>Сибилев Евгений/70</v>
          </cell>
          <cell r="D96" t="str">
            <v xml:space="preserve">Ноябрьск </v>
          </cell>
          <cell r="E96">
            <v>41619</v>
          </cell>
          <cell r="F96" t="str">
            <v>Курск</v>
          </cell>
        </row>
        <row r="97">
          <cell r="A97">
            <v>140</v>
          </cell>
          <cell r="B97">
            <v>225</v>
          </cell>
          <cell r="C97" t="str">
            <v>Семенов Александр/66</v>
          </cell>
          <cell r="D97" t="str">
            <v>Москва</v>
          </cell>
          <cell r="E97">
            <v>39203</v>
          </cell>
          <cell r="F97" t="str">
            <v>Пушкино</v>
          </cell>
        </row>
        <row r="98">
          <cell r="A98" t="str">
            <v>140+</v>
          </cell>
          <cell r="B98">
            <v>220</v>
          </cell>
          <cell r="C98" t="str">
            <v>Карпов Станислав/71</v>
          </cell>
          <cell r="D98" t="str">
            <v>Климовск</v>
          </cell>
          <cell r="E98" t="str">
            <v>23.08.2014</v>
          </cell>
          <cell r="F98" t="str">
            <v>Москва</v>
          </cell>
        </row>
        <row r="99">
          <cell r="B99" t="str">
            <v>МУЖЧИНЫ - МАСТЕРС  2(45 - 49)</v>
          </cell>
        </row>
        <row r="100">
          <cell r="A100">
            <v>52</v>
          </cell>
          <cell r="B100">
            <v>95</v>
          </cell>
          <cell r="C100" t="str">
            <v>Кравцов Вячеслав/67</v>
          </cell>
          <cell r="D100" t="str">
            <v>Искитим</v>
          </cell>
          <cell r="E100">
            <v>41503</v>
          </cell>
          <cell r="F100" t="str">
            <v>Новосибирск</v>
          </cell>
        </row>
        <row r="101">
          <cell r="A101">
            <v>56</v>
          </cell>
          <cell r="B101"/>
          <cell r="C101"/>
          <cell r="D101"/>
          <cell r="E101"/>
          <cell r="F101"/>
        </row>
        <row r="102">
          <cell r="A102">
            <v>60</v>
          </cell>
          <cell r="B102">
            <v>102.5</v>
          </cell>
          <cell r="C102" t="str">
            <v>Двойников Олег/60</v>
          </cell>
          <cell r="D102" t="str">
            <v>Великий Устюг</v>
          </cell>
          <cell r="E102">
            <v>39871</v>
          </cell>
          <cell r="F102" t="str">
            <v>Челябинск</v>
          </cell>
        </row>
        <row r="103">
          <cell r="A103">
            <v>67.5</v>
          </cell>
          <cell r="B103">
            <v>130</v>
          </cell>
          <cell r="C103" t="str">
            <v>Максимов Александр/46</v>
          </cell>
          <cell r="D103"/>
          <cell r="E103">
            <v>39203</v>
          </cell>
          <cell r="F103" t="str">
            <v>Пушкино</v>
          </cell>
        </row>
        <row r="104">
          <cell r="A104">
            <v>75</v>
          </cell>
          <cell r="B104">
            <v>162.5</v>
          </cell>
          <cell r="C104" t="str">
            <v>Решетников Владимир/60</v>
          </cell>
          <cell r="D104" t="str">
            <v>Киров</v>
          </cell>
          <cell r="E104">
            <v>39528</v>
          </cell>
          <cell r="F104" t="str">
            <v>Ростов</v>
          </cell>
        </row>
        <row r="105">
          <cell r="A105" t="str">
            <v>82.5</v>
          </cell>
          <cell r="B105">
            <v>190.5</v>
          </cell>
          <cell r="C105" t="str">
            <v>Решетников Владимир/60</v>
          </cell>
          <cell r="D105" t="str">
            <v>Киров</v>
          </cell>
          <cell r="E105">
            <v>40088</v>
          </cell>
          <cell r="F105" t="str">
            <v>Ростов</v>
          </cell>
        </row>
        <row r="106">
          <cell r="A106">
            <v>90</v>
          </cell>
          <cell r="B106">
            <v>177.5</v>
          </cell>
          <cell r="C106" t="str">
            <v>Петров Александр/60</v>
          </cell>
          <cell r="D106" t="str">
            <v>Зеленоград</v>
          </cell>
          <cell r="E106">
            <v>40088</v>
          </cell>
          <cell r="F106" t="str">
            <v>Ростов</v>
          </cell>
        </row>
        <row r="107">
          <cell r="A107">
            <v>100</v>
          </cell>
          <cell r="B107">
            <v>180</v>
          </cell>
          <cell r="C107" t="str">
            <v>Вержановский Сергей/67</v>
          </cell>
          <cell r="D107" t="str">
            <v>Москва</v>
          </cell>
          <cell r="E107" t="str">
            <v>23.08.2014</v>
          </cell>
          <cell r="F107" t="str">
            <v>Москва</v>
          </cell>
        </row>
        <row r="108">
          <cell r="A108">
            <v>110</v>
          </cell>
          <cell r="B108">
            <v>192.5</v>
          </cell>
          <cell r="C108" t="str">
            <v>Велес Евгений/68</v>
          </cell>
          <cell r="D108" t="str">
            <v>Сходня</v>
          </cell>
          <cell r="E108" t="str">
            <v>23.08.2014</v>
          </cell>
          <cell r="F108" t="str">
            <v>Москва</v>
          </cell>
        </row>
        <row r="109">
          <cell r="A109">
            <v>125</v>
          </cell>
          <cell r="B109">
            <v>210</v>
          </cell>
          <cell r="C109" t="str">
            <v>Оглоблин Денис/67</v>
          </cell>
          <cell r="D109" t="str">
            <v>Москва</v>
          </cell>
          <cell r="E109">
            <v>41201</v>
          </cell>
          <cell r="F109" t="str">
            <v>Краснодар</v>
          </cell>
        </row>
        <row r="110">
          <cell r="A110">
            <v>140</v>
          </cell>
          <cell r="B110">
            <v>215</v>
          </cell>
          <cell r="C110" t="str">
            <v>Хуторов Игорь/63</v>
          </cell>
          <cell r="D110" t="str">
            <v>Шахты</v>
          </cell>
          <cell r="E110">
            <v>41368</v>
          </cell>
          <cell r="F110" t="str">
            <v>Краснодар</v>
          </cell>
        </row>
        <row r="111">
          <cell r="A111" t="str">
            <v>140+</v>
          </cell>
          <cell r="B111">
            <v>200</v>
          </cell>
          <cell r="C111" t="str">
            <v>Настека Игорь/64</v>
          </cell>
          <cell r="D111" t="str">
            <v>Саратов</v>
          </cell>
          <cell r="E111">
            <v>40409</v>
          </cell>
          <cell r="F111" t="str">
            <v>Москва</v>
          </cell>
        </row>
        <row r="112">
          <cell r="B112" t="str">
            <v>МУЖЧИНЫ - МАСТЕРС  3(50 - 54)</v>
          </cell>
        </row>
        <row r="113">
          <cell r="A113">
            <v>52</v>
          </cell>
          <cell r="B113"/>
          <cell r="C113"/>
          <cell r="D113"/>
          <cell r="E113"/>
          <cell r="F113"/>
        </row>
        <row r="114">
          <cell r="A114">
            <v>56</v>
          </cell>
          <cell r="B114">
            <v>102.5</v>
          </cell>
          <cell r="C114" t="str">
            <v>Ершов Виктор/60</v>
          </cell>
          <cell r="D114" t="str">
            <v>Петрозаводск</v>
          </cell>
          <cell r="E114">
            <v>41586</v>
          </cell>
          <cell r="F114" t="str">
            <v>Вологда</v>
          </cell>
        </row>
        <row r="115">
          <cell r="A115">
            <v>60</v>
          </cell>
          <cell r="B115">
            <v>100</v>
          </cell>
          <cell r="C115" t="str">
            <v>Двойников Олег/60</v>
          </cell>
          <cell r="D115" t="str">
            <v>Великий Устюг</v>
          </cell>
          <cell r="E115">
            <v>41720</v>
          </cell>
          <cell r="F115" t="str">
            <v>Вологда</v>
          </cell>
        </row>
        <row r="116">
          <cell r="A116" t="str">
            <v>67.5</v>
          </cell>
          <cell r="B116">
            <v>117.5</v>
          </cell>
          <cell r="C116" t="str">
            <v>Ким Сергей/57</v>
          </cell>
          <cell r="D116" t="str">
            <v>Дальнегорск</v>
          </cell>
          <cell r="E116">
            <v>40088</v>
          </cell>
          <cell r="F116" t="str">
            <v>Ростов</v>
          </cell>
        </row>
        <row r="117">
          <cell r="A117">
            <v>75</v>
          </cell>
          <cell r="B117">
            <v>155</v>
          </cell>
          <cell r="C117" t="str">
            <v>Татаркин Александр/55</v>
          </cell>
          <cell r="D117" t="str">
            <v>Белгород</v>
          </cell>
          <cell r="E117">
            <v>39794</v>
          </cell>
          <cell r="F117" t="str">
            <v>Курск</v>
          </cell>
        </row>
        <row r="118">
          <cell r="A118" t="str">
            <v>82.5</v>
          </cell>
          <cell r="B118">
            <v>185.5</v>
          </cell>
          <cell r="C118" t="str">
            <v>Решетников Владимир/60</v>
          </cell>
          <cell r="D118" t="str">
            <v>Киров</v>
          </cell>
          <cell r="E118">
            <v>40453</v>
          </cell>
          <cell r="F118" t="str">
            <v>Екатеринбург</v>
          </cell>
        </row>
        <row r="119">
          <cell r="A119">
            <v>90</v>
          </cell>
          <cell r="B119">
            <v>172.5</v>
          </cell>
          <cell r="C119" t="str">
            <v>Скворцов Леонид/62</v>
          </cell>
          <cell r="D119" t="str">
            <v>Брянск</v>
          </cell>
          <cell r="E119" t="str">
            <v>23.08.2014</v>
          </cell>
          <cell r="F119" t="str">
            <v>Москва</v>
          </cell>
        </row>
        <row r="120">
          <cell r="A120">
            <v>100</v>
          </cell>
          <cell r="B120">
            <v>200</v>
          </cell>
          <cell r="C120" t="str">
            <v>Лебедев Игорь/62</v>
          </cell>
          <cell r="D120" t="str">
            <v>Москва</v>
          </cell>
          <cell r="E120">
            <v>41619</v>
          </cell>
          <cell r="F120" t="str">
            <v>Курск</v>
          </cell>
        </row>
        <row r="121">
          <cell r="A121">
            <v>110</v>
          </cell>
          <cell r="B121">
            <v>210</v>
          </cell>
          <cell r="C121" t="str">
            <v>Лебедев Игорь/62</v>
          </cell>
          <cell r="D121" t="str">
            <v>Москва</v>
          </cell>
          <cell r="E121" t="str">
            <v>23.08.2014</v>
          </cell>
          <cell r="F121" t="str">
            <v>Москва</v>
          </cell>
        </row>
        <row r="122">
          <cell r="A122">
            <v>125</v>
          </cell>
          <cell r="B122">
            <v>192.5</v>
          </cell>
          <cell r="C122" t="str">
            <v>Зиганчин Игорь/60</v>
          </cell>
          <cell r="D122" t="str">
            <v>Москва</v>
          </cell>
          <cell r="E122">
            <v>40769</v>
          </cell>
          <cell r="F122" t="str">
            <v>Курск</v>
          </cell>
        </row>
        <row r="123">
          <cell r="A123">
            <v>140</v>
          </cell>
          <cell r="B123"/>
          <cell r="C123"/>
          <cell r="D123"/>
          <cell r="E123"/>
          <cell r="F123"/>
        </row>
        <row r="124">
          <cell r="A124" t="str">
            <v>140+</v>
          </cell>
          <cell r="B124">
            <v>185</v>
          </cell>
          <cell r="C124" t="str">
            <v>Настека Игорь/64</v>
          </cell>
          <cell r="D124" t="str">
            <v>Саратов</v>
          </cell>
          <cell r="E124" t="str">
            <v>23.08.2014</v>
          </cell>
          <cell r="F124" t="str">
            <v>Москва</v>
          </cell>
        </row>
        <row r="125">
          <cell r="B125" t="str">
            <v>МУЖЧИНЫ - МАСТЕРС  4(55 - 59)</v>
          </cell>
        </row>
        <row r="126">
          <cell r="A126">
            <v>52</v>
          </cell>
          <cell r="B126">
            <v>70</v>
          </cell>
          <cell r="C126" t="str">
            <v>Грачев Николай/56</v>
          </cell>
          <cell r="D126" t="str">
            <v>Липецк</v>
          </cell>
          <cell r="E126">
            <v>41368</v>
          </cell>
          <cell r="F126" t="str">
            <v>Краснодар</v>
          </cell>
        </row>
        <row r="127">
          <cell r="A127">
            <v>56</v>
          </cell>
          <cell r="B127"/>
          <cell r="C127"/>
          <cell r="D127"/>
          <cell r="E127"/>
          <cell r="F127"/>
        </row>
        <row r="128">
          <cell r="A128">
            <v>60</v>
          </cell>
          <cell r="B128"/>
          <cell r="C128"/>
          <cell r="D128"/>
          <cell r="E128"/>
          <cell r="F128"/>
        </row>
        <row r="129">
          <cell r="A129">
            <v>67.5</v>
          </cell>
          <cell r="B129">
            <v>87.5</v>
          </cell>
          <cell r="C129" t="str">
            <v>Вильчицкий Анатолий/55</v>
          </cell>
          <cell r="D129" t="str">
            <v>Вологда</v>
          </cell>
          <cell r="E129">
            <v>41586</v>
          </cell>
          <cell r="F129" t="str">
            <v>Вологда</v>
          </cell>
        </row>
        <row r="130">
          <cell r="A130">
            <v>75</v>
          </cell>
          <cell r="B130">
            <v>140</v>
          </cell>
          <cell r="C130" t="str">
            <v>Новиков Олег/56</v>
          </cell>
          <cell r="D130" t="str">
            <v>Зеленоград</v>
          </cell>
          <cell r="E130" t="str">
            <v>23.08.2014</v>
          </cell>
          <cell r="F130" t="str">
            <v>Москва</v>
          </cell>
        </row>
        <row r="131">
          <cell r="A131" t="str">
            <v>82.5</v>
          </cell>
          <cell r="B131">
            <v>152.5</v>
          </cell>
          <cell r="C131" t="str">
            <v>Ковалев Игорь/57</v>
          </cell>
          <cell r="D131" t="str">
            <v>Москва</v>
          </cell>
          <cell r="E131">
            <v>41439</v>
          </cell>
          <cell r="F131" t="str">
            <v>Москва</v>
          </cell>
        </row>
        <row r="132">
          <cell r="A132">
            <v>90</v>
          </cell>
          <cell r="B132">
            <v>155</v>
          </cell>
          <cell r="C132" t="str">
            <v>Зверев Николай/56</v>
          </cell>
          <cell r="D132"/>
          <cell r="E132">
            <v>40814</v>
          </cell>
          <cell r="F132" t="str">
            <v>Екатеринбург</v>
          </cell>
        </row>
        <row r="133">
          <cell r="A133">
            <v>100</v>
          </cell>
          <cell r="B133">
            <v>172.5</v>
          </cell>
          <cell r="C133" t="str">
            <v>Кузеев Дамир/52</v>
          </cell>
          <cell r="D133" t="str">
            <v>Североморск</v>
          </cell>
          <cell r="E133">
            <v>40088</v>
          </cell>
          <cell r="F133" t="str">
            <v>Ростов</v>
          </cell>
        </row>
        <row r="134">
          <cell r="A134">
            <v>110</v>
          </cell>
          <cell r="B134">
            <v>180</v>
          </cell>
          <cell r="C134" t="str">
            <v>Егозарьян Грачик/52</v>
          </cell>
          <cell r="D134" t="str">
            <v>Волгоград</v>
          </cell>
          <cell r="E134">
            <v>40088</v>
          </cell>
          <cell r="F134" t="str">
            <v>Ростов</v>
          </cell>
        </row>
        <row r="135">
          <cell r="A135">
            <v>125</v>
          </cell>
          <cell r="B135">
            <v>165</v>
          </cell>
          <cell r="C135" t="str">
            <v>Чуба Роман/54</v>
          </cell>
          <cell r="D135" t="str">
            <v>Воркута</v>
          </cell>
          <cell r="E135">
            <v>41067</v>
          </cell>
          <cell r="F135" t="str">
            <v>Москва</v>
          </cell>
        </row>
        <row r="136">
          <cell r="A136">
            <v>140</v>
          </cell>
          <cell r="B136"/>
          <cell r="C136"/>
          <cell r="D136"/>
          <cell r="E136"/>
          <cell r="F136"/>
        </row>
        <row r="137">
          <cell r="A137" t="str">
            <v>140+</v>
          </cell>
          <cell r="B137"/>
          <cell r="C137"/>
          <cell r="D137"/>
          <cell r="E137"/>
          <cell r="F137"/>
        </row>
        <row r="138">
          <cell r="B138" t="str">
            <v>МУЖЧИНЫ - МАСТЕРС  5(60 - 64)</v>
          </cell>
        </row>
        <row r="139">
          <cell r="A139">
            <v>52</v>
          </cell>
          <cell r="B139"/>
          <cell r="C139"/>
          <cell r="D139"/>
          <cell r="E139"/>
          <cell r="F139"/>
        </row>
        <row r="140">
          <cell r="A140">
            <v>56</v>
          </cell>
          <cell r="B140"/>
          <cell r="C140"/>
          <cell r="D140"/>
          <cell r="E140"/>
          <cell r="F140"/>
        </row>
        <row r="141">
          <cell r="A141">
            <v>60</v>
          </cell>
          <cell r="B141"/>
          <cell r="C141"/>
          <cell r="D141"/>
          <cell r="E141"/>
          <cell r="F141"/>
        </row>
        <row r="142">
          <cell r="A142">
            <v>67.5</v>
          </cell>
          <cell r="B142">
            <v>100</v>
          </cell>
          <cell r="C142" t="str">
            <v>Баев Валерий/51</v>
          </cell>
          <cell r="D142" t="str">
            <v>Омск</v>
          </cell>
          <cell r="E142">
            <v>41501</v>
          </cell>
          <cell r="F142" t="str">
            <v>Новосибирск</v>
          </cell>
        </row>
        <row r="143">
          <cell r="A143">
            <v>75</v>
          </cell>
          <cell r="B143">
            <v>140</v>
          </cell>
          <cell r="C143" t="str">
            <v>Папушой Виктор/53</v>
          </cell>
          <cell r="D143" t="str">
            <v>Череповец</v>
          </cell>
          <cell r="E143" t="str">
            <v>23.08.2014</v>
          </cell>
          <cell r="F143" t="str">
            <v>Москва</v>
          </cell>
        </row>
        <row r="144">
          <cell r="A144">
            <v>82.5</v>
          </cell>
          <cell r="B144">
            <v>140</v>
          </cell>
          <cell r="C144" t="str">
            <v>Цориев Эльдар/46</v>
          </cell>
          <cell r="D144" t="str">
            <v>Екатеринбург</v>
          </cell>
          <cell r="E144">
            <v>40088</v>
          </cell>
          <cell r="F144" t="str">
            <v>Ростов</v>
          </cell>
        </row>
        <row r="145">
          <cell r="A145">
            <v>90</v>
          </cell>
          <cell r="B145">
            <v>160</v>
          </cell>
          <cell r="C145" t="str">
            <v>Станчак Вячеслав/52</v>
          </cell>
          <cell r="D145" t="str">
            <v>Москва</v>
          </cell>
          <cell r="E145" t="str">
            <v>23.08.2014</v>
          </cell>
          <cell r="F145" t="str">
            <v>Москва</v>
          </cell>
        </row>
        <row r="146">
          <cell r="A146">
            <v>100</v>
          </cell>
          <cell r="B146">
            <v>150</v>
          </cell>
          <cell r="C146" t="str">
            <v>Калинин Григорий/50</v>
          </cell>
          <cell r="D146" t="str">
            <v>Братск</v>
          </cell>
          <cell r="E146">
            <v>41137</v>
          </cell>
          <cell r="F146" t="str">
            <v>Новосибирск</v>
          </cell>
        </row>
        <row r="147">
          <cell r="A147">
            <v>110</v>
          </cell>
          <cell r="B147">
            <v>160</v>
          </cell>
          <cell r="C147" t="str">
            <v>Пауесов Анатолий/53</v>
          </cell>
          <cell r="D147" t="str">
            <v>Сергиев Посад</v>
          </cell>
          <cell r="E147" t="str">
            <v>23.08.2014</v>
          </cell>
          <cell r="F147" t="str">
            <v>Москва</v>
          </cell>
        </row>
        <row r="148">
          <cell r="A148">
            <v>125</v>
          </cell>
          <cell r="B148">
            <v>180</v>
          </cell>
          <cell r="C148" t="str">
            <v>Егозарьян Грачик/52</v>
          </cell>
          <cell r="D148" t="str">
            <v>Волгоград</v>
          </cell>
          <cell r="E148" t="str">
            <v>23.08.2014</v>
          </cell>
          <cell r="F148" t="str">
            <v>Москва</v>
          </cell>
        </row>
        <row r="149">
          <cell r="A149">
            <v>140</v>
          </cell>
          <cell r="B149"/>
          <cell r="C149"/>
          <cell r="D149"/>
          <cell r="E149"/>
          <cell r="F149"/>
        </row>
        <row r="150">
          <cell r="A150" t="str">
            <v>140+</v>
          </cell>
          <cell r="B150"/>
          <cell r="C150"/>
          <cell r="D150"/>
          <cell r="E150"/>
          <cell r="F150"/>
        </row>
        <row r="151">
          <cell r="B151" t="str">
            <v>МУЖЧИНЫ - МАСТЕРС  6(65 - 69)</v>
          </cell>
        </row>
        <row r="152">
          <cell r="A152">
            <v>52</v>
          </cell>
          <cell r="B152"/>
          <cell r="C152"/>
          <cell r="D152"/>
          <cell r="E152"/>
          <cell r="F152"/>
        </row>
        <row r="153">
          <cell r="A153">
            <v>56</v>
          </cell>
          <cell r="B153"/>
          <cell r="C153"/>
          <cell r="D153"/>
          <cell r="E153"/>
          <cell r="F153"/>
        </row>
        <row r="154">
          <cell r="A154">
            <v>60</v>
          </cell>
          <cell r="B154"/>
          <cell r="C154"/>
          <cell r="D154"/>
          <cell r="E154"/>
          <cell r="F154"/>
        </row>
        <row r="155">
          <cell r="A155">
            <v>67.5</v>
          </cell>
          <cell r="B155">
            <v>87.5</v>
          </cell>
          <cell r="C155" t="str">
            <v>Баранов Валерий/40</v>
          </cell>
          <cell r="D155" t="str">
            <v>Березники</v>
          </cell>
          <cell r="E155">
            <v>40453</v>
          </cell>
          <cell r="F155" t="str">
            <v>Екатеринбург</v>
          </cell>
        </row>
        <row r="156">
          <cell r="A156">
            <v>75</v>
          </cell>
          <cell r="B156">
            <v>127.5</v>
          </cell>
          <cell r="C156" t="str">
            <v>Петухов Евгений/38</v>
          </cell>
          <cell r="D156" t="str">
            <v>Екатеринбург</v>
          </cell>
          <cell r="E156">
            <v>39123</v>
          </cell>
          <cell r="F156" t="str">
            <v>Челябинск</v>
          </cell>
        </row>
        <row r="157">
          <cell r="A157" t="str">
            <v>82.5</v>
          </cell>
          <cell r="B157">
            <v>135</v>
          </cell>
          <cell r="C157" t="str">
            <v>Цориев Эльдар/46</v>
          </cell>
          <cell r="D157" t="str">
            <v>Екатеринбург</v>
          </cell>
          <cell r="E157">
            <v>40983</v>
          </cell>
          <cell r="F157" t="str">
            <v>Екатеринбург</v>
          </cell>
        </row>
        <row r="158">
          <cell r="A158">
            <v>90</v>
          </cell>
          <cell r="B158">
            <v>140</v>
          </cell>
          <cell r="C158" t="str">
            <v>Хуснетдинов Амир/48</v>
          </cell>
          <cell r="D158" t="str">
            <v>Москва</v>
          </cell>
          <cell r="E158" t="str">
            <v>23.08.2014</v>
          </cell>
          <cell r="F158" t="str">
            <v>Москва</v>
          </cell>
        </row>
        <row r="159">
          <cell r="A159">
            <v>100</v>
          </cell>
          <cell r="B159">
            <v>120</v>
          </cell>
          <cell r="C159" t="str">
            <v>Ляхов Василий/48</v>
          </cell>
          <cell r="D159" t="str">
            <v>Череповец</v>
          </cell>
          <cell r="E159" t="str">
            <v>08.11.2013</v>
          </cell>
          <cell r="F159" t="str">
            <v>Вологда</v>
          </cell>
        </row>
        <row r="160">
          <cell r="A160">
            <v>110</v>
          </cell>
          <cell r="B160">
            <v>130</v>
          </cell>
          <cell r="C160" t="str">
            <v>Кожаринов Евгений/45</v>
          </cell>
          <cell r="D160" t="str">
            <v>Псков</v>
          </cell>
          <cell r="E160" t="str">
            <v>30.05.2014</v>
          </cell>
          <cell r="F160" t="str">
            <v>Курск</v>
          </cell>
        </row>
        <row r="161">
          <cell r="A161">
            <v>125</v>
          </cell>
          <cell r="B161">
            <v>130</v>
          </cell>
          <cell r="C161" t="str">
            <v>Чернышов Владимир/48</v>
          </cell>
          <cell r="D161" t="str">
            <v>Липецк</v>
          </cell>
          <cell r="E161" t="str">
            <v>19.04.2014</v>
          </cell>
          <cell r="F161" t="str">
            <v>Краснодар</v>
          </cell>
        </row>
        <row r="162">
          <cell r="A162">
            <v>140</v>
          </cell>
          <cell r="B162"/>
          <cell r="C162"/>
          <cell r="D162"/>
          <cell r="E162"/>
          <cell r="F162"/>
        </row>
        <row r="163">
          <cell r="A163" t="str">
            <v>140+</v>
          </cell>
          <cell r="B163"/>
          <cell r="C163"/>
          <cell r="D163"/>
          <cell r="E163"/>
          <cell r="F163"/>
        </row>
        <row r="164">
          <cell r="B164" t="str">
            <v>МУЖЧИНЫ - МАСТЕРС  7(70 - 74)</v>
          </cell>
        </row>
        <row r="165">
          <cell r="A165">
            <v>52</v>
          </cell>
          <cell r="B165"/>
          <cell r="C165"/>
          <cell r="D165"/>
          <cell r="E165"/>
          <cell r="F165"/>
        </row>
        <row r="166">
          <cell r="A166">
            <v>56</v>
          </cell>
          <cell r="B166"/>
          <cell r="C166"/>
          <cell r="D166"/>
          <cell r="E166"/>
          <cell r="F166"/>
        </row>
        <row r="167">
          <cell r="A167">
            <v>60</v>
          </cell>
          <cell r="B167"/>
          <cell r="C167"/>
          <cell r="D167"/>
          <cell r="E167"/>
          <cell r="F167"/>
        </row>
        <row r="168">
          <cell r="A168">
            <v>67.5</v>
          </cell>
          <cell r="B168">
            <v>95</v>
          </cell>
          <cell r="C168" t="str">
            <v>Ким Мирон/41</v>
          </cell>
          <cell r="D168" t="str">
            <v>Москва</v>
          </cell>
          <cell r="E168">
            <v>41439</v>
          </cell>
          <cell r="F168" t="str">
            <v>Москва</v>
          </cell>
        </row>
        <row r="169">
          <cell r="A169">
            <v>75</v>
          </cell>
          <cell r="B169">
            <v>110</v>
          </cell>
          <cell r="C169" t="str">
            <v>Барабанов Герман/40</v>
          </cell>
          <cell r="D169" t="str">
            <v>Кимры</v>
          </cell>
          <cell r="E169">
            <v>41439</v>
          </cell>
          <cell r="F169" t="str">
            <v>Москва</v>
          </cell>
        </row>
        <row r="170">
          <cell r="A170">
            <v>82.5</v>
          </cell>
          <cell r="B170">
            <v>117.5</v>
          </cell>
          <cell r="C170" t="str">
            <v>Барабанов Герман/40</v>
          </cell>
          <cell r="D170" t="str">
            <v>Дубна</v>
          </cell>
          <cell r="E170" t="str">
            <v>23.08.2014</v>
          </cell>
          <cell r="F170" t="str">
            <v>Москва</v>
          </cell>
        </row>
        <row r="171">
          <cell r="A171">
            <v>90</v>
          </cell>
          <cell r="B171">
            <v>120</v>
          </cell>
          <cell r="C171" t="str">
            <v>Малышев Владимир/36</v>
          </cell>
          <cell r="D171" t="str">
            <v>Калуга</v>
          </cell>
          <cell r="E171">
            <v>39123</v>
          </cell>
          <cell r="F171" t="str">
            <v>Челябинск</v>
          </cell>
        </row>
        <row r="172">
          <cell r="A172">
            <v>100</v>
          </cell>
          <cell r="B172"/>
          <cell r="C172"/>
          <cell r="D172"/>
          <cell r="E172"/>
          <cell r="F172"/>
        </row>
        <row r="173">
          <cell r="A173">
            <v>110</v>
          </cell>
          <cell r="B173"/>
          <cell r="C173"/>
          <cell r="D173"/>
          <cell r="E173"/>
          <cell r="F173"/>
        </row>
        <row r="174">
          <cell r="A174">
            <v>125</v>
          </cell>
          <cell r="B174">
            <v>140</v>
          </cell>
          <cell r="C174" t="str">
            <v>Дмитриев Евгений/40</v>
          </cell>
          <cell r="D174" t="str">
            <v>Сергиев Посад</v>
          </cell>
          <cell r="E174" t="str">
            <v>23.08.2014</v>
          </cell>
          <cell r="F174" t="str">
            <v>Москва</v>
          </cell>
        </row>
        <row r="175">
          <cell r="A175">
            <v>140</v>
          </cell>
          <cell r="B175"/>
          <cell r="C175"/>
          <cell r="D175"/>
          <cell r="E175"/>
          <cell r="F175"/>
        </row>
        <row r="176">
          <cell r="A176" t="str">
            <v>140+</v>
          </cell>
          <cell r="B176"/>
          <cell r="C176"/>
          <cell r="D176"/>
          <cell r="E176"/>
          <cell r="F176"/>
        </row>
        <row r="177">
          <cell r="B177" t="str">
            <v>МУЖЧИНЫ - МАСТЕРС  8(75 - 79)</v>
          </cell>
        </row>
        <row r="178">
          <cell r="A178">
            <v>52</v>
          </cell>
          <cell r="B178"/>
          <cell r="C178"/>
          <cell r="D178"/>
          <cell r="E178"/>
          <cell r="F178"/>
        </row>
        <row r="179">
          <cell r="A179">
            <v>56</v>
          </cell>
          <cell r="B179"/>
          <cell r="C179"/>
          <cell r="D179"/>
          <cell r="E179"/>
          <cell r="F179"/>
        </row>
        <row r="180">
          <cell r="A180">
            <v>60</v>
          </cell>
          <cell r="B180"/>
          <cell r="C180"/>
          <cell r="D180"/>
          <cell r="E180"/>
          <cell r="F180"/>
        </row>
        <row r="181">
          <cell r="A181">
            <v>67.5</v>
          </cell>
          <cell r="B181"/>
          <cell r="C181"/>
          <cell r="D181"/>
          <cell r="E181"/>
          <cell r="F181"/>
        </row>
        <row r="182">
          <cell r="A182">
            <v>75</v>
          </cell>
          <cell r="B182">
            <v>90</v>
          </cell>
          <cell r="C182" t="str">
            <v>Переладов Геннадий/36</v>
          </cell>
          <cell r="D182" t="str">
            <v>Среднеуральск</v>
          </cell>
          <cell r="E182">
            <v>41321</v>
          </cell>
          <cell r="F182" t="str">
            <v>Екатеринбург</v>
          </cell>
        </row>
        <row r="183">
          <cell r="A183">
            <v>82.5</v>
          </cell>
          <cell r="B183">
            <v>100</v>
          </cell>
          <cell r="C183" t="str">
            <v>Пужаев Николай/35</v>
          </cell>
          <cell r="D183" t="str">
            <v xml:space="preserve">Асбест </v>
          </cell>
          <cell r="E183">
            <v>40983</v>
          </cell>
          <cell r="F183" t="str">
            <v>Екатеринбург</v>
          </cell>
        </row>
        <row r="184">
          <cell r="A184">
            <v>90</v>
          </cell>
          <cell r="B184">
            <v>110</v>
          </cell>
          <cell r="C184" t="str">
            <v>Новиков Николай/38</v>
          </cell>
          <cell r="D184" t="str">
            <v>Нахабино</v>
          </cell>
          <cell r="E184">
            <v>41619</v>
          </cell>
          <cell r="F184" t="str">
            <v>Курск</v>
          </cell>
        </row>
        <row r="185">
          <cell r="A185">
            <v>100</v>
          </cell>
          <cell r="B185"/>
          <cell r="C185"/>
          <cell r="D185"/>
          <cell r="E185"/>
          <cell r="F185"/>
        </row>
        <row r="186">
          <cell r="A186">
            <v>110</v>
          </cell>
          <cell r="B186"/>
          <cell r="C186"/>
          <cell r="D186"/>
          <cell r="E186"/>
          <cell r="F186"/>
        </row>
        <row r="187">
          <cell r="A187">
            <v>125</v>
          </cell>
          <cell r="B187"/>
          <cell r="C187"/>
          <cell r="D187"/>
          <cell r="E187"/>
          <cell r="F187"/>
        </row>
        <row r="188">
          <cell r="A188">
            <v>140</v>
          </cell>
          <cell r="B188"/>
          <cell r="C188"/>
          <cell r="D188"/>
          <cell r="E188"/>
          <cell r="F188"/>
        </row>
        <row r="189">
          <cell r="A189" t="str">
            <v>140+</v>
          </cell>
          <cell r="B189"/>
          <cell r="C189"/>
          <cell r="D189"/>
          <cell r="E189"/>
          <cell r="F189"/>
        </row>
        <row r="190">
          <cell r="B190" t="str">
            <v>МУЖЧИНЫ - МАСТЕРС  9(80 - 84)</v>
          </cell>
        </row>
        <row r="191">
          <cell r="A191">
            <v>52</v>
          </cell>
          <cell r="B191"/>
          <cell r="C191"/>
          <cell r="D191"/>
          <cell r="E191"/>
          <cell r="F191"/>
        </row>
        <row r="192">
          <cell r="A192">
            <v>56</v>
          </cell>
          <cell r="B192"/>
          <cell r="C192"/>
          <cell r="D192"/>
          <cell r="E192"/>
          <cell r="F192"/>
        </row>
        <row r="193">
          <cell r="A193">
            <v>60</v>
          </cell>
          <cell r="B193"/>
          <cell r="C193"/>
          <cell r="D193"/>
          <cell r="E193"/>
          <cell r="F193"/>
        </row>
        <row r="194">
          <cell r="A194">
            <v>67.5</v>
          </cell>
          <cell r="B194">
            <v>62.5</v>
          </cell>
          <cell r="C194" t="str">
            <v>Гиниятуллин Гарифулла/32</v>
          </cell>
          <cell r="D194" t="str">
            <v>Екатеринбург</v>
          </cell>
          <cell r="E194">
            <v>41608</v>
          </cell>
          <cell r="F194" t="str">
            <v>Екатеринбург</v>
          </cell>
        </row>
        <row r="195">
          <cell r="A195">
            <v>75</v>
          </cell>
          <cell r="B195"/>
          <cell r="C195"/>
          <cell r="D195"/>
          <cell r="E195"/>
          <cell r="F195"/>
        </row>
        <row r="196">
          <cell r="A196">
            <v>82.5</v>
          </cell>
          <cell r="B196">
            <v>97.5</v>
          </cell>
          <cell r="C196" t="str">
            <v>Шункин Николай/31</v>
          </cell>
          <cell r="D196" t="str">
            <v>Москва</v>
          </cell>
          <cell r="E196">
            <v>41067</v>
          </cell>
          <cell r="F196" t="str">
            <v>Москва</v>
          </cell>
        </row>
        <row r="197">
          <cell r="A197">
            <v>90</v>
          </cell>
          <cell r="B197"/>
          <cell r="C197"/>
          <cell r="D197"/>
          <cell r="E197"/>
          <cell r="F197"/>
        </row>
        <row r="198">
          <cell r="A198">
            <v>100</v>
          </cell>
          <cell r="B198"/>
          <cell r="C198"/>
          <cell r="D198"/>
          <cell r="E198"/>
          <cell r="F198"/>
        </row>
        <row r="199">
          <cell r="A199">
            <v>110</v>
          </cell>
          <cell r="B199"/>
          <cell r="C199"/>
          <cell r="D199"/>
          <cell r="E199"/>
          <cell r="F199"/>
        </row>
        <row r="200">
          <cell r="A200">
            <v>125</v>
          </cell>
          <cell r="B200"/>
          <cell r="C200"/>
          <cell r="D200"/>
          <cell r="E200"/>
          <cell r="F200"/>
        </row>
        <row r="201">
          <cell r="A201">
            <v>140</v>
          </cell>
          <cell r="B201"/>
          <cell r="C201"/>
          <cell r="D201"/>
          <cell r="E201"/>
          <cell r="F201"/>
        </row>
        <row r="202">
          <cell r="A202" t="str">
            <v>140+</v>
          </cell>
          <cell r="B202"/>
          <cell r="C202"/>
          <cell r="D202"/>
          <cell r="E202"/>
          <cell r="F202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men"/>
      <sheetName val="men"/>
    </sheetNames>
    <sheetDataSet>
      <sheetData sheetId="0">
        <row r="2">
          <cell r="D2" t="str">
            <v xml:space="preserve"> </v>
          </cell>
          <cell r="E2" t="str">
            <v xml:space="preserve"> </v>
          </cell>
          <cell r="F2" t="str">
            <v xml:space="preserve"> </v>
          </cell>
          <cell r="G2" t="str">
            <v xml:space="preserve"> </v>
          </cell>
          <cell r="H2" t="str">
            <v xml:space="preserve"> </v>
          </cell>
        </row>
        <row r="3">
          <cell r="A3">
            <v>44</v>
          </cell>
          <cell r="B3">
            <v>77.5</v>
          </cell>
          <cell r="C3" t="str">
            <v>Murasheva,Yuliya</v>
          </cell>
          <cell r="D3">
            <v>70</v>
          </cell>
          <cell r="E3" t="str">
            <v>RUS</v>
          </cell>
          <cell r="F3" t="str">
            <v>22.08.2014</v>
          </cell>
          <cell r="G3" t="str">
            <v>Moscow</v>
          </cell>
          <cell r="H3" t="str">
            <v xml:space="preserve"> </v>
          </cell>
        </row>
        <row r="4">
          <cell r="A4">
            <v>48</v>
          </cell>
          <cell r="B4">
            <v>80</v>
          </cell>
          <cell r="C4" t="str">
            <v>Ber Natalya</v>
          </cell>
          <cell r="D4">
            <v>81</v>
          </cell>
          <cell r="E4" t="str">
            <v>RUS</v>
          </cell>
          <cell r="F4" t="str">
            <v>08.02.2014</v>
          </cell>
          <cell r="G4" t="str">
            <v>Yekaterinbourg</v>
          </cell>
          <cell r="H4" t="str">
            <v xml:space="preserve"> </v>
          </cell>
        </row>
        <row r="5">
          <cell r="A5">
            <v>52</v>
          </cell>
          <cell r="B5">
            <v>90.5</v>
          </cell>
          <cell r="C5" t="str">
            <v>Kadatska,Anna</v>
          </cell>
          <cell r="D5">
            <v>77</v>
          </cell>
          <cell r="E5" t="str">
            <v>UKR</v>
          </cell>
          <cell r="F5">
            <v>41128</v>
          </cell>
          <cell r="G5" t="str">
            <v>Kryvyi Rig</v>
          </cell>
          <cell r="H5" t="str">
            <v xml:space="preserve"> </v>
          </cell>
        </row>
        <row r="6">
          <cell r="A6">
            <v>56</v>
          </cell>
          <cell r="B6">
            <v>105</v>
          </cell>
          <cell r="C6" t="str">
            <v>Konovalova, Natalya</v>
          </cell>
          <cell r="D6">
            <v>74</v>
          </cell>
          <cell r="E6" t="str">
            <v>RUS</v>
          </cell>
          <cell r="F6">
            <v>40814</v>
          </cell>
          <cell r="G6" t="str">
            <v>Yekaterinbourg</v>
          </cell>
          <cell r="H6" t="str">
            <v xml:space="preserve"> </v>
          </cell>
        </row>
        <row r="7">
          <cell r="A7">
            <v>60</v>
          </cell>
          <cell r="B7">
            <v>105</v>
          </cell>
          <cell r="C7" t="str">
            <v>Vlasova Nadezhda</v>
          </cell>
          <cell r="D7">
            <v>82</v>
          </cell>
          <cell r="E7" t="str">
            <v>RUS</v>
          </cell>
          <cell r="F7" t="str">
            <v>22.08.2014</v>
          </cell>
          <cell r="G7" t="str">
            <v>Moscow</v>
          </cell>
          <cell r="H7" t="str">
            <v xml:space="preserve"> </v>
          </cell>
        </row>
        <row r="8">
          <cell r="A8">
            <v>67.5</v>
          </cell>
          <cell r="B8">
            <v>100</v>
          </cell>
          <cell r="C8" t="str">
            <v>Timoshina Anastasiya</v>
          </cell>
          <cell r="D8">
            <v>84</v>
          </cell>
          <cell r="E8" t="str">
            <v>RUS</v>
          </cell>
          <cell r="F8" t="str">
            <v>22.08.2014</v>
          </cell>
          <cell r="G8" t="str">
            <v>Moscow</v>
          </cell>
          <cell r="H8" t="str">
            <v xml:space="preserve"> </v>
          </cell>
        </row>
        <row r="9">
          <cell r="A9">
            <v>75</v>
          </cell>
          <cell r="B9">
            <v>110</v>
          </cell>
          <cell r="C9" t="str">
            <v>Vorobyova Regina</v>
          </cell>
          <cell r="D9">
            <v>80</v>
          </cell>
          <cell r="E9" t="str">
            <v>RUS</v>
          </cell>
          <cell r="F9">
            <v>41496</v>
          </cell>
          <cell r="G9" t="str">
            <v>Kursk</v>
          </cell>
          <cell r="H9" t="str">
            <v xml:space="preserve"> </v>
          </cell>
        </row>
        <row r="10">
          <cell r="A10">
            <v>82.5</v>
          </cell>
          <cell r="B10">
            <v>105</v>
          </cell>
          <cell r="C10" t="str">
            <v>Pugovkina Alla</v>
          </cell>
          <cell r="D10">
            <v>75</v>
          </cell>
          <cell r="E10" t="str">
            <v>RUS</v>
          </cell>
          <cell r="F10" t="str">
            <v>22.08.2014</v>
          </cell>
          <cell r="G10" t="str">
            <v>Moscow</v>
          </cell>
          <cell r="H10" t="str">
            <v xml:space="preserve"> </v>
          </cell>
        </row>
        <row r="11">
          <cell r="A11">
            <v>90</v>
          </cell>
          <cell r="B11">
            <v>102.5</v>
          </cell>
          <cell r="C11" t="str">
            <v>Kibalina, Tatyana</v>
          </cell>
          <cell r="D11">
            <v>74</v>
          </cell>
          <cell r="E11" t="str">
            <v>RUS</v>
          </cell>
          <cell r="F11">
            <v>40814</v>
          </cell>
          <cell r="G11" t="str">
            <v>Yekaterinbourg</v>
          </cell>
          <cell r="H11" t="str">
            <v xml:space="preserve"> </v>
          </cell>
        </row>
        <row r="12">
          <cell r="A12" t="str">
            <v>90+</v>
          </cell>
          <cell r="B12">
            <v>127.5</v>
          </cell>
          <cell r="C12" t="str">
            <v>Shel-Fetengof Erin</v>
          </cell>
          <cell r="D12">
            <v>83</v>
          </cell>
          <cell r="E12" t="str">
            <v>RUS</v>
          </cell>
          <cell r="F12" t="str">
            <v>22.08.2014</v>
          </cell>
          <cell r="G12" t="str">
            <v>Moscow</v>
          </cell>
          <cell r="H12" t="str">
            <v xml:space="preserve"> </v>
          </cell>
        </row>
        <row r="14">
          <cell r="C14" t="str">
            <v xml:space="preserve">Women's 20-23 </v>
          </cell>
        </row>
        <row r="15">
          <cell r="A15">
            <v>44</v>
          </cell>
          <cell r="B15">
            <v>52.5</v>
          </cell>
          <cell r="C15" t="str">
            <v>Obrazumova, Ekaterina</v>
          </cell>
          <cell r="E15" t="str">
            <v>RUS</v>
          </cell>
          <cell r="F15">
            <v>40409</v>
          </cell>
          <cell r="G15" t="str">
            <v>Moscow</v>
          </cell>
          <cell r="H15" t="str">
            <v xml:space="preserve"> </v>
          </cell>
        </row>
        <row r="16">
          <cell r="A16">
            <v>48</v>
          </cell>
          <cell r="B16">
            <v>65</v>
          </cell>
          <cell r="C16" t="str">
            <v>Narenkova, Yevgeniya</v>
          </cell>
          <cell r="E16" t="str">
            <v>RUS</v>
          </cell>
          <cell r="F16">
            <v>39871</v>
          </cell>
          <cell r="G16" t="str">
            <v>Chelyabinsk</v>
          </cell>
          <cell r="H16" t="str">
            <v xml:space="preserve"> </v>
          </cell>
        </row>
        <row r="17">
          <cell r="A17">
            <v>52</v>
          </cell>
          <cell r="B17">
            <v>72.5</v>
          </cell>
          <cell r="C17" t="str">
            <v>Mymrina Anastasiya</v>
          </cell>
          <cell r="E17" t="str">
            <v>RUS</v>
          </cell>
          <cell r="F17">
            <v>40814</v>
          </cell>
          <cell r="G17" t="str">
            <v>Yekaterinbourgh</v>
          </cell>
          <cell r="H17" t="str">
            <v xml:space="preserve"> </v>
          </cell>
        </row>
        <row r="18">
          <cell r="A18">
            <v>56</v>
          </cell>
          <cell r="B18">
            <v>75</v>
          </cell>
          <cell r="C18" t="str">
            <v>Telpova,Olga</v>
          </cell>
          <cell r="E18" t="str">
            <v>RUS</v>
          </cell>
          <cell r="F18">
            <v>40034</v>
          </cell>
          <cell r="G18" t="str">
            <v>Kursk</v>
          </cell>
          <cell r="H18" t="str">
            <v xml:space="preserve"> </v>
          </cell>
        </row>
        <row r="19">
          <cell r="A19">
            <v>60</v>
          </cell>
          <cell r="B19">
            <v>82.5</v>
          </cell>
          <cell r="C19" t="str">
            <v>Yablonskaya, Anastasiya</v>
          </cell>
          <cell r="E19" t="str">
            <v>RUS</v>
          </cell>
          <cell r="F19">
            <v>40409</v>
          </cell>
          <cell r="G19" t="str">
            <v>Moscow</v>
          </cell>
          <cell r="H19" t="str">
            <v xml:space="preserve"> </v>
          </cell>
        </row>
        <row r="20">
          <cell r="A20">
            <v>67.5</v>
          </cell>
          <cell r="B20">
            <v>65</v>
          </cell>
          <cell r="C20" t="str">
            <v>Tkacheva,Irina</v>
          </cell>
          <cell r="E20" t="str">
            <v>RUS</v>
          </cell>
          <cell r="F20">
            <v>41201</v>
          </cell>
          <cell r="G20" t="str">
            <v>Krasnodar</v>
          </cell>
          <cell r="H20" t="str">
            <v xml:space="preserve"> </v>
          </cell>
        </row>
        <row r="21">
          <cell r="A21">
            <v>75</v>
          </cell>
          <cell r="B21">
            <v>77.5</v>
          </cell>
          <cell r="C21" t="str">
            <v>Selyaeva, Darya</v>
          </cell>
          <cell r="E21" t="str">
            <v>RUS</v>
          </cell>
          <cell r="F21">
            <v>40409</v>
          </cell>
          <cell r="G21" t="str">
            <v>Moscow</v>
          </cell>
          <cell r="H21" t="str">
            <v xml:space="preserve"> </v>
          </cell>
        </row>
        <row r="22">
          <cell r="A22">
            <v>82.5</v>
          </cell>
          <cell r="B22" t="str">
            <v xml:space="preserve"> </v>
          </cell>
          <cell r="C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</row>
        <row r="23">
          <cell r="A23">
            <v>90</v>
          </cell>
          <cell r="B23" t="str">
            <v xml:space="preserve"> </v>
          </cell>
          <cell r="C23"/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</row>
        <row r="24">
          <cell r="A24" t="str">
            <v>90+</v>
          </cell>
          <cell r="B24">
            <v>80</v>
          </cell>
          <cell r="C24" t="str">
            <v>Tsarevskaya,Yekaterina</v>
          </cell>
          <cell r="E24" t="str">
            <v>RUS</v>
          </cell>
          <cell r="F24">
            <v>41201</v>
          </cell>
          <cell r="G24" t="str">
            <v>Krasnodar</v>
          </cell>
          <cell r="H24" t="str">
            <v xml:space="preserve"> </v>
          </cell>
        </row>
        <row r="26">
          <cell r="C26" t="str">
            <v xml:space="preserve">Women's 18-19 </v>
          </cell>
        </row>
        <row r="27">
          <cell r="A27">
            <v>44</v>
          </cell>
          <cell r="B27">
            <v>50.5</v>
          </cell>
          <cell r="C27" t="str">
            <v>Vasylchenko,Anastasiya</v>
          </cell>
          <cell r="E27" t="str">
            <v>UKR</v>
          </cell>
          <cell r="F27">
            <v>41128</v>
          </cell>
          <cell r="G27" t="str">
            <v>Kryvyi Rig</v>
          </cell>
          <cell r="H27" t="str">
            <v xml:space="preserve"> </v>
          </cell>
        </row>
        <row r="28">
          <cell r="A28">
            <v>48</v>
          </cell>
          <cell r="B28">
            <v>50</v>
          </cell>
          <cell r="C28" t="str">
            <v>Chernyak,Albina</v>
          </cell>
          <cell r="E28" t="str">
            <v>UKR</v>
          </cell>
          <cell r="F28">
            <v>41019</v>
          </cell>
          <cell r="G28" t="str">
            <v>Rostov</v>
          </cell>
          <cell r="H28" t="str">
            <v xml:space="preserve"> </v>
          </cell>
        </row>
        <row r="29">
          <cell r="A29">
            <v>52</v>
          </cell>
          <cell r="B29">
            <v>85</v>
          </cell>
          <cell r="C29" t="str">
            <v>Kumuts Svetlana</v>
          </cell>
          <cell r="E29" t="str">
            <v>RUS</v>
          </cell>
          <cell r="F29">
            <v>41608</v>
          </cell>
          <cell r="G29" t="str">
            <v>Yekaterinburg</v>
          </cell>
          <cell r="H29" t="str">
            <v>4th</v>
          </cell>
        </row>
        <row r="30">
          <cell r="A30">
            <v>56</v>
          </cell>
          <cell r="B30">
            <v>57.5</v>
          </cell>
          <cell r="C30" t="str">
            <v>Reutova Nadezhda</v>
          </cell>
          <cell r="E30" t="str">
            <v>RUS</v>
          </cell>
          <cell r="F30">
            <v>40640</v>
          </cell>
          <cell r="G30" t="str">
            <v>Chelyabinsk</v>
          </cell>
          <cell r="H30" t="str">
            <v xml:space="preserve"> </v>
          </cell>
        </row>
        <row r="31">
          <cell r="A31">
            <v>60</v>
          </cell>
          <cell r="B31">
            <v>62.5</v>
          </cell>
          <cell r="C31" t="str">
            <v>Khramtsova Anastasiya</v>
          </cell>
          <cell r="E31" t="str">
            <v>RUS</v>
          </cell>
          <cell r="F31" t="str">
            <v>09.08.2014</v>
          </cell>
          <cell r="G31" t="str">
            <v>Yekaterinburg</v>
          </cell>
          <cell r="H31" t="str">
            <v xml:space="preserve"> </v>
          </cell>
        </row>
        <row r="32">
          <cell r="A32">
            <v>67.5</v>
          </cell>
          <cell r="B32">
            <v>67.5</v>
          </cell>
          <cell r="C32" t="str">
            <v>Kovylina, Svetlana</v>
          </cell>
          <cell r="E32" t="str">
            <v>RUS</v>
          </cell>
          <cell r="F32">
            <v>40409</v>
          </cell>
          <cell r="G32" t="str">
            <v>Moscow</v>
          </cell>
          <cell r="H32" t="str">
            <v xml:space="preserve"> </v>
          </cell>
        </row>
        <row r="33">
          <cell r="A33">
            <v>75</v>
          </cell>
          <cell r="B33">
            <v>72.5</v>
          </cell>
          <cell r="C33" t="str">
            <v>Apal'kova,Evelina</v>
          </cell>
          <cell r="E33" t="str">
            <v>RUS</v>
          </cell>
          <cell r="F33">
            <v>41137</v>
          </cell>
          <cell r="G33" t="str">
            <v>Novosibirsk</v>
          </cell>
          <cell r="H33" t="str">
            <v xml:space="preserve"> </v>
          </cell>
        </row>
        <row r="34">
          <cell r="A34">
            <v>82.5</v>
          </cell>
          <cell r="B34">
            <v>60</v>
          </cell>
          <cell r="C34" t="str">
            <v>Martinez Ashleigh</v>
          </cell>
          <cell r="E34" t="str">
            <v>USA</v>
          </cell>
          <cell r="F34">
            <v>41475</v>
          </cell>
          <cell r="G34" t="str">
            <v>Detroit</v>
          </cell>
          <cell r="H34" t="str">
            <v>4th</v>
          </cell>
        </row>
        <row r="35">
          <cell r="A35">
            <v>90</v>
          </cell>
          <cell r="B35" t="str">
            <v xml:space="preserve"> </v>
          </cell>
          <cell r="C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 xml:space="preserve"> </v>
          </cell>
        </row>
        <row r="36">
          <cell r="A36" t="str">
            <v>90+</v>
          </cell>
          <cell r="B36" t="str">
            <v xml:space="preserve"> </v>
          </cell>
          <cell r="C36" t="str">
            <v xml:space="preserve"> </v>
          </cell>
          <cell r="E36" t="str">
            <v xml:space="preserve"> </v>
          </cell>
          <cell r="F36" t="str">
            <v xml:space="preserve"> </v>
          </cell>
          <cell r="G36" t="str">
            <v xml:space="preserve"> </v>
          </cell>
          <cell r="H36" t="str">
            <v xml:space="preserve"> </v>
          </cell>
        </row>
        <row r="37">
          <cell r="C37"/>
        </row>
        <row r="38">
          <cell r="C38" t="str">
            <v xml:space="preserve">Women's 16-17 </v>
          </cell>
        </row>
        <row r="39">
          <cell r="A39">
            <v>44</v>
          </cell>
          <cell r="B39"/>
          <cell r="C39"/>
          <cell r="E39"/>
          <cell r="F39"/>
          <cell r="G39"/>
          <cell r="H39" t="str">
            <v xml:space="preserve"> </v>
          </cell>
        </row>
        <row r="40">
          <cell r="A40">
            <v>48</v>
          </cell>
          <cell r="B40">
            <v>52.5</v>
          </cell>
          <cell r="C40" t="str">
            <v>Fatyukhina,Svetlana</v>
          </cell>
          <cell r="E40" t="str">
            <v>RUS</v>
          </cell>
          <cell r="F40">
            <v>40769</v>
          </cell>
          <cell r="G40" t="str">
            <v>Kursk</v>
          </cell>
          <cell r="H40" t="str">
            <v xml:space="preserve"> </v>
          </cell>
        </row>
        <row r="41">
          <cell r="A41">
            <v>52</v>
          </cell>
          <cell r="B41">
            <v>57.5</v>
          </cell>
          <cell r="C41" t="str">
            <v>Isakova, Olga</v>
          </cell>
          <cell r="E41" t="str">
            <v>RUS</v>
          </cell>
          <cell r="F41">
            <v>40409</v>
          </cell>
          <cell r="G41" t="str">
            <v>Moscow</v>
          </cell>
          <cell r="H41" t="str">
            <v xml:space="preserve"> </v>
          </cell>
        </row>
        <row r="42">
          <cell r="A42">
            <v>56</v>
          </cell>
          <cell r="B42">
            <v>52.5</v>
          </cell>
          <cell r="C42" t="str">
            <v>Kashina Darya</v>
          </cell>
          <cell r="E42" t="str">
            <v>RUS</v>
          </cell>
          <cell r="F42">
            <v>39871</v>
          </cell>
          <cell r="G42" t="str">
            <v>Chelyabinsk</v>
          </cell>
          <cell r="H42" t="str">
            <v xml:space="preserve"> </v>
          </cell>
        </row>
        <row r="43">
          <cell r="A43">
            <v>60</v>
          </cell>
          <cell r="B43">
            <v>67.5</v>
          </cell>
          <cell r="C43" t="str">
            <v>Shinkareva,Yelizaveta</v>
          </cell>
          <cell r="E43" t="str">
            <v>RUS</v>
          </cell>
          <cell r="F43" t="str">
            <v>03.07.2014</v>
          </cell>
          <cell r="G43" t="str">
            <v>Novosibirsk</v>
          </cell>
          <cell r="H43" t="str">
            <v xml:space="preserve"> </v>
          </cell>
        </row>
        <row r="44">
          <cell r="A44">
            <v>67.5</v>
          </cell>
          <cell r="B44">
            <v>50</v>
          </cell>
          <cell r="C44" t="str">
            <v>Teryasova Olga</v>
          </cell>
          <cell r="E44" t="str">
            <v>RUS</v>
          </cell>
          <cell r="F44" t="str">
            <v>19.04.2014</v>
          </cell>
          <cell r="G44" t="str">
            <v>Krasnodar</v>
          </cell>
          <cell r="H44" t="str">
            <v xml:space="preserve"> </v>
          </cell>
        </row>
        <row r="45">
          <cell r="A45">
            <v>75</v>
          </cell>
          <cell r="B45"/>
          <cell r="C45"/>
          <cell r="E45"/>
          <cell r="F45"/>
          <cell r="G45"/>
          <cell r="H45" t="str">
            <v xml:space="preserve"> </v>
          </cell>
        </row>
        <row r="46">
          <cell r="A46">
            <v>82.5</v>
          </cell>
          <cell r="B46">
            <v>52.5</v>
          </cell>
          <cell r="C46" t="str">
            <v>Simonova Alena</v>
          </cell>
          <cell r="E46" t="str">
            <v>RUS</v>
          </cell>
          <cell r="F46">
            <v>41503</v>
          </cell>
          <cell r="G46" t="str">
            <v>Novosibirsk</v>
          </cell>
          <cell r="H46" t="str">
            <v xml:space="preserve"> </v>
          </cell>
        </row>
        <row r="47">
          <cell r="A47">
            <v>90</v>
          </cell>
          <cell r="B47" t="str">
            <v xml:space="preserve"> </v>
          </cell>
          <cell r="C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  <cell r="H47" t="str">
            <v xml:space="preserve"> </v>
          </cell>
        </row>
        <row r="48">
          <cell r="A48" t="str">
            <v>90+</v>
          </cell>
          <cell r="B48" t="str">
            <v xml:space="preserve"> </v>
          </cell>
          <cell r="C48" t="str">
            <v xml:space="preserve"> </v>
          </cell>
          <cell r="E48" t="str">
            <v xml:space="preserve"> </v>
          </cell>
          <cell r="F48" t="str">
            <v xml:space="preserve"> </v>
          </cell>
          <cell r="G48" t="str">
            <v xml:space="preserve"> </v>
          </cell>
          <cell r="H48" t="str">
            <v xml:space="preserve"> </v>
          </cell>
        </row>
        <row r="49">
          <cell r="C49" t="str">
            <v xml:space="preserve">Women's 13-15 </v>
          </cell>
        </row>
        <row r="50">
          <cell r="A50">
            <v>44</v>
          </cell>
          <cell r="B50">
            <v>57.5</v>
          </cell>
          <cell r="C50" t="str">
            <v>Dluzhnevskaya, Vladislava</v>
          </cell>
          <cell r="E50" t="str">
            <v>RUS</v>
          </cell>
          <cell r="F50">
            <v>40814</v>
          </cell>
          <cell r="G50" t="str">
            <v>Yekaterinbourg</v>
          </cell>
          <cell r="H50" t="str">
            <v xml:space="preserve"> </v>
          </cell>
        </row>
        <row r="51">
          <cell r="A51">
            <v>48</v>
          </cell>
          <cell r="B51">
            <v>65</v>
          </cell>
          <cell r="C51" t="str">
            <v>Dluzhnevskaya, Vladislava</v>
          </cell>
          <cell r="E51" t="str">
            <v>RUS</v>
          </cell>
          <cell r="F51" t="str">
            <v>09.11.2012</v>
          </cell>
          <cell r="G51" t="str">
            <v>Vologda</v>
          </cell>
          <cell r="H51" t="str">
            <v xml:space="preserve"> </v>
          </cell>
        </row>
        <row r="52">
          <cell r="A52">
            <v>52</v>
          </cell>
          <cell r="B52">
            <v>35</v>
          </cell>
          <cell r="C52" t="str">
            <v>Ponomaryova, Yuliya</v>
          </cell>
          <cell r="E52" t="str">
            <v>RUS</v>
          </cell>
          <cell r="F52">
            <v>39871</v>
          </cell>
          <cell r="G52" t="str">
            <v>Chelyabinsk</v>
          </cell>
          <cell r="H52" t="str">
            <v xml:space="preserve"> </v>
          </cell>
        </row>
        <row r="53">
          <cell r="A53">
            <v>56</v>
          </cell>
          <cell r="B53">
            <v>60</v>
          </cell>
          <cell r="C53" t="str">
            <v>Maximova Anastasiya</v>
          </cell>
          <cell r="E53" t="str">
            <v>RUS</v>
          </cell>
          <cell r="F53">
            <v>40257</v>
          </cell>
          <cell r="G53" t="str">
            <v>Kursk</v>
          </cell>
          <cell r="H53" t="str">
            <v xml:space="preserve"> </v>
          </cell>
        </row>
        <row r="54">
          <cell r="A54">
            <v>60</v>
          </cell>
          <cell r="B54">
            <v>60</v>
          </cell>
          <cell r="C54" t="str">
            <v>Shinkareva,Yelizaveta</v>
          </cell>
          <cell r="E54" t="str">
            <v>RUS</v>
          </cell>
          <cell r="F54">
            <v>41503</v>
          </cell>
          <cell r="G54" t="str">
            <v>Novosibirsk</v>
          </cell>
          <cell r="H54" t="str">
            <v xml:space="preserve"> </v>
          </cell>
        </row>
        <row r="55">
          <cell r="A55">
            <v>67.5</v>
          </cell>
          <cell r="B55">
            <v>60</v>
          </cell>
          <cell r="C55" t="str">
            <v>Shinkareva,Yelizaveta</v>
          </cell>
          <cell r="E55" t="str">
            <v>RUS</v>
          </cell>
          <cell r="F55">
            <v>41368</v>
          </cell>
          <cell r="G55" t="str">
            <v>Krasnodar</v>
          </cell>
          <cell r="H55" t="str">
            <v xml:space="preserve"> </v>
          </cell>
        </row>
        <row r="56">
          <cell r="A56">
            <v>75</v>
          </cell>
          <cell r="B56"/>
          <cell r="C56"/>
          <cell r="E56"/>
          <cell r="F56"/>
          <cell r="G56"/>
          <cell r="H56" t="str">
            <v xml:space="preserve"> </v>
          </cell>
        </row>
        <row r="57">
          <cell r="A57">
            <v>82.5</v>
          </cell>
          <cell r="B57">
            <v>35</v>
          </cell>
          <cell r="C57" t="str">
            <v>Adiyak, Yekaterina</v>
          </cell>
          <cell r="E57" t="str">
            <v>RUS</v>
          </cell>
          <cell r="F57">
            <v>40814</v>
          </cell>
          <cell r="G57" t="str">
            <v>Yekaterinbourg</v>
          </cell>
          <cell r="H57" t="str">
            <v xml:space="preserve"> </v>
          </cell>
        </row>
        <row r="58">
          <cell r="A58">
            <v>90</v>
          </cell>
          <cell r="B58" t="str">
            <v xml:space="preserve"> </v>
          </cell>
          <cell r="C58" t="str">
            <v xml:space="preserve"> </v>
          </cell>
          <cell r="E58" t="str">
            <v xml:space="preserve"> </v>
          </cell>
          <cell r="F58" t="str">
            <v xml:space="preserve"> </v>
          </cell>
          <cell r="G58" t="str">
            <v xml:space="preserve"> </v>
          </cell>
          <cell r="H58" t="str">
            <v xml:space="preserve"> </v>
          </cell>
        </row>
        <row r="59">
          <cell r="A59" t="str">
            <v>90+</v>
          </cell>
          <cell r="B59">
            <v>42.5</v>
          </cell>
          <cell r="C59" t="str">
            <v>Antukh Yekaterina</v>
          </cell>
          <cell r="E59" t="str">
            <v>RUS</v>
          </cell>
          <cell r="F59" t="str">
            <v>03.07.2014</v>
          </cell>
          <cell r="G59" t="str">
            <v>Novosibirsk</v>
          </cell>
          <cell r="H59" t="str">
            <v xml:space="preserve"> </v>
          </cell>
        </row>
        <row r="60">
          <cell r="C60" t="str">
            <v>Women's Submaster 33-39</v>
          </cell>
        </row>
        <row r="61">
          <cell r="A61">
            <v>44</v>
          </cell>
          <cell r="B61">
            <v>37.5</v>
          </cell>
          <cell r="C61" t="str">
            <v>Gubanova,Natalya</v>
          </cell>
          <cell r="E61" t="str">
            <v>RUS</v>
          </cell>
          <cell r="F61">
            <v>41503</v>
          </cell>
          <cell r="G61" t="str">
            <v>Novosibirsk</v>
          </cell>
          <cell r="H61" t="str">
            <v xml:space="preserve"> </v>
          </cell>
        </row>
        <row r="62">
          <cell r="A62">
            <v>48</v>
          </cell>
          <cell r="B62">
            <v>67.5</v>
          </cell>
          <cell r="C62" t="str">
            <v>Dzina, Margarita</v>
          </cell>
          <cell r="E62" t="str">
            <v>RUS</v>
          </cell>
          <cell r="F62">
            <v>39871</v>
          </cell>
          <cell r="G62" t="str">
            <v>Chelyabinsk</v>
          </cell>
          <cell r="H62" t="str">
            <v xml:space="preserve"> </v>
          </cell>
        </row>
        <row r="63">
          <cell r="A63">
            <v>52</v>
          </cell>
          <cell r="B63">
            <v>90.5</v>
          </cell>
          <cell r="C63" t="str">
            <v>Kadatska,Anna</v>
          </cell>
          <cell r="E63" t="str">
            <v>UKR</v>
          </cell>
          <cell r="F63">
            <v>41128</v>
          </cell>
          <cell r="G63" t="str">
            <v>Kryvyi Rig</v>
          </cell>
          <cell r="H63" t="str">
            <v xml:space="preserve"> </v>
          </cell>
        </row>
        <row r="64">
          <cell r="A64">
            <v>56</v>
          </cell>
          <cell r="B64">
            <v>105</v>
          </cell>
          <cell r="C64" t="str">
            <v>Konovalova, Natalya</v>
          </cell>
          <cell r="E64" t="str">
            <v>RUS</v>
          </cell>
          <cell r="F64">
            <v>40814</v>
          </cell>
          <cell r="G64" t="str">
            <v>Yekaterinbourg</v>
          </cell>
          <cell r="H64" t="str">
            <v xml:space="preserve"> </v>
          </cell>
        </row>
        <row r="65">
          <cell r="A65">
            <v>60</v>
          </cell>
          <cell r="B65">
            <v>92.5</v>
          </cell>
          <cell r="C65" t="str">
            <v>Rakcheeva,Anastasiya</v>
          </cell>
          <cell r="E65" t="str">
            <v>RUS</v>
          </cell>
          <cell r="F65">
            <v>40088</v>
          </cell>
          <cell r="G65" t="str">
            <v>Rostov</v>
          </cell>
          <cell r="H65" t="str">
            <v xml:space="preserve"> </v>
          </cell>
        </row>
        <row r="66">
          <cell r="A66">
            <v>67.5</v>
          </cell>
          <cell r="B66">
            <v>80</v>
          </cell>
          <cell r="C66" t="str">
            <v>Goncharova,Natalya</v>
          </cell>
          <cell r="E66" t="str">
            <v>RUS</v>
          </cell>
          <cell r="F66">
            <v>40409</v>
          </cell>
          <cell r="G66" t="str">
            <v>Moscow</v>
          </cell>
          <cell r="H66" t="str">
            <v xml:space="preserve"> </v>
          </cell>
        </row>
        <row r="67">
          <cell r="A67">
            <v>75</v>
          </cell>
          <cell r="B67">
            <v>110</v>
          </cell>
          <cell r="C67" t="str">
            <v>Vorobyova Regina</v>
          </cell>
          <cell r="E67" t="str">
            <v>RUS</v>
          </cell>
          <cell r="F67">
            <v>41496</v>
          </cell>
          <cell r="G67" t="str">
            <v>Kursk</v>
          </cell>
          <cell r="H67" t="str">
            <v xml:space="preserve"> </v>
          </cell>
        </row>
        <row r="68">
          <cell r="A68">
            <v>82.5</v>
          </cell>
          <cell r="B68">
            <v>105</v>
          </cell>
          <cell r="C68" t="str">
            <v>Pugovkina Alla</v>
          </cell>
          <cell r="E68" t="str">
            <v>RUS</v>
          </cell>
          <cell r="F68" t="str">
            <v>22.08.2014</v>
          </cell>
          <cell r="G68" t="str">
            <v>Moscow</v>
          </cell>
          <cell r="H68" t="str">
            <v xml:space="preserve"> </v>
          </cell>
        </row>
        <row r="69">
          <cell r="A69">
            <v>90</v>
          </cell>
          <cell r="B69">
            <v>102.5</v>
          </cell>
          <cell r="C69" t="str">
            <v>Kibalina, Tatyana</v>
          </cell>
          <cell r="E69" t="str">
            <v>RUS</v>
          </cell>
          <cell r="F69">
            <v>40814</v>
          </cell>
          <cell r="G69" t="str">
            <v>Yekaterinbourg</v>
          </cell>
          <cell r="H69" t="str">
            <v xml:space="preserve"> </v>
          </cell>
        </row>
        <row r="70">
          <cell r="A70" t="str">
            <v>90+</v>
          </cell>
          <cell r="B70">
            <v>122.5</v>
          </cell>
          <cell r="C70" t="str">
            <v>Reske,Kristy</v>
          </cell>
          <cell r="E70" t="str">
            <v>USA</v>
          </cell>
          <cell r="F70">
            <v>41111</v>
          </cell>
          <cell r="G70" t="str">
            <v xml:space="preserve">Detroit </v>
          </cell>
          <cell r="H70" t="str">
            <v xml:space="preserve"> </v>
          </cell>
        </row>
        <row r="72">
          <cell r="B72" t="str">
            <v xml:space="preserve"> </v>
          </cell>
          <cell r="C72" t="str">
            <v>Women's Master</v>
          </cell>
        </row>
        <row r="73">
          <cell r="C73" t="str">
            <v xml:space="preserve">40-44 </v>
          </cell>
          <cell r="E73" t="str">
            <v xml:space="preserve"> </v>
          </cell>
          <cell r="F73" t="str">
            <v xml:space="preserve"> </v>
          </cell>
          <cell r="G73" t="str">
            <v xml:space="preserve"> </v>
          </cell>
          <cell r="H73" t="str">
            <v xml:space="preserve"> </v>
          </cell>
        </row>
        <row r="74">
          <cell r="A74">
            <v>44</v>
          </cell>
          <cell r="B74">
            <v>77.5</v>
          </cell>
          <cell r="C74" t="str">
            <v>Murasheva,Yuliya</v>
          </cell>
          <cell r="E74" t="str">
            <v>RUS</v>
          </cell>
          <cell r="F74" t="str">
            <v>22.08.2014</v>
          </cell>
          <cell r="G74" t="str">
            <v>Moscow</v>
          </cell>
          <cell r="H74" t="str">
            <v xml:space="preserve"> </v>
          </cell>
        </row>
        <row r="75">
          <cell r="A75">
            <v>48</v>
          </cell>
          <cell r="B75">
            <v>52.5</v>
          </cell>
          <cell r="C75" t="str">
            <v>Marieva,Natalya</v>
          </cell>
          <cell r="E75" t="str">
            <v>RUS</v>
          </cell>
          <cell r="F75">
            <v>41067</v>
          </cell>
          <cell r="G75" t="str">
            <v>Moscow</v>
          </cell>
          <cell r="H75" t="str">
            <v xml:space="preserve"> </v>
          </cell>
        </row>
        <row r="76">
          <cell r="A76">
            <v>52</v>
          </cell>
          <cell r="B76">
            <v>65</v>
          </cell>
          <cell r="C76" t="str">
            <v>Lazareva Yelena</v>
          </cell>
          <cell r="E76" t="str">
            <v>RUS</v>
          </cell>
          <cell r="F76">
            <v>40522</v>
          </cell>
          <cell r="G76" t="str">
            <v>Kursk</v>
          </cell>
          <cell r="H76" t="str">
            <v xml:space="preserve"> </v>
          </cell>
        </row>
        <row r="77">
          <cell r="A77">
            <v>56</v>
          </cell>
          <cell r="B77">
            <v>77.5</v>
          </cell>
          <cell r="C77" t="str">
            <v>Tarasova Yuliya</v>
          </cell>
          <cell r="E77" t="str">
            <v>RUS</v>
          </cell>
          <cell r="F77" t="str">
            <v>22.08.2014</v>
          </cell>
          <cell r="G77" t="str">
            <v>Moscow</v>
          </cell>
          <cell r="H77" t="str">
            <v xml:space="preserve"> </v>
          </cell>
        </row>
        <row r="78">
          <cell r="A78">
            <v>60</v>
          </cell>
          <cell r="B78">
            <v>92.5</v>
          </cell>
          <cell r="C78" t="str">
            <v>Rakcheeva,Anastasiya</v>
          </cell>
          <cell r="E78" t="str">
            <v xml:space="preserve"> RUS</v>
          </cell>
          <cell r="F78">
            <v>41018</v>
          </cell>
          <cell r="G78" t="str">
            <v>Rostov</v>
          </cell>
          <cell r="H78" t="str">
            <v xml:space="preserve"> </v>
          </cell>
        </row>
        <row r="79">
          <cell r="A79">
            <v>67.5</v>
          </cell>
          <cell r="B79">
            <v>97.5</v>
          </cell>
          <cell r="C79" t="str">
            <v>Rakcheeva,Anastasiya</v>
          </cell>
          <cell r="E79" t="str">
            <v xml:space="preserve"> RUS</v>
          </cell>
          <cell r="F79" t="str">
            <v>22.08.2014</v>
          </cell>
          <cell r="G79" t="str">
            <v>Moscow</v>
          </cell>
          <cell r="H79" t="str">
            <v xml:space="preserve"> </v>
          </cell>
        </row>
        <row r="80">
          <cell r="A80">
            <v>75</v>
          </cell>
          <cell r="B80">
            <v>105</v>
          </cell>
          <cell r="C80" t="str">
            <v>Sinacheva, Svetlana</v>
          </cell>
          <cell r="E80" t="str">
            <v>RUS</v>
          </cell>
          <cell r="F80">
            <v>40814</v>
          </cell>
          <cell r="G80" t="str">
            <v>Yekaterinbourg</v>
          </cell>
          <cell r="H80" t="str">
            <v xml:space="preserve"> </v>
          </cell>
        </row>
        <row r="81">
          <cell r="A81">
            <v>82.5</v>
          </cell>
          <cell r="B81">
            <v>97.5</v>
          </cell>
          <cell r="C81" t="str">
            <v>Sinacheva, Svetlana</v>
          </cell>
          <cell r="E81" t="str">
            <v>RUS</v>
          </cell>
          <cell r="F81">
            <v>40257</v>
          </cell>
          <cell r="G81" t="str">
            <v>Kursk</v>
          </cell>
          <cell r="H81" t="str">
            <v xml:space="preserve"> </v>
          </cell>
        </row>
        <row r="82">
          <cell r="A82">
            <v>90</v>
          </cell>
          <cell r="B82" t="str">
            <v xml:space="preserve"> </v>
          </cell>
          <cell r="C82" t="str">
            <v xml:space="preserve"> </v>
          </cell>
          <cell r="E82" t="str">
            <v xml:space="preserve"> </v>
          </cell>
          <cell r="F82" t="str">
            <v xml:space="preserve"> </v>
          </cell>
          <cell r="G82" t="str">
            <v xml:space="preserve"> </v>
          </cell>
          <cell r="H82" t="str">
            <v xml:space="preserve"> </v>
          </cell>
        </row>
        <row r="83">
          <cell r="A83" t="str">
            <v>90+</v>
          </cell>
          <cell r="B83">
            <v>85</v>
          </cell>
          <cell r="C83" t="str">
            <v>Skobelkina,Yelena</v>
          </cell>
          <cell r="E83" t="str">
            <v>RUS</v>
          </cell>
          <cell r="F83">
            <v>41503</v>
          </cell>
          <cell r="G83" t="str">
            <v>Novosibirsk</v>
          </cell>
          <cell r="H83" t="str">
            <v xml:space="preserve"> </v>
          </cell>
        </row>
        <row r="84">
          <cell r="C84" t="str">
            <v xml:space="preserve">45-49 </v>
          </cell>
          <cell r="E84" t="str">
            <v xml:space="preserve"> </v>
          </cell>
          <cell r="F84" t="str">
            <v xml:space="preserve"> </v>
          </cell>
          <cell r="G84" t="str">
            <v xml:space="preserve"> </v>
          </cell>
          <cell r="H84" t="str">
            <v xml:space="preserve"> </v>
          </cell>
        </row>
        <row r="85">
          <cell r="A85">
            <v>44</v>
          </cell>
          <cell r="B85" t="str">
            <v xml:space="preserve"> </v>
          </cell>
          <cell r="C85" t="str">
            <v xml:space="preserve"> </v>
          </cell>
          <cell r="E85" t="str">
            <v xml:space="preserve"> </v>
          </cell>
          <cell r="F85" t="str">
            <v xml:space="preserve"> </v>
          </cell>
          <cell r="G85" t="str">
            <v xml:space="preserve"> </v>
          </cell>
          <cell r="H85" t="str">
            <v xml:space="preserve"> </v>
          </cell>
        </row>
        <row r="86">
          <cell r="A86">
            <v>48</v>
          </cell>
          <cell r="B86">
            <v>55</v>
          </cell>
          <cell r="C86" t="str">
            <v>Marieva,Natalya</v>
          </cell>
          <cell r="E86" t="str">
            <v>RUS</v>
          </cell>
          <cell r="F86" t="str">
            <v>30.05.2014</v>
          </cell>
          <cell r="G86" t="str">
            <v>Kursk</v>
          </cell>
          <cell r="H86"/>
        </row>
        <row r="87">
          <cell r="A87">
            <v>52</v>
          </cell>
          <cell r="B87">
            <v>65</v>
          </cell>
          <cell r="C87" t="str">
            <v>Kushkova Yelena</v>
          </cell>
          <cell r="E87" t="str">
            <v>RUS</v>
          </cell>
          <cell r="F87">
            <v>41608</v>
          </cell>
          <cell r="G87" t="str">
            <v>Yekaterinbourg</v>
          </cell>
          <cell r="H87"/>
        </row>
        <row r="88">
          <cell r="A88">
            <v>56</v>
          </cell>
          <cell r="B88">
            <v>47.5</v>
          </cell>
          <cell r="C88" t="str">
            <v>Belova Yelena</v>
          </cell>
          <cell r="E88" t="str">
            <v>RUS</v>
          </cell>
          <cell r="F88" t="str">
            <v>03.07.2014</v>
          </cell>
          <cell r="G88" t="str">
            <v>Novosibirsk</v>
          </cell>
          <cell r="H88" t="str">
            <v xml:space="preserve"> </v>
          </cell>
        </row>
        <row r="89">
          <cell r="A89">
            <v>60</v>
          </cell>
          <cell r="B89">
            <v>37.5</v>
          </cell>
          <cell r="C89" t="str">
            <v>Pen'kova,Nataliya</v>
          </cell>
          <cell r="E89" t="str">
            <v>UKR</v>
          </cell>
          <cell r="F89">
            <v>41128</v>
          </cell>
          <cell r="G89" t="str">
            <v>Kryvyi Rig</v>
          </cell>
          <cell r="H89" t="str">
            <v xml:space="preserve"> </v>
          </cell>
        </row>
        <row r="90">
          <cell r="A90">
            <v>67.5</v>
          </cell>
          <cell r="B90">
            <v>82.5</v>
          </cell>
          <cell r="C90" t="str">
            <v>Khristoforova,Marina</v>
          </cell>
          <cell r="E90" t="str">
            <v>UKR</v>
          </cell>
          <cell r="F90">
            <v>41128</v>
          </cell>
          <cell r="G90" t="str">
            <v>Kryvyi Rig</v>
          </cell>
          <cell r="H90" t="str">
            <v xml:space="preserve"> </v>
          </cell>
        </row>
        <row r="91">
          <cell r="A91">
            <v>75</v>
          </cell>
          <cell r="B91">
            <v>105</v>
          </cell>
          <cell r="C91" t="str">
            <v>Sinacheva, Svetlana</v>
          </cell>
          <cell r="E91" t="str">
            <v>RUS</v>
          </cell>
          <cell r="F91">
            <v>41019</v>
          </cell>
          <cell r="G91" t="str">
            <v>Rostov</v>
          </cell>
          <cell r="H91" t="str">
            <v xml:space="preserve"> </v>
          </cell>
        </row>
        <row r="92">
          <cell r="A92">
            <v>82.5</v>
          </cell>
          <cell r="B92">
            <v>80</v>
          </cell>
          <cell r="C92" t="str">
            <v>Charkova Lidiya</v>
          </cell>
          <cell r="E92" t="str">
            <v>RUS</v>
          </cell>
          <cell r="F92" t="str">
            <v>22.08.2014</v>
          </cell>
          <cell r="G92" t="str">
            <v>Moscow</v>
          </cell>
          <cell r="H92" t="str">
            <v xml:space="preserve"> </v>
          </cell>
        </row>
        <row r="93">
          <cell r="A93">
            <v>90</v>
          </cell>
          <cell r="B93">
            <v>95</v>
          </cell>
          <cell r="C93" t="str">
            <v>Muliner,Kathy</v>
          </cell>
          <cell r="E93" t="str">
            <v>USA</v>
          </cell>
          <cell r="F93">
            <v>41515</v>
          </cell>
          <cell r="G93" t="str">
            <v>Idaho Falls</v>
          </cell>
          <cell r="H93" t="str">
            <v xml:space="preserve"> </v>
          </cell>
        </row>
        <row r="94">
          <cell r="A94" t="str">
            <v>90+</v>
          </cell>
          <cell r="B94">
            <v>92.5</v>
          </cell>
          <cell r="C94" t="str">
            <v>Miliner,Kathy</v>
          </cell>
          <cell r="E94" t="str">
            <v>USA</v>
          </cell>
          <cell r="F94">
            <v>41151</v>
          </cell>
          <cell r="G94" t="str">
            <v>Idaho Falls</v>
          </cell>
          <cell r="H94" t="str">
            <v>4thj</v>
          </cell>
        </row>
        <row r="95">
          <cell r="C95" t="str">
            <v xml:space="preserve">50-54 </v>
          </cell>
          <cell r="E95" t="str">
            <v xml:space="preserve"> </v>
          </cell>
          <cell r="F95" t="str">
            <v xml:space="preserve"> </v>
          </cell>
          <cell r="G95" t="str">
            <v xml:space="preserve"> </v>
          </cell>
          <cell r="H95" t="str">
            <v xml:space="preserve"> </v>
          </cell>
        </row>
        <row r="96">
          <cell r="A96">
            <v>44</v>
          </cell>
          <cell r="B96" t="str">
            <v xml:space="preserve"> </v>
          </cell>
          <cell r="C96" t="str">
            <v xml:space="preserve"> </v>
          </cell>
          <cell r="E96" t="str">
            <v xml:space="preserve"> </v>
          </cell>
          <cell r="F96" t="str">
            <v xml:space="preserve"> </v>
          </cell>
          <cell r="G96" t="str">
            <v xml:space="preserve"> </v>
          </cell>
          <cell r="H96" t="str">
            <v xml:space="preserve"> </v>
          </cell>
        </row>
        <row r="97">
          <cell r="A97">
            <v>48</v>
          </cell>
          <cell r="B97" t="str">
            <v xml:space="preserve"> </v>
          </cell>
          <cell r="C97" t="str">
            <v xml:space="preserve"> </v>
          </cell>
          <cell r="E97" t="str">
            <v xml:space="preserve"> </v>
          </cell>
          <cell r="F97" t="str">
            <v xml:space="preserve"> </v>
          </cell>
          <cell r="G97" t="str">
            <v xml:space="preserve"> </v>
          </cell>
          <cell r="H97" t="str">
            <v xml:space="preserve"> </v>
          </cell>
        </row>
        <row r="98">
          <cell r="A98">
            <v>52</v>
          </cell>
          <cell r="B98">
            <v>55</v>
          </cell>
          <cell r="C98" t="str">
            <v>Telegina,Tatyana</v>
          </cell>
          <cell r="E98" t="str">
            <v>RUS</v>
          </cell>
          <cell r="F98">
            <v>41137</v>
          </cell>
          <cell r="G98" t="str">
            <v>Novosibirsk</v>
          </cell>
          <cell r="H98" t="str">
            <v xml:space="preserve"> </v>
          </cell>
        </row>
        <row r="99">
          <cell r="A99">
            <v>56</v>
          </cell>
          <cell r="B99" t="str">
            <v xml:space="preserve"> </v>
          </cell>
          <cell r="C99" t="str">
            <v xml:space="preserve"> </v>
          </cell>
          <cell r="E99" t="str">
            <v xml:space="preserve"> </v>
          </cell>
          <cell r="F99" t="str">
            <v xml:space="preserve"> </v>
          </cell>
          <cell r="G99" t="str">
            <v xml:space="preserve"> </v>
          </cell>
          <cell r="H99" t="str">
            <v xml:space="preserve"> </v>
          </cell>
        </row>
        <row r="100">
          <cell r="A100">
            <v>60</v>
          </cell>
          <cell r="B100" t="str">
            <v xml:space="preserve"> </v>
          </cell>
          <cell r="C100" t="str">
            <v xml:space="preserve"> </v>
          </cell>
          <cell r="E100" t="str">
            <v xml:space="preserve"> </v>
          </cell>
          <cell r="F100" t="str">
            <v xml:space="preserve"> </v>
          </cell>
          <cell r="G100" t="str">
            <v xml:space="preserve"> </v>
          </cell>
          <cell r="H100" t="str">
            <v xml:space="preserve"> </v>
          </cell>
        </row>
        <row r="101">
          <cell r="A101">
            <v>67.5</v>
          </cell>
          <cell r="B101">
            <v>77.5</v>
          </cell>
          <cell r="C101" t="str">
            <v>Damminga Debbie</v>
          </cell>
          <cell r="E101" t="str">
            <v>USA</v>
          </cell>
          <cell r="F101">
            <v>41390</v>
          </cell>
          <cell r="G101" t="str">
            <v>Grand Rapids,MI</v>
          </cell>
          <cell r="H101" t="str">
            <v xml:space="preserve"> </v>
          </cell>
        </row>
        <row r="102">
          <cell r="A102">
            <v>75</v>
          </cell>
          <cell r="B102">
            <v>65</v>
          </cell>
          <cell r="C102" t="str">
            <v>Sheremenko, Svitlana</v>
          </cell>
          <cell r="E102" t="str">
            <v>UKR</v>
          </cell>
          <cell r="F102">
            <v>40088</v>
          </cell>
          <cell r="G102" t="str">
            <v>Rostov</v>
          </cell>
          <cell r="H102" t="str">
            <v xml:space="preserve"> </v>
          </cell>
        </row>
        <row r="103">
          <cell r="A103">
            <v>82.5</v>
          </cell>
          <cell r="B103">
            <v>90</v>
          </cell>
          <cell r="C103" t="str">
            <v>Tsukanova, Natalya</v>
          </cell>
          <cell r="E103" t="str">
            <v>UKR</v>
          </cell>
          <cell r="F103">
            <v>40088</v>
          </cell>
          <cell r="G103" t="str">
            <v>Rostov</v>
          </cell>
          <cell r="H103" t="str">
            <v xml:space="preserve"> </v>
          </cell>
        </row>
        <row r="104">
          <cell r="A104">
            <v>90</v>
          </cell>
          <cell r="B104">
            <v>52.5</v>
          </cell>
          <cell r="C104" t="str">
            <v>Gavrilova Olga</v>
          </cell>
          <cell r="E104" t="str">
            <v>RUS</v>
          </cell>
          <cell r="F104">
            <v>41618</v>
          </cell>
          <cell r="G104" t="str">
            <v>Kursk</v>
          </cell>
          <cell r="H104" t="str">
            <v xml:space="preserve"> </v>
          </cell>
        </row>
        <row r="105">
          <cell r="A105" t="str">
            <v>90+</v>
          </cell>
          <cell r="B105" t="str">
            <v xml:space="preserve"> </v>
          </cell>
          <cell r="C105" t="str">
            <v xml:space="preserve"> </v>
          </cell>
          <cell r="E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H105" t="str">
            <v xml:space="preserve"> </v>
          </cell>
        </row>
        <row r="106">
          <cell r="C106" t="str">
            <v xml:space="preserve">55-59 </v>
          </cell>
          <cell r="E106" t="str">
            <v xml:space="preserve"> </v>
          </cell>
          <cell r="F106" t="str">
            <v xml:space="preserve"> </v>
          </cell>
          <cell r="G106" t="str">
            <v xml:space="preserve"> </v>
          </cell>
          <cell r="H106" t="str">
            <v xml:space="preserve"> </v>
          </cell>
        </row>
        <row r="107">
          <cell r="A107">
            <v>44</v>
          </cell>
          <cell r="B107" t="str">
            <v xml:space="preserve"> </v>
          </cell>
          <cell r="C107" t="str">
            <v xml:space="preserve"> </v>
          </cell>
          <cell r="E107" t="str">
            <v xml:space="preserve"> </v>
          </cell>
          <cell r="F107" t="str">
            <v xml:space="preserve"> </v>
          </cell>
          <cell r="G107" t="str">
            <v xml:space="preserve"> </v>
          </cell>
          <cell r="H107" t="str">
            <v xml:space="preserve"> </v>
          </cell>
        </row>
        <row r="108">
          <cell r="A108">
            <v>48</v>
          </cell>
          <cell r="B108" t="str">
            <v xml:space="preserve"> </v>
          </cell>
          <cell r="C108" t="str">
            <v xml:space="preserve">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 xml:space="preserve"> </v>
          </cell>
        </row>
        <row r="109">
          <cell r="A109">
            <v>52</v>
          </cell>
          <cell r="B109" t="str">
            <v xml:space="preserve"> </v>
          </cell>
          <cell r="C109" t="str">
            <v xml:space="preserve"> </v>
          </cell>
          <cell r="E109" t="str">
            <v xml:space="preserve"> </v>
          </cell>
          <cell r="F109" t="str">
            <v xml:space="preserve"> </v>
          </cell>
          <cell r="G109" t="str">
            <v xml:space="preserve"> </v>
          </cell>
          <cell r="H109" t="str">
            <v xml:space="preserve"> </v>
          </cell>
        </row>
        <row r="110">
          <cell r="A110">
            <v>56</v>
          </cell>
          <cell r="B110">
            <v>75</v>
          </cell>
          <cell r="C110" t="str">
            <v>Miller, Hedy</v>
          </cell>
          <cell r="E110" t="str">
            <v>USA</v>
          </cell>
          <cell r="F110">
            <v>39876</v>
          </cell>
          <cell r="G110" t="str">
            <v>Idaho Falls</v>
          </cell>
          <cell r="H110" t="str">
            <v xml:space="preserve"> </v>
          </cell>
        </row>
        <row r="111">
          <cell r="A111">
            <v>60</v>
          </cell>
          <cell r="B111" t="str">
            <v xml:space="preserve"> </v>
          </cell>
          <cell r="C111" t="str">
            <v xml:space="preserve"> </v>
          </cell>
          <cell r="E111" t="str">
            <v xml:space="preserve"> </v>
          </cell>
          <cell r="F111" t="str">
            <v xml:space="preserve"> </v>
          </cell>
          <cell r="G111" t="str">
            <v xml:space="preserve"> </v>
          </cell>
          <cell r="H111" t="str">
            <v xml:space="preserve"> </v>
          </cell>
        </row>
        <row r="112">
          <cell r="A112">
            <v>67.5</v>
          </cell>
          <cell r="B112">
            <v>60</v>
          </cell>
          <cell r="C112" t="str">
            <v>Shabanova,Nadezhda</v>
          </cell>
          <cell r="E112" t="str">
            <v>RUS</v>
          </cell>
          <cell r="F112">
            <v>40424</v>
          </cell>
          <cell r="G112" t="str">
            <v>Idaho Falls</v>
          </cell>
          <cell r="H112" t="str">
            <v xml:space="preserve"> </v>
          </cell>
        </row>
        <row r="113">
          <cell r="A113">
            <v>75</v>
          </cell>
          <cell r="B113" t="str">
            <v xml:space="preserve"> </v>
          </cell>
          <cell r="C113" t="str">
            <v xml:space="preserve"> </v>
          </cell>
          <cell r="E113" t="str">
            <v xml:space="preserve"> </v>
          </cell>
          <cell r="F113" t="str">
            <v xml:space="preserve"> </v>
          </cell>
          <cell r="G113" t="str">
            <v xml:space="preserve"> </v>
          </cell>
          <cell r="H113" t="str">
            <v xml:space="preserve"> </v>
          </cell>
        </row>
        <row r="114">
          <cell r="A114">
            <v>82.5</v>
          </cell>
          <cell r="B114" t="str">
            <v xml:space="preserve"> </v>
          </cell>
          <cell r="C114" t="str">
            <v xml:space="preserve"> </v>
          </cell>
          <cell r="E114" t="str">
            <v xml:space="preserve"> </v>
          </cell>
          <cell r="F114" t="str">
            <v xml:space="preserve"> </v>
          </cell>
          <cell r="G114" t="str">
            <v xml:space="preserve"> </v>
          </cell>
          <cell r="H114" t="str">
            <v xml:space="preserve"> </v>
          </cell>
        </row>
        <row r="115">
          <cell r="A115">
            <v>90</v>
          </cell>
          <cell r="B115" t="str">
            <v xml:space="preserve"> </v>
          </cell>
          <cell r="C115" t="str">
            <v xml:space="preserve"> </v>
          </cell>
          <cell r="E115" t="str">
            <v xml:space="preserve"> </v>
          </cell>
          <cell r="F115" t="str">
            <v xml:space="preserve"> </v>
          </cell>
          <cell r="G115" t="str">
            <v xml:space="preserve"> </v>
          </cell>
          <cell r="H115" t="str">
            <v xml:space="preserve"> </v>
          </cell>
        </row>
        <row r="116">
          <cell r="A116" t="str">
            <v>90+</v>
          </cell>
          <cell r="B116" t="str">
            <v xml:space="preserve"> </v>
          </cell>
          <cell r="C116" t="str">
            <v xml:space="preserve"> </v>
          </cell>
          <cell r="E116" t="str">
            <v xml:space="preserve"> </v>
          </cell>
          <cell r="F116" t="str">
            <v xml:space="preserve"> </v>
          </cell>
          <cell r="G116" t="str">
            <v xml:space="preserve"> </v>
          </cell>
          <cell r="H116" t="str">
            <v xml:space="preserve"> </v>
          </cell>
        </row>
        <row r="117">
          <cell r="C117" t="str">
            <v xml:space="preserve">60-64 </v>
          </cell>
          <cell r="E117" t="str">
            <v xml:space="preserve"> </v>
          </cell>
          <cell r="F117" t="str">
            <v xml:space="preserve"> </v>
          </cell>
          <cell r="G117" t="str">
            <v xml:space="preserve"> </v>
          </cell>
          <cell r="H117" t="str">
            <v xml:space="preserve"> </v>
          </cell>
        </row>
        <row r="118">
          <cell r="A118">
            <v>44</v>
          </cell>
          <cell r="B118" t="str">
            <v xml:space="preserve"> </v>
          </cell>
          <cell r="C118" t="str">
            <v xml:space="preserve"> </v>
          </cell>
          <cell r="E118" t="str">
            <v xml:space="preserve"> </v>
          </cell>
          <cell r="F118" t="str">
            <v xml:space="preserve"> </v>
          </cell>
          <cell r="G118" t="str">
            <v xml:space="preserve"> </v>
          </cell>
          <cell r="H118" t="str">
            <v xml:space="preserve"> </v>
          </cell>
        </row>
        <row r="119">
          <cell r="A119">
            <v>48</v>
          </cell>
          <cell r="B119" t="str">
            <v xml:space="preserve"> </v>
          </cell>
          <cell r="C119" t="str">
            <v xml:space="preserve"> </v>
          </cell>
          <cell r="E119" t="str">
            <v xml:space="preserve"> </v>
          </cell>
          <cell r="F119" t="str">
            <v xml:space="preserve"> </v>
          </cell>
          <cell r="G119" t="str">
            <v xml:space="preserve"> </v>
          </cell>
          <cell r="H119" t="str">
            <v xml:space="preserve"> </v>
          </cell>
        </row>
        <row r="120">
          <cell r="A120">
            <v>52</v>
          </cell>
          <cell r="B120" t="str">
            <v xml:space="preserve"> </v>
          </cell>
          <cell r="C120" t="str">
            <v xml:space="preserve"> </v>
          </cell>
          <cell r="E120" t="str">
            <v xml:space="preserve"> </v>
          </cell>
          <cell r="F120" t="str">
            <v xml:space="preserve"> </v>
          </cell>
          <cell r="G120" t="str">
            <v xml:space="preserve"> </v>
          </cell>
          <cell r="H120" t="str">
            <v xml:space="preserve"> </v>
          </cell>
        </row>
        <row r="121">
          <cell r="A121">
            <v>56</v>
          </cell>
          <cell r="B121" t="str">
            <v xml:space="preserve"> </v>
          </cell>
          <cell r="C121" t="str">
            <v xml:space="preserve"> </v>
          </cell>
          <cell r="E121" t="str">
            <v xml:space="preserve"> </v>
          </cell>
          <cell r="F121" t="str">
            <v xml:space="preserve"> </v>
          </cell>
          <cell r="G121" t="str">
            <v xml:space="preserve"> </v>
          </cell>
          <cell r="H121" t="str">
            <v xml:space="preserve"> </v>
          </cell>
        </row>
        <row r="122">
          <cell r="A122">
            <v>60</v>
          </cell>
          <cell r="B122">
            <v>47.5</v>
          </cell>
          <cell r="C122" t="str">
            <v>Kondratyeva,Galina</v>
          </cell>
          <cell r="E122" t="str">
            <v>RUS</v>
          </cell>
          <cell r="F122" t="str">
            <v>22.08.2014</v>
          </cell>
          <cell r="G122" t="str">
            <v>Moscow</v>
          </cell>
          <cell r="H122" t="str">
            <v xml:space="preserve"> </v>
          </cell>
        </row>
        <row r="123">
          <cell r="A123">
            <v>67.5</v>
          </cell>
          <cell r="B123" t="str">
            <v xml:space="preserve"> </v>
          </cell>
          <cell r="C123" t="str">
            <v xml:space="preserve"> </v>
          </cell>
          <cell r="E123" t="str">
            <v xml:space="preserve"> </v>
          </cell>
          <cell r="F123" t="str">
            <v xml:space="preserve"> </v>
          </cell>
          <cell r="G123" t="str">
            <v xml:space="preserve"> </v>
          </cell>
          <cell r="H123" t="str">
            <v xml:space="preserve"> </v>
          </cell>
        </row>
        <row r="124">
          <cell r="A124">
            <v>75</v>
          </cell>
          <cell r="B124" t="str">
            <v xml:space="preserve"> </v>
          </cell>
          <cell r="C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 xml:space="preserve"> </v>
          </cell>
        </row>
        <row r="125">
          <cell r="A125">
            <v>82.5</v>
          </cell>
          <cell r="B125" t="str">
            <v xml:space="preserve"> </v>
          </cell>
          <cell r="C125" t="str">
            <v xml:space="preserve"> </v>
          </cell>
          <cell r="E125" t="str">
            <v xml:space="preserve"> </v>
          </cell>
          <cell r="F125" t="str">
            <v xml:space="preserve"> </v>
          </cell>
          <cell r="G125" t="str">
            <v xml:space="preserve"> </v>
          </cell>
          <cell r="H125" t="str">
            <v xml:space="preserve"> </v>
          </cell>
        </row>
        <row r="126">
          <cell r="A126">
            <v>90</v>
          </cell>
          <cell r="B126" t="str">
            <v xml:space="preserve"> </v>
          </cell>
          <cell r="C126" t="str">
            <v xml:space="preserve"> </v>
          </cell>
          <cell r="E126" t="str">
            <v xml:space="preserve"> </v>
          </cell>
          <cell r="F126" t="str">
            <v xml:space="preserve"> </v>
          </cell>
          <cell r="G126" t="str">
            <v xml:space="preserve"> </v>
          </cell>
          <cell r="H126" t="str">
            <v xml:space="preserve"> </v>
          </cell>
        </row>
        <row r="127">
          <cell r="A127" t="str">
            <v>90+</v>
          </cell>
          <cell r="B127" t="str">
            <v xml:space="preserve"> </v>
          </cell>
          <cell r="C127" t="str">
            <v xml:space="preserve"> </v>
          </cell>
          <cell r="E127" t="str">
            <v xml:space="preserve"> </v>
          </cell>
          <cell r="F127" t="str">
            <v xml:space="preserve"> </v>
          </cell>
          <cell r="G127" t="str">
            <v xml:space="preserve"> </v>
          </cell>
          <cell r="H127" t="str">
            <v xml:space="preserve"> </v>
          </cell>
        </row>
        <row r="128">
          <cell r="C128" t="str">
            <v xml:space="preserve">65-69 </v>
          </cell>
          <cell r="E128" t="str">
            <v xml:space="preserve"> </v>
          </cell>
          <cell r="F128" t="str">
            <v xml:space="preserve"> </v>
          </cell>
          <cell r="G128" t="str">
            <v xml:space="preserve"> </v>
          </cell>
          <cell r="H128" t="str">
            <v xml:space="preserve"> </v>
          </cell>
        </row>
        <row r="129">
          <cell r="A129">
            <v>44</v>
          </cell>
          <cell r="B129" t="str">
            <v xml:space="preserve"> </v>
          </cell>
          <cell r="C129" t="str">
            <v xml:space="preserve"> </v>
          </cell>
          <cell r="E129" t="str">
            <v xml:space="preserve"> </v>
          </cell>
          <cell r="F129" t="str">
            <v xml:space="preserve"> </v>
          </cell>
          <cell r="G129" t="str">
            <v xml:space="preserve"> </v>
          </cell>
          <cell r="H129" t="str">
            <v xml:space="preserve"> </v>
          </cell>
        </row>
        <row r="130">
          <cell r="A130">
            <v>48</v>
          </cell>
          <cell r="B130" t="str">
            <v xml:space="preserve"> </v>
          </cell>
          <cell r="C130" t="str">
            <v xml:space="preserve"> </v>
          </cell>
          <cell r="E130" t="str">
            <v xml:space="preserve"> </v>
          </cell>
          <cell r="F130" t="str">
            <v xml:space="preserve"> </v>
          </cell>
          <cell r="G130" t="str">
            <v xml:space="preserve"> </v>
          </cell>
          <cell r="H130" t="str">
            <v xml:space="preserve"> </v>
          </cell>
        </row>
        <row r="131">
          <cell r="A131">
            <v>52</v>
          </cell>
          <cell r="B131" t="str">
            <v xml:space="preserve"> </v>
          </cell>
          <cell r="C131" t="str">
            <v xml:space="preserve"> </v>
          </cell>
          <cell r="E131" t="str">
            <v xml:space="preserve"> </v>
          </cell>
          <cell r="F131" t="str">
            <v xml:space="preserve"> </v>
          </cell>
          <cell r="G131" t="str">
            <v xml:space="preserve"> </v>
          </cell>
          <cell r="H131" t="str">
            <v xml:space="preserve"> </v>
          </cell>
        </row>
        <row r="132">
          <cell r="A132">
            <v>56</v>
          </cell>
          <cell r="B132" t="str">
            <v xml:space="preserve"> </v>
          </cell>
          <cell r="C132" t="str">
            <v xml:space="preserve"> </v>
          </cell>
          <cell r="E132" t="str">
            <v xml:space="preserve"> </v>
          </cell>
          <cell r="F132" t="str">
            <v xml:space="preserve"> </v>
          </cell>
          <cell r="G132" t="str">
            <v xml:space="preserve"> </v>
          </cell>
          <cell r="H132" t="str">
            <v xml:space="preserve"> </v>
          </cell>
        </row>
        <row r="133">
          <cell r="A133">
            <v>60</v>
          </cell>
          <cell r="B133" t="str">
            <v xml:space="preserve"> </v>
          </cell>
          <cell r="C133" t="str">
            <v xml:space="preserve"> </v>
          </cell>
          <cell r="E133" t="str">
            <v xml:space="preserve"> </v>
          </cell>
          <cell r="F133" t="str">
            <v xml:space="preserve"> </v>
          </cell>
          <cell r="G133" t="str">
            <v xml:space="preserve"> </v>
          </cell>
          <cell r="H133" t="str">
            <v xml:space="preserve"> </v>
          </cell>
        </row>
        <row r="134">
          <cell r="A134">
            <v>67.5</v>
          </cell>
          <cell r="B134" t="str">
            <v xml:space="preserve"> </v>
          </cell>
          <cell r="C134" t="str">
            <v xml:space="preserve"> </v>
          </cell>
          <cell r="E134" t="str">
            <v xml:space="preserve"> </v>
          </cell>
          <cell r="F134" t="str">
            <v xml:space="preserve"> </v>
          </cell>
          <cell r="G134" t="str">
            <v xml:space="preserve"> </v>
          </cell>
          <cell r="H134" t="str">
            <v xml:space="preserve"> </v>
          </cell>
        </row>
        <row r="135">
          <cell r="A135">
            <v>75</v>
          </cell>
          <cell r="B135" t="str">
            <v xml:space="preserve"> </v>
          </cell>
          <cell r="C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 xml:space="preserve"> </v>
          </cell>
        </row>
        <row r="136">
          <cell r="A136">
            <v>82.5</v>
          </cell>
          <cell r="B136">
            <v>32.5</v>
          </cell>
          <cell r="C136" t="str">
            <v>Sink,Janet</v>
          </cell>
          <cell r="E136" t="str">
            <v>USA</v>
          </cell>
          <cell r="F136">
            <v>41012</v>
          </cell>
          <cell r="G136" t="str">
            <v>Burr Ridge</v>
          </cell>
          <cell r="H136" t="str">
            <v xml:space="preserve"> </v>
          </cell>
        </row>
        <row r="137">
          <cell r="A137">
            <v>90</v>
          </cell>
          <cell r="B137">
            <v>40</v>
          </cell>
          <cell r="C137" t="str">
            <v>Sink,Janet</v>
          </cell>
          <cell r="E137" t="str">
            <v>USA</v>
          </cell>
          <cell r="F137">
            <v>40634</v>
          </cell>
          <cell r="G137" t="str">
            <v>West Palm Beach</v>
          </cell>
          <cell r="H137" t="str">
            <v xml:space="preserve"> </v>
          </cell>
        </row>
        <row r="138">
          <cell r="A138" t="str">
            <v>90+</v>
          </cell>
          <cell r="B138" t="str">
            <v xml:space="preserve"> </v>
          </cell>
          <cell r="C138" t="str">
            <v xml:space="preserve"> </v>
          </cell>
          <cell r="E138" t="str">
            <v xml:space="preserve"> </v>
          </cell>
          <cell r="F138" t="str">
            <v xml:space="preserve"> </v>
          </cell>
          <cell r="G138" t="str">
            <v xml:space="preserve"> </v>
          </cell>
          <cell r="H138" t="str">
            <v xml:space="preserve"> </v>
          </cell>
        </row>
        <row r="139">
          <cell r="C139" t="str">
            <v xml:space="preserve">70-74 </v>
          </cell>
          <cell r="E139" t="str">
            <v xml:space="preserve"> </v>
          </cell>
          <cell r="F139" t="str">
            <v xml:space="preserve"> </v>
          </cell>
          <cell r="G139" t="str">
            <v xml:space="preserve"> </v>
          </cell>
          <cell r="H139" t="str">
            <v xml:space="preserve"> </v>
          </cell>
        </row>
        <row r="140">
          <cell r="A140">
            <v>44</v>
          </cell>
          <cell r="B140" t="str">
            <v xml:space="preserve"> </v>
          </cell>
          <cell r="C140" t="str">
            <v xml:space="preserve"> </v>
          </cell>
          <cell r="E140" t="str">
            <v xml:space="preserve"> </v>
          </cell>
          <cell r="F140" t="str">
            <v xml:space="preserve"> </v>
          </cell>
          <cell r="G140" t="str">
            <v xml:space="preserve"> </v>
          </cell>
          <cell r="H140" t="str">
            <v xml:space="preserve"> </v>
          </cell>
        </row>
        <row r="141">
          <cell r="A141">
            <v>48</v>
          </cell>
          <cell r="B141" t="str">
            <v xml:space="preserve"> </v>
          </cell>
          <cell r="C141" t="str">
            <v xml:space="preserve"> </v>
          </cell>
          <cell r="E141" t="str">
            <v xml:space="preserve"> </v>
          </cell>
          <cell r="F141" t="str">
            <v xml:space="preserve"> </v>
          </cell>
          <cell r="G141" t="str">
            <v xml:space="preserve"> </v>
          </cell>
          <cell r="H141" t="str">
            <v xml:space="preserve"> </v>
          </cell>
        </row>
        <row r="142">
          <cell r="A142">
            <v>52</v>
          </cell>
          <cell r="B142" t="str">
            <v xml:space="preserve"> </v>
          </cell>
          <cell r="C142" t="str">
            <v xml:space="preserve"> </v>
          </cell>
          <cell r="E142" t="str">
            <v xml:space="preserve"> </v>
          </cell>
          <cell r="F142" t="str">
            <v xml:space="preserve"> </v>
          </cell>
          <cell r="G142" t="str">
            <v xml:space="preserve"> </v>
          </cell>
          <cell r="H142" t="str">
            <v xml:space="preserve"> </v>
          </cell>
        </row>
        <row r="143">
          <cell r="A143">
            <v>56</v>
          </cell>
          <cell r="B143" t="str">
            <v xml:space="preserve"> </v>
          </cell>
          <cell r="C143" t="str">
            <v xml:space="preserve"> </v>
          </cell>
          <cell r="E143" t="str">
            <v xml:space="preserve"> </v>
          </cell>
          <cell r="F143" t="str">
            <v xml:space="preserve"> </v>
          </cell>
          <cell r="G143" t="str">
            <v xml:space="preserve"> </v>
          </cell>
          <cell r="H143" t="str">
            <v xml:space="preserve"> </v>
          </cell>
        </row>
        <row r="144">
          <cell r="A144">
            <v>60</v>
          </cell>
          <cell r="B144" t="str">
            <v xml:space="preserve"> </v>
          </cell>
          <cell r="C144" t="str">
            <v xml:space="preserve"> </v>
          </cell>
          <cell r="E144" t="str">
            <v xml:space="preserve"> </v>
          </cell>
          <cell r="F144" t="str">
            <v xml:space="preserve"> </v>
          </cell>
          <cell r="G144" t="str">
            <v xml:space="preserve"> </v>
          </cell>
          <cell r="H144" t="str">
            <v xml:space="preserve"> </v>
          </cell>
        </row>
        <row r="145">
          <cell r="A145">
            <v>67.5</v>
          </cell>
          <cell r="B145" t="str">
            <v xml:space="preserve"> </v>
          </cell>
          <cell r="C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 xml:space="preserve"> </v>
          </cell>
        </row>
        <row r="146">
          <cell r="A146">
            <v>75</v>
          </cell>
          <cell r="B146" t="str">
            <v xml:space="preserve"> </v>
          </cell>
          <cell r="C146" t="str">
            <v xml:space="preserve"> </v>
          </cell>
          <cell r="E146" t="str">
            <v xml:space="preserve"> </v>
          </cell>
          <cell r="F146" t="str">
            <v xml:space="preserve"> </v>
          </cell>
          <cell r="G146" t="str">
            <v xml:space="preserve"> </v>
          </cell>
          <cell r="H146" t="str">
            <v xml:space="preserve"> </v>
          </cell>
        </row>
        <row r="147">
          <cell r="A147">
            <v>82.5</v>
          </cell>
          <cell r="B147" t="str">
            <v xml:space="preserve"> </v>
          </cell>
          <cell r="C147" t="str">
            <v xml:space="preserve">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 xml:space="preserve"> </v>
          </cell>
        </row>
        <row r="148">
          <cell r="A148">
            <v>90</v>
          </cell>
          <cell r="B148">
            <v>45</v>
          </cell>
          <cell r="C148" t="str">
            <v>Sink,Janet</v>
          </cell>
          <cell r="E148" t="str">
            <v>USA</v>
          </cell>
          <cell r="F148">
            <v>41390</v>
          </cell>
          <cell r="G148" t="str">
            <v>Grand Rapids,MI</v>
          </cell>
          <cell r="H148" t="str">
            <v xml:space="preserve"> </v>
          </cell>
        </row>
        <row r="149">
          <cell r="A149" t="str">
            <v>90+</v>
          </cell>
          <cell r="B149" t="str">
            <v xml:space="preserve"> </v>
          </cell>
          <cell r="C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 xml:space="preserve"> </v>
          </cell>
        </row>
        <row r="150">
          <cell r="C150" t="str">
            <v xml:space="preserve">75-79 </v>
          </cell>
          <cell r="E150" t="str">
            <v xml:space="preserve"> </v>
          </cell>
          <cell r="F150" t="str">
            <v xml:space="preserve"> </v>
          </cell>
          <cell r="G150" t="str">
            <v xml:space="preserve"> </v>
          </cell>
          <cell r="H150" t="str">
            <v xml:space="preserve"> </v>
          </cell>
        </row>
        <row r="151">
          <cell r="A151">
            <v>44</v>
          </cell>
          <cell r="B151" t="str">
            <v xml:space="preserve"> </v>
          </cell>
          <cell r="C151" t="str">
            <v xml:space="preserve"> </v>
          </cell>
          <cell r="E151" t="str">
            <v xml:space="preserve"> </v>
          </cell>
          <cell r="F151" t="str">
            <v xml:space="preserve"> </v>
          </cell>
          <cell r="G151" t="str">
            <v xml:space="preserve"> </v>
          </cell>
          <cell r="H151" t="str">
            <v xml:space="preserve"> </v>
          </cell>
        </row>
        <row r="152">
          <cell r="A152">
            <v>48</v>
          </cell>
          <cell r="B152" t="str">
            <v xml:space="preserve"> </v>
          </cell>
          <cell r="C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G152" t="str">
            <v xml:space="preserve"> </v>
          </cell>
          <cell r="H152" t="str">
            <v xml:space="preserve"> </v>
          </cell>
        </row>
        <row r="153">
          <cell r="A153">
            <v>52</v>
          </cell>
          <cell r="B153" t="str">
            <v xml:space="preserve"> </v>
          </cell>
          <cell r="C153" t="str">
            <v xml:space="preserve"> </v>
          </cell>
          <cell r="E153" t="str">
            <v xml:space="preserve"> </v>
          </cell>
          <cell r="F153" t="str">
            <v xml:space="preserve"> </v>
          </cell>
          <cell r="G153" t="str">
            <v xml:space="preserve"> </v>
          </cell>
          <cell r="H153" t="str">
            <v xml:space="preserve"> </v>
          </cell>
        </row>
        <row r="154">
          <cell r="A154">
            <v>56</v>
          </cell>
          <cell r="B154" t="str">
            <v xml:space="preserve"> </v>
          </cell>
          <cell r="C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  <cell r="H154" t="str">
            <v xml:space="preserve"> </v>
          </cell>
        </row>
        <row r="155">
          <cell r="A155">
            <v>60</v>
          </cell>
          <cell r="B155" t="str">
            <v xml:space="preserve"> </v>
          </cell>
          <cell r="C155" t="str">
            <v xml:space="preserve"> </v>
          </cell>
          <cell r="E155" t="str">
            <v xml:space="preserve"> </v>
          </cell>
          <cell r="F155" t="str">
            <v xml:space="preserve"> </v>
          </cell>
          <cell r="G155" t="str">
            <v xml:space="preserve"> </v>
          </cell>
          <cell r="H155" t="str">
            <v xml:space="preserve"> </v>
          </cell>
        </row>
        <row r="156">
          <cell r="A156">
            <v>67.5</v>
          </cell>
          <cell r="B156" t="str">
            <v xml:space="preserve"> </v>
          </cell>
          <cell r="C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  <cell r="H156" t="str">
            <v xml:space="preserve"> </v>
          </cell>
        </row>
        <row r="157">
          <cell r="A157">
            <v>75</v>
          </cell>
          <cell r="B157">
            <v>46</v>
          </cell>
          <cell r="C157" t="str">
            <v>Tsverova,Galina</v>
          </cell>
          <cell r="E157" t="str">
            <v>RUS</v>
          </cell>
          <cell r="F157">
            <v>40088</v>
          </cell>
          <cell r="G157" t="str">
            <v>Rostov</v>
          </cell>
          <cell r="H157" t="str">
            <v xml:space="preserve"> </v>
          </cell>
        </row>
        <row r="158">
          <cell r="A158">
            <v>82.5</v>
          </cell>
          <cell r="B158" t="str">
            <v xml:space="preserve"> </v>
          </cell>
          <cell r="C158" t="str">
            <v xml:space="preserve"> </v>
          </cell>
          <cell r="E158" t="str">
            <v xml:space="preserve"> </v>
          </cell>
          <cell r="F158" t="str">
            <v xml:space="preserve"> </v>
          </cell>
          <cell r="G158" t="str">
            <v xml:space="preserve"> </v>
          </cell>
          <cell r="H158" t="str">
            <v xml:space="preserve"> </v>
          </cell>
        </row>
        <row r="159">
          <cell r="A159">
            <v>90</v>
          </cell>
          <cell r="B159" t="str">
            <v xml:space="preserve"> </v>
          </cell>
          <cell r="C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 xml:space="preserve"> </v>
          </cell>
        </row>
        <row r="160">
          <cell r="A160" t="str">
            <v>90+</v>
          </cell>
          <cell r="B160" t="str">
            <v xml:space="preserve"> </v>
          </cell>
          <cell r="C160" t="str">
            <v xml:space="preserve"> </v>
          </cell>
          <cell r="E160" t="str">
            <v xml:space="preserve"> </v>
          </cell>
          <cell r="F160" t="str">
            <v xml:space="preserve"> </v>
          </cell>
          <cell r="G160" t="str">
            <v xml:space="preserve"> </v>
          </cell>
          <cell r="H160" t="str">
            <v xml:space="preserve"> </v>
          </cell>
        </row>
        <row r="161">
          <cell r="C161" t="str">
            <v xml:space="preserve">80-84  </v>
          </cell>
          <cell r="F161" t="str">
            <v xml:space="preserve"> </v>
          </cell>
          <cell r="G161" t="str">
            <v xml:space="preserve"> </v>
          </cell>
          <cell r="H161" t="str">
            <v xml:space="preserve"> </v>
          </cell>
        </row>
        <row r="162">
          <cell r="A162">
            <v>44</v>
          </cell>
          <cell r="B162" t="str">
            <v xml:space="preserve"> </v>
          </cell>
          <cell r="C162" t="str">
            <v xml:space="preserve"> </v>
          </cell>
          <cell r="E162" t="str">
            <v xml:space="preserve"> </v>
          </cell>
          <cell r="F162" t="str">
            <v xml:space="preserve"> </v>
          </cell>
          <cell r="G162" t="str">
            <v xml:space="preserve"> </v>
          </cell>
          <cell r="H162" t="str">
            <v xml:space="preserve"> </v>
          </cell>
        </row>
        <row r="163">
          <cell r="A163">
            <v>48</v>
          </cell>
          <cell r="B163" t="str">
            <v xml:space="preserve"> </v>
          </cell>
          <cell r="C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 xml:space="preserve"> </v>
          </cell>
        </row>
        <row r="164">
          <cell r="A164">
            <v>52</v>
          </cell>
          <cell r="B164" t="str">
            <v xml:space="preserve"> </v>
          </cell>
          <cell r="C164" t="str">
            <v xml:space="preserve"> </v>
          </cell>
          <cell r="E164" t="str">
            <v xml:space="preserve"> </v>
          </cell>
          <cell r="F164" t="str">
            <v xml:space="preserve"> </v>
          </cell>
          <cell r="G164" t="str">
            <v xml:space="preserve"> </v>
          </cell>
          <cell r="H164" t="str">
            <v xml:space="preserve"> </v>
          </cell>
        </row>
        <row r="165">
          <cell r="A165">
            <v>56</v>
          </cell>
          <cell r="B165" t="str">
            <v xml:space="preserve"> </v>
          </cell>
          <cell r="C165" t="str">
            <v xml:space="preserve"> </v>
          </cell>
          <cell r="E165" t="str">
            <v xml:space="preserve"> </v>
          </cell>
          <cell r="F165" t="str">
            <v xml:space="preserve"> </v>
          </cell>
          <cell r="G165" t="str">
            <v xml:space="preserve"> </v>
          </cell>
          <cell r="H165" t="str">
            <v xml:space="preserve"> </v>
          </cell>
        </row>
        <row r="166">
          <cell r="A166">
            <v>60</v>
          </cell>
          <cell r="B166" t="str">
            <v xml:space="preserve"> </v>
          </cell>
          <cell r="C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  <cell r="H166" t="str">
            <v xml:space="preserve"> </v>
          </cell>
        </row>
        <row r="167">
          <cell r="A167">
            <v>67.5</v>
          </cell>
          <cell r="B167" t="str">
            <v xml:space="preserve"> </v>
          </cell>
          <cell r="C167" t="str">
            <v xml:space="preserve"> </v>
          </cell>
          <cell r="E167" t="str">
            <v xml:space="preserve"> </v>
          </cell>
          <cell r="F167" t="str">
            <v xml:space="preserve"> </v>
          </cell>
          <cell r="G167" t="str">
            <v xml:space="preserve"> </v>
          </cell>
          <cell r="H167" t="str">
            <v xml:space="preserve"> </v>
          </cell>
        </row>
        <row r="168">
          <cell r="A168">
            <v>75</v>
          </cell>
          <cell r="B168">
            <v>50</v>
          </cell>
          <cell r="C168" t="str">
            <v>Tsverova,Galina</v>
          </cell>
          <cell r="E168" t="str">
            <v>RUS</v>
          </cell>
          <cell r="F168">
            <v>41201</v>
          </cell>
          <cell r="G168" t="str">
            <v>Krasnodar</v>
          </cell>
          <cell r="H168" t="str">
            <v xml:space="preserve"> </v>
          </cell>
        </row>
        <row r="169">
          <cell r="A169">
            <v>82.5</v>
          </cell>
          <cell r="B169" t="str">
            <v xml:space="preserve"> </v>
          </cell>
          <cell r="C169" t="str">
            <v xml:space="preserve"> </v>
          </cell>
          <cell r="E169" t="str">
            <v xml:space="preserve"> </v>
          </cell>
          <cell r="F169" t="str">
            <v xml:space="preserve"> </v>
          </cell>
          <cell r="G169" t="str">
            <v xml:space="preserve"> </v>
          </cell>
          <cell r="H169" t="str">
            <v xml:space="preserve"> </v>
          </cell>
        </row>
        <row r="170">
          <cell r="A170">
            <v>90</v>
          </cell>
          <cell r="B170" t="str">
            <v xml:space="preserve"> </v>
          </cell>
          <cell r="C170" t="str">
            <v xml:space="preserve"> </v>
          </cell>
          <cell r="E170" t="str">
            <v xml:space="preserve"> </v>
          </cell>
          <cell r="F170" t="str">
            <v xml:space="preserve"> </v>
          </cell>
          <cell r="G170" t="str">
            <v xml:space="preserve"> </v>
          </cell>
          <cell r="H170" t="str">
            <v xml:space="preserve"> </v>
          </cell>
        </row>
        <row r="171">
          <cell r="A171" t="str">
            <v>90+</v>
          </cell>
          <cell r="B171" t="str">
            <v xml:space="preserve"> </v>
          </cell>
          <cell r="C171" t="str">
            <v xml:space="preserve"> </v>
          </cell>
          <cell r="E171" t="str">
            <v xml:space="preserve"> </v>
          </cell>
          <cell r="F171" t="str">
            <v xml:space="preserve"> </v>
          </cell>
          <cell r="G171" t="str">
            <v xml:space="preserve"> </v>
          </cell>
          <cell r="H171" t="str">
            <v xml:space="preserve"> </v>
          </cell>
        </row>
      </sheetData>
      <sheetData sheetId="1">
        <row r="1">
          <cell r="A1"/>
          <cell r="B1" t="str">
            <v xml:space="preserve"> AWPC RAW Bench Records</v>
          </cell>
        </row>
        <row r="2">
          <cell r="C2" t="str">
            <v>Men's Open</v>
          </cell>
        </row>
        <row r="3">
          <cell r="A3">
            <v>52</v>
          </cell>
          <cell r="B3">
            <v>147.5</v>
          </cell>
          <cell r="C3" t="str">
            <v>Shanin Alexandr</v>
          </cell>
          <cell r="D3">
            <v>78</v>
          </cell>
          <cell r="E3" t="str">
            <v>RUS</v>
          </cell>
          <cell r="F3">
            <v>41608</v>
          </cell>
          <cell r="G3" t="str">
            <v>Yekaterinburg</v>
          </cell>
          <cell r="H3" t="str">
            <v xml:space="preserve"> </v>
          </cell>
        </row>
        <row r="4">
          <cell r="A4">
            <v>56</v>
          </cell>
          <cell r="B4">
            <v>155</v>
          </cell>
          <cell r="C4" t="str">
            <v>Karaziya Sergei</v>
          </cell>
          <cell r="D4">
            <v>87</v>
          </cell>
          <cell r="E4" t="str">
            <v xml:space="preserve"> RUS</v>
          </cell>
          <cell r="F4" t="str">
            <v>23.08.2014</v>
          </cell>
          <cell r="G4" t="str">
            <v>Moscow</v>
          </cell>
          <cell r="H4" t="str">
            <v xml:space="preserve"> </v>
          </cell>
        </row>
        <row r="5">
          <cell r="A5">
            <v>60</v>
          </cell>
          <cell r="B5">
            <v>170.5</v>
          </cell>
          <cell r="C5" t="str">
            <v>Kalaychev Yanis</v>
          </cell>
          <cell r="D5">
            <v>85</v>
          </cell>
          <cell r="E5" t="str">
            <v>RUS</v>
          </cell>
          <cell r="F5">
            <v>41503</v>
          </cell>
          <cell r="G5" t="str">
            <v>Novosibirsk</v>
          </cell>
          <cell r="H5" t="str">
            <v>4th</v>
          </cell>
        </row>
        <row r="6">
          <cell r="A6">
            <v>67.5</v>
          </cell>
          <cell r="B6">
            <v>175</v>
          </cell>
          <cell r="C6" t="str">
            <v>Bezhashvili Tsotne</v>
          </cell>
          <cell r="D6">
            <v>85</v>
          </cell>
          <cell r="E6" t="str">
            <v>GEO</v>
          </cell>
          <cell r="F6">
            <v>41128</v>
          </cell>
          <cell r="G6" t="str">
            <v>Kryvyi Rig</v>
          </cell>
          <cell r="H6" t="str">
            <v>4th</v>
          </cell>
        </row>
        <row r="7">
          <cell r="A7">
            <v>75</v>
          </cell>
          <cell r="B7">
            <v>195.5</v>
          </cell>
          <cell r="C7" t="str">
            <v>Milostnoy Stanislav</v>
          </cell>
          <cell r="D7">
            <v>78</v>
          </cell>
          <cell r="E7" t="str">
            <v xml:space="preserve"> RUS</v>
          </cell>
          <cell r="F7">
            <v>40814</v>
          </cell>
          <cell r="G7" t="str">
            <v>Yekaterinburg</v>
          </cell>
          <cell r="H7" t="str">
            <v xml:space="preserve">  </v>
          </cell>
        </row>
        <row r="8">
          <cell r="A8">
            <v>82.5</v>
          </cell>
          <cell r="B8">
            <v>212.5</v>
          </cell>
          <cell r="C8" t="str">
            <v>Sapozhonkov Andrei</v>
          </cell>
          <cell r="D8">
            <v>87</v>
          </cell>
          <cell r="E8" t="str">
            <v>RUS</v>
          </cell>
          <cell r="F8" t="str">
            <v>23.08.2014</v>
          </cell>
          <cell r="G8" t="str">
            <v>Moscow</v>
          </cell>
          <cell r="H8"/>
        </row>
        <row r="9">
          <cell r="A9">
            <v>90</v>
          </cell>
          <cell r="B9">
            <v>215</v>
          </cell>
          <cell r="C9" t="str">
            <v>Knurek Gary</v>
          </cell>
          <cell r="D9">
            <v>81</v>
          </cell>
          <cell r="E9" t="str">
            <v>USA</v>
          </cell>
          <cell r="F9">
            <v>41111</v>
          </cell>
          <cell r="G9" t="str">
            <v>Detroit</v>
          </cell>
          <cell r="H9" t="str">
            <v xml:space="preserve">  </v>
          </cell>
        </row>
        <row r="10">
          <cell r="A10">
            <v>100</v>
          </cell>
          <cell r="B10">
            <v>232.5</v>
          </cell>
          <cell r="C10" t="str">
            <v>Filimonov Oleg</v>
          </cell>
          <cell r="D10">
            <v>87</v>
          </cell>
          <cell r="E10" t="str">
            <v xml:space="preserve"> RUS</v>
          </cell>
          <cell r="F10" t="str">
            <v>23.08.2014</v>
          </cell>
          <cell r="G10" t="str">
            <v>Moscow</v>
          </cell>
          <cell r="H10" t="str">
            <v xml:space="preserve"> </v>
          </cell>
        </row>
        <row r="11">
          <cell r="A11">
            <v>110</v>
          </cell>
          <cell r="B11">
            <v>232.5</v>
          </cell>
          <cell r="C11" t="str">
            <v>Tenetko Dmitriy</v>
          </cell>
          <cell r="D11">
            <v>75</v>
          </cell>
          <cell r="E11" t="str">
            <v xml:space="preserve"> RUS</v>
          </cell>
          <cell r="F11" t="str">
            <v>23.08.2014</v>
          </cell>
          <cell r="G11" t="str">
            <v>Moscow</v>
          </cell>
          <cell r="H11"/>
        </row>
        <row r="12">
          <cell r="A12">
            <v>125</v>
          </cell>
          <cell r="B12">
            <v>250</v>
          </cell>
          <cell r="C12" t="str">
            <v>Zavgorodniy Andrei</v>
          </cell>
          <cell r="D12">
            <v>81</v>
          </cell>
          <cell r="E12" t="str">
            <v>RUS</v>
          </cell>
          <cell r="F12">
            <v>41020</v>
          </cell>
          <cell r="G12" t="str">
            <v>Rostov</v>
          </cell>
          <cell r="H12" t="str">
            <v xml:space="preserve"> </v>
          </cell>
        </row>
        <row r="13">
          <cell r="A13">
            <v>140</v>
          </cell>
          <cell r="B13">
            <v>250</v>
          </cell>
          <cell r="C13" t="str">
            <v>Gulyan Artur</v>
          </cell>
          <cell r="D13">
            <v>82</v>
          </cell>
          <cell r="E13" t="str">
            <v>RUS</v>
          </cell>
          <cell r="F13" t="str">
            <v>30.05.2014</v>
          </cell>
          <cell r="G13" t="str">
            <v>Kursk</v>
          </cell>
          <cell r="H13" t="str">
            <v xml:space="preserve"> </v>
          </cell>
        </row>
        <row r="14">
          <cell r="A14" t="str">
            <v>140+</v>
          </cell>
          <cell r="B14">
            <v>262.5</v>
          </cell>
          <cell r="C14" t="str">
            <v>Wolfe Mike</v>
          </cell>
          <cell r="D14">
            <v>75</v>
          </cell>
          <cell r="E14" t="str">
            <v>USA</v>
          </cell>
          <cell r="F14">
            <v>41475</v>
          </cell>
          <cell r="G14" t="str">
            <v>Detroit</v>
          </cell>
          <cell r="H14" t="str">
            <v xml:space="preserve"> </v>
          </cell>
        </row>
        <row r="15">
          <cell r="B15" t="str">
            <v xml:space="preserve"> </v>
          </cell>
          <cell r="C15" t="str">
            <v xml:space="preserve"> </v>
          </cell>
        </row>
        <row r="16">
          <cell r="C16" t="str">
            <v xml:space="preserve">Men's Junior 20-23 </v>
          </cell>
        </row>
        <row r="17">
          <cell r="A17">
            <v>52</v>
          </cell>
          <cell r="B17">
            <v>97.5</v>
          </cell>
          <cell r="C17" t="str">
            <v>Skhalyakho Kaplan</v>
          </cell>
          <cell r="D17">
            <v>90</v>
          </cell>
          <cell r="E17" t="str">
            <v>RUS</v>
          </cell>
          <cell r="F17">
            <v>41201</v>
          </cell>
          <cell r="G17" t="str">
            <v>Krasnodar</v>
          </cell>
          <cell r="H17" t="str">
            <v xml:space="preserve"> </v>
          </cell>
        </row>
        <row r="18">
          <cell r="A18">
            <v>56</v>
          </cell>
          <cell r="B18">
            <v>130</v>
          </cell>
          <cell r="C18" t="str">
            <v>Karaziya Sergei</v>
          </cell>
          <cell r="D18">
            <v>87</v>
          </cell>
          <cell r="E18" t="str">
            <v>RUS</v>
          </cell>
          <cell r="F18">
            <v>40409</v>
          </cell>
          <cell r="G18" t="str">
            <v>Moscow</v>
          </cell>
          <cell r="H18" t="str">
            <v xml:space="preserve"> </v>
          </cell>
        </row>
        <row r="19">
          <cell r="A19">
            <v>60</v>
          </cell>
          <cell r="B19">
            <v>125</v>
          </cell>
          <cell r="C19" t="str">
            <v>Suyetnov Dmitry</v>
          </cell>
          <cell r="D19">
            <v>88</v>
          </cell>
          <cell r="E19" t="str">
            <v>RUS</v>
          </cell>
          <cell r="F19">
            <v>39871</v>
          </cell>
          <cell r="G19" t="str">
            <v>Chelyabinsk</v>
          </cell>
          <cell r="H19" t="str">
            <v xml:space="preserve"> </v>
          </cell>
        </row>
        <row r="20">
          <cell r="A20">
            <v>67.5</v>
          </cell>
          <cell r="B20">
            <v>160</v>
          </cell>
          <cell r="C20" t="str">
            <v>Maklakov Alexei</v>
          </cell>
          <cell r="D20">
            <v>92</v>
          </cell>
          <cell r="E20" t="str">
            <v>RUS</v>
          </cell>
          <cell r="F20" t="str">
            <v>08.02.2014</v>
          </cell>
          <cell r="G20" t="str">
            <v>Yekaterinburg</v>
          </cell>
          <cell r="H20" t="str">
            <v>4th</v>
          </cell>
        </row>
        <row r="21">
          <cell r="A21">
            <v>75</v>
          </cell>
          <cell r="B21">
            <v>182.5</v>
          </cell>
          <cell r="C21" t="str">
            <v>Bogdanov Maxim</v>
          </cell>
          <cell r="D21">
            <v>92</v>
          </cell>
          <cell r="E21" t="str">
            <v>RUS</v>
          </cell>
          <cell r="F21" t="str">
            <v>23.08.2014</v>
          </cell>
          <cell r="G21" t="str">
            <v>Moscow</v>
          </cell>
          <cell r="H21" t="str">
            <v>4th</v>
          </cell>
        </row>
        <row r="22">
          <cell r="A22">
            <v>82.5</v>
          </cell>
          <cell r="B22">
            <v>178</v>
          </cell>
          <cell r="C22" t="str">
            <v>Zhitomirskiy Yevgeniy</v>
          </cell>
          <cell r="D22">
            <v>92</v>
          </cell>
          <cell r="E22" t="str">
            <v>RUS</v>
          </cell>
          <cell r="F22" t="str">
            <v>23.08.2014</v>
          </cell>
          <cell r="G22" t="str">
            <v>Moscow</v>
          </cell>
          <cell r="H22" t="str">
            <v xml:space="preserve"> </v>
          </cell>
        </row>
        <row r="23">
          <cell r="A23">
            <v>90</v>
          </cell>
          <cell r="B23">
            <v>202.5</v>
          </cell>
          <cell r="C23" t="str">
            <v>Yusupov Khasan</v>
          </cell>
          <cell r="D23">
            <v>89</v>
          </cell>
          <cell r="E23" t="str">
            <v>RUS</v>
          </cell>
          <cell r="F23">
            <v>41438</v>
          </cell>
          <cell r="G23" t="str">
            <v>Moscow</v>
          </cell>
          <cell r="H23" t="str">
            <v>4th</v>
          </cell>
        </row>
        <row r="24">
          <cell r="A24">
            <v>100</v>
          </cell>
          <cell r="B24">
            <v>192.5</v>
          </cell>
          <cell r="C24" t="str">
            <v>Lytvynenko Dmytro</v>
          </cell>
          <cell r="D24">
            <v>89</v>
          </cell>
          <cell r="E24" t="str">
            <v>UKR</v>
          </cell>
          <cell r="F24">
            <v>41129</v>
          </cell>
          <cell r="G24" t="str">
            <v>Kryvyi Rig</v>
          </cell>
          <cell r="H24" t="str">
            <v xml:space="preserve"> </v>
          </cell>
        </row>
        <row r="25">
          <cell r="A25">
            <v>110</v>
          </cell>
          <cell r="B25">
            <v>220</v>
          </cell>
          <cell r="C25" t="str">
            <v>Sarsht Alexander</v>
          </cell>
          <cell r="D25">
            <v>87</v>
          </cell>
          <cell r="E25" t="str">
            <v>RUS</v>
          </cell>
          <cell r="F25">
            <v>39871</v>
          </cell>
          <cell r="G25" t="str">
            <v>Chelyabinsk</v>
          </cell>
          <cell r="H25" t="str">
            <v xml:space="preserve"> </v>
          </cell>
        </row>
        <row r="26">
          <cell r="A26">
            <v>125</v>
          </cell>
          <cell r="B26">
            <v>215</v>
          </cell>
          <cell r="C26" t="str">
            <v>Serbin Anatoly</v>
          </cell>
          <cell r="D26">
            <v>90</v>
          </cell>
          <cell r="E26" t="str">
            <v>RUS</v>
          </cell>
          <cell r="F26">
            <v>41201</v>
          </cell>
          <cell r="G26" t="str">
            <v>Krasnodar</v>
          </cell>
          <cell r="H26" t="str">
            <v>4th</v>
          </cell>
        </row>
        <row r="27">
          <cell r="A27">
            <v>140</v>
          </cell>
          <cell r="B27">
            <v>205</v>
          </cell>
          <cell r="C27" t="str">
            <v>Pavlenko Andriy</v>
          </cell>
          <cell r="D27">
            <v>89</v>
          </cell>
          <cell r="E27" t="str">
            <v>UKR</v>
          </cell>
          <cell r="F27">
            <v>41129</v>
          </cell>
          <cell r="G27" t="str">
            <v>Kryvyi Rig</v>
          </cell>
          <cell r="H27" t="str">
            <v xml:space="preserve"> </v>
          </cell>
        </row>
        <row r="28">
          <cell r="A28" t="str">
            <v>140+</v>
          </cell>
          <cell r="B28"/>
          <cell r="C28"/>
          <cell r="D28"/>
          <cell r="E28"/>
          <cell r="F28"/>
          <cell r="G28"/>
          <cell r="H28" t="str">
            <v xml:space="preserve"> </v>
          </cell>
        </row>
        <row r="29">
          <cell r="C29" t="str">
            <v xml:space="preserve">13-15 </v>
          </cell>
        </row>
        <row r="30">
          <cell r="A30">
            <v>52</v>
          </cell>
          <cell r="B30">
            <v>82.5</v>
          </cell>
          <cell r="C30" t="str">
            <v>Starilov Vitaliy</v>
          </cell>
          <cell r="D30">
            <v>94</v>
          </cell>
          <cell r="E30" t="str">
            <v>RUS</v>
          </cell>
          <cell r="F30">
            <v>40257</v>
          </cell>
          <cell r="G30" t="str">
            <v>Курск</v>
          </cell>
          <cell r="H30" t="str">
            <v xml:space="preserve"> </v>
          </cell>
        </row>
        <row r="31">
          <cell r="A31">
            <v>56</v>
          </cell>
          <cell r="B31">
            <v>92.5</v>
          </cell>
          <cell r="C31" t="str">
            <v>Kudryavtsev Ivan</v>
          </cell>
          <cell r="D31">
            <v>93</v>
          </cell>
          <cell r="E31" t="str">
            <v>RUS</v>
          </cell>
          <cell r="F31">
            <v>39871</v>
          </cell>
          <cell r="G31" t="str">
            <v>Chelyabinsk</v>
          </cell>
          <cell r="H31" t="str">
            <v xml:space="preserve"> </v>
          </cell>
        </row>
        <row r="32">
          <cell r="A32">
            <v>60</v>
          </cell>
          <cell r="B32">
            <v>105</v>
          </cell>
          <cell r="C32" t="str">
            <v>Yazovskikh Yaroslav</v>
          </cell>
          <cell r="D32">
            <v>97</v>
          </cell>
          <cell r="E32" t="str">
            <v xml:space="preserve"> RUS</v>
          </cell>
          <cell r="F32">
            <v>40814</v>
          </cell>
          <cell r="G32" t="str">
            <v>Yekaterinbourg</v>
          </cell>
          <cell r="H32" t="str">
            <v xml:space="preserve"> </v>
          </cell>
        </row>
        <row r="33">
          <cell r="A33">
            <v>67.5</v>
          </cell>
          <cell r="B33">
            <v>112.5</v>
          </cell>
          <cell r="C33" t="str">
            <v>Yung Alexander</v>
          </cell>
          <cell r="D33">
            <v>98</v>
          </cell>
          <cell r="E33" t="str">
            <v>RUS</v>
          </cell>
          <cell r="F33">
            <v>41503</v>
          </cell>
          <cell r="G33" t="str">
            <v>Novosibirsk</v>
          </cell>
          <cell r="H33"/>
        </row>
        <row r="34">
          <cell r="A34">
            <v>75</v>
          </cell>
          <cell r="B34">
            <v>112.5</v>
          </cell>
          <cell r="C34" t="str">
            <v>Rezitsky Nikita</v>
          </cell>
          <cell r="D34">
            <v>93</v>
          </cell>
          <cell r="E34" t="str">
            <v>RUS</v>
          </cell>
          <cell r="F34">
            <v>39871</v>
          </cell>
          <cell r="G34" t="str">
            <v>Chelyabinsk</v>
          </cell>
          <cell r="H34" t="str">
            <v xml:space="preserve"> </v>
          </cell>
        </row>
        <row r="35">
          <cell r="A35">
            <v>82.5</v>
          </cell>
          <cell r="B35">
            <v>115</v>
          </cell>
          <cell r="C35" t="str">
            <v>Zhukov Igor</v>
          </cell>
          <cell r="D35">
            <v>93</v>
          </cell>
          <cell r="E35" t="str">
            <v>RUS</v>
          </cell>
          <cell r="F35">
            <v>39871</v>
          </cell>
          <cell r="G35" t="str">
            <v>Chelyabinsk</v>
          </cell>
          <cell r="H35" t="str">
            <v xml:space="preserve"> </v>
          </cell>
        </row>
        <row r="36">
          <cell r="A36">
            <v>90</v>
          </cell>
          <cell r="B36">
            <v>132.5</v>
          </cell>
          <cell r="C36" t="str">
            <v>O'Halloran Gabe</v>
          </cell>
          <cell r="D36">
            <v>97</v>
          </cell>
          <cell r="E36" t="str">
            <v>CAN</v>
          </cell>
          <cell r="F36">
            <v>41434</v>
          </cell>
          <cell r="G36" t="str">
            <v>Ontario</v>
          </cell>
          <cell r="H36"/>
        </row>
        <row r="37">
          <cell r="A37">
            <v>100</v>
          </cell>
          <cell r="B37">
            <v>145</v>
          </cell>
          <cell r="C37" t="str">
            <v>Bukharin Alexander</v>
          </cell>
          <cell r="D37">
            <v>99</v>
          </cell>
          <cell r="E37" t="str">
            <v>RUS</v>
          </cell>
          <cell r="F37" t="str">
            <v>22.08.2014</v>
          </cell>
          <cell r="G37" t="str">
            <v>Moscow</v>
          </cell>
          <cell r="H37" t="str">
            <v>4th</v>
          </cell>
        </row>
        <row r="38">
          <cell r="A38">
            <v>110</v>
          </cell>
          <cell r="B38" t="str">
            <v xml:space="preserve"> </v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 xml:space="preserve"> </v>
          </cell>
        </row>
        <row r="39">
          <cell r="A39">
            <v>125</v>
          </cell>
          <cell r="B39">
            <v>137.5</v>
          </cell>
          <cell r="C39" t="str">
            <v>Howard Triston</v>
          </cell>
          <cell r="D39">
            <v>96</v>
          </cell>
          <cell r="E39" t="str">
            <v>USA</v>
          </cell>
          <cell r="F39">
            <v>40787</v>
          </cell>
          <cell r="G39" t="str">
            <v>Idaho Falls</v>
          </cell>
          <cell r="H39" t="str">
            <v xml:space="preserve"> </v>
          </cell>
        </row>
        <row r="40">
          <cell r="A40">
            <v>140</v>
          </cell>
          <cell r="B40" t="str">
            <v xml:space="preserve"> 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 xml:space="preserve"> </v>
          </cell>
        </row>
        <row r="41">
          <cell r="A41" t="str">
            <v>140+</v>
          </cell>
          <cell r="B41" t="str">
            <v xml:space="preserve"> </v>
          </cell>
          <cell r="C41" t="str">
            <v xml:space="preserve"> </v>
          </cell>
          <cell r="D41" t="str">
            <v xml:space="preserve"> </v>
          </cell>
          <cell r="E41" t="str">
            <v xml:space="preserve"> </v>
          </cell>
          <cell r="F41" t="str">
            <v xml:space="preserve"> </v>
          </cell>
          <cell r="G41" t="str">
            <v xml:space="preserve"> </v>
          </cell>
          <cell r="H41" t="str">
            <v xml:space="preserve"> </v>
          </cell>
        </row>
        <row r="42">
          <cell r="C42" t="str">
            <v xml:space="preserve">16-17 </v>
          </cell>
        </row>
        <row r="43">
          <cell r="A43">
            <v>52</v>
          </cell>
          <cell r="B43">
            <v>85</v>
          </cell>
          <cell r="C43" t="str">
            <v>Gorelkin Ivan</v>
          </cell>
          <cell r="D43">
            <v>94</v>
          </cell>
          <cell r="E43" t="str">
            <v>RUS</v>
          </cell>
          <cell r="F43">
            <v>40769</v>
          </cell>
          <cell r="G43" t="str">
            <v>Kursk</v>
          </cell>
          <cell r="H43" t="str">
            <v xml:space="preserve"> </v>
          </cell>
        </row>
        <row r="44">
          <cell r="A44">
            <v>56</v>
          </cell>
          <cell r="B44">
            <v>110</v>
          </cell>
          <cell r="C44" t="str">
            <v>Istomin Alexei</v>
          </cell>
          <cell r="D44">
            <v>96</v>
          </cell>
          <cell r="E44" t="str">
            <v>RUS</v>
          </cell>
          <cell r="F44">
            <v>41720</v>
          </cell>
          <cell r="G44" t="str">
            <v>Vologda</v>
          </cell>
          <cell r="H44" t="str">
            <v xml:space="preserve"> </v>
          </cell>
        </row>
        <row r="45">
          <cell r="A45">
            <v>60</v>
          </cell>
          <cell r="B45">
            <v>120</v>
          </cell>
          <cell r="C45" t="str">
            <v>Gladyshchev Artur</v>
          </cell>
          <cell r="D45">
            <v>96</v>
          </cell>
          <cell r="E45" t="str">
            <v>RUS</v>
          </cell>
          <cell r="F45" t="str">
            <v>22.08.2014</v>
          </cell>
          <cell r="G45" t="str">
            <v>Moscow</v>
          </cell>
          <cell r="H45" t="str">
            <v xml:space="preserve"> </v>
          </cell>
        </row>
        <row r="46">
          <cell r="A46">
            <v>67.5</v>
          </cell>
          <cell r="B46">
            <v>130</v>
          </cell>
          <cell r="C46" t="str">
            <v>Rzhevskiy Dmitriy</v>
          </cell>
          <cell r="D46">
            <v>96</v>
          </cell>
          <cell r="E46" t="str">
            <v>RUS</v>
          </cell>
          <cell r="F46">
            <v>41618</v>
          </cell>
          <cell r="G46" t="str">
            <v>Kursk</v>
          </cell>
          <cell r="H46" t="str">
            <v xml:space="preserve"> </v>
          </cell>
        </row>
        <row r="47">
          <cell r="A47">
            <v>75</v>
          </cell>
          <cell r="B47">
            <v>150</v>
          </cell>
          <cell r="C47" t="str">
            <v>Yazovskikh Yaroslav</v>
          </cell>
          <cell r="D47">
            <v>97</v>
          </cell>
          <cell r="E47" t="str">
            <v>RUS</v>
          </cell>
          <cell r="F47">
            <v>41608</v>
          </cell>
          <cell r="G47" t="str">
            <v>Yekaterinburg</v>
          </cell>
          <cell r="H47" t="str">
            <v xml:space="preserve"> </v>
          </cell>
        </row>
        <row r="48">
          <cell r="A48">
            <v>82.5</v>
          </cell>
          <cell r="B48">
            <v>160</v>
          </cell>
          <cell r="C48" t="str">
            <v>Grigoryan Armand</v>
          </cell>
          <cell r="D48">
            <v>94</v>
          </cell>
          <cell r="E48" t="str">
            <v>RUS</v>
          </cell>
          <cell r="F48">
            <v>40769</v>
          </cell>
          <cell r="G48" t="str">
            <v>Kursk</v>
          </cell>
          <cell r="H48" t="str">
            <v xml:space="preserve"> </v>
          </cell>
        </row>
        <row r="49">
          <cell r="A49">
            <v>90</v>
          </cell>
          <cell r="B49">
            <v>155</v>
          </cell>
          <cell r="C49" t="str">
            <v>Zaborovsky Georgy</v>
          </cell>
          <cell r="D49">
            <v>92</v>
          </cell>
          <cell r="E49" t="str">
            <v>RUS</v>
          </cell>
          <cell r="F49">
            <v>40088</v>
          </cell>
          <cell r="G49" t="str">
            <v>Rostov</v>
          </cell>
          <cell r="H49" t="str">
            <v xml:space="preserve"> </v>
          </cell>
        </row>
        <row r="50">
          <cell r="A50">
            <v>100</v>
          </cell>
          <cell r="B50">
            <v>170</v>
          </cell>
          <cell r="C50" t="str">
            <v>Moskalenko Stanislav</v>
          </cell>
          <cell r="D50">
            <v>92</v>
          </cell>
          <cell r="E50" t="str">
            <v>RUS</v>
          </cell>
          <cell r="F50">
            <v>39871</v>
          </cell>
          <cell r="G50" t="str">
            <v>Chelyabinsk</v>
          </cell>
          <cell r="H50" t="str">
            <v>4th</v>
          </cell>
        </row>
        <row r="51">
          <cell r="A51">
            <v>110</v>
          </cell>
          <cell r="B51">
            <v>155</v>
          </cell>
          <cell r="C51" t="str">
            <v>Petrov Yevgeniy</v>
          </cell>
          <cell r="D51">
            <v>96</v>
          </cell>
          <cell r="E51" t="str">
            <v>RUS</v>
          </cell>
          <cell r="F51" t="str">
            <v>22.08.2014</v>
          </cell>
          <cell r="G51" t="str">
            <v>Moscow</v>
          </cell>
          <cell r="H51" t="str">
            <v xml:space="preserve"> </v>
          </cell>
        </row>
        <row r="52">
          <cell r="A52">
            <v>125</v>
          </cell>
          <cell r="B52">
            <v>160</v>
          </cell>
          <cell r="C52" t="str">
            <v>Mashak Jesse</v>
          </cell>
          <cell r="D52">
            <v>94</v>
          </cell>
          <cell r="E52" t="str">
            <v>USA</v>
          </cell>
          <cell r="F52">
            <v>41012</v>
          </cell>
          <cell r="G52" t="str">
            <v>Burr Ridge</v>
          </cell>
          <cell r="H52" t="str">
            <v>4th</v>
          </cell>
        </row>
        <row r="53">
          <cell r="A53">
            <v>140</v>
          </cell>
          <cell r="B53" t="str">
            <v xml:space="preserve"> </v>
          </cell>
          <cell r="C53" t="str">
            <v xml:space="preserve"> </v>
          </cell>
          <cell r="D53" t="str">
            <v xml:space="preserve"> </v>
          </cell>
          <cell r="E53" t="str">
            <v xml:space="preserve"> </v>
          </cell>
          <cell r="F53" t="str">
            <v xml:space="preserve"> </v>
          </cell>
          <cell r="G53" t="str">
            <v xml:space="preserve"> </v>
          </cell>
          <cell r="H53" t="str">
            <v xml:space="preserve"> </v>
          </cell>
        </row>
        <row r="54">
          <cell r="A54" t="str">
            <v>140+</v>
          </cell>
          <cell r="B54">
            <v>107.5</v>
          </cell>
          <cell r="C54" t="str">
            <v>Savenkov Kirill</v>
          </cell>
          <cell r="D54">
            <v>95</v>
          </cell>
          <cell r="E54" t="str">
            <v>RUS</v>
          </cell>
          <cell r="F54">
            <v>41137</v>
          </cell>
          <cell r="G54" t="str">
            <v>Novosibirsk</v>
          </cell>
          <cell r="H54" t="str">
            <v xml:space="preserve"> </v>
          </cell>
        </row>
        <row r="55">
          <cell r="C55" t="str">
            <v xml:space="preserve">18-19 </v>
          </cell>
        </row>
        <row r="56">
          <cell r="A56">
            <v>52</v>
          </cell>
          <cell r="B56">
            <v>105</v>
          </cell>
          <cell r="C56" t="str">
            <v>Gorelkin Ivan</v>
          </cell>
          <cell r="D56">
            <v>94</v>
          </cell>
          <cell r="E56" t="str">
            <v>RUS</v>
          </cell>
          <cell r="F56">
            <v>41128</v>
          </cell>
          <cell r="G56" t="str">
            <v>Kryvyi Rig</v>
          </cell>
          <cell r="H56" t="str">
            <v xml:space="preserve"> </v>
          </cell>
        </row>
        <row r="57">
          <cell r="A57">
            <v>56</v>
          </cell>
          <cell r="B57">
            <v>122.5</v>
          </cell>
          <cell r="C57" t="str">
            <v>Malyshev Andrei</v>
          </cell>
          <cell r="D57">
            <v>94</v>
          </cell>
          <cell r="E57" t="str">
            <v>RUS</v>
          </cell>
          <cell r="F57">
            <v>41586</v>
          </cell>
          <cell r="G57" t="str">
            <v>Vologda</v>
          </cell>
          <cell r="H57" t="str">
            <v xml:space="preserve"> </v>
          </cell>
        </row>
        <row r="58">
          <cell r="A58">
            <v>60</v>
          </cell>
          <cell r="B58">
            <v>140</v>
          </cell>
          <cell r="C58" t="str">
            <v>Bragin Sergiy</v>
          </cell>
          <cell r="D58">
            <v>91</v>
          </cell>
          <cell r="E58" t="str">
            <v>UKR</v>
          </cell>
          <cell r="F58">
            <v>40088</v>
          </cell>
          <cell r="G58" t="str">
            <v>Rostov</v>
          </cell>
          <cell r="H58" t="str">
            <v>4th</v>
          </cell>
        </row>
        <row r="59">
          <cell r="A59">
            <v>67.5</v>
          </cell>
          <cell r="B59">
            <v>135</v>
          </cell>
          <cell r="C59" t="str">
            <v>Semerenko Alexander</v>
          </cell>
          <cell r="D59">
            <v>96</v>
          </cell>
          <cell r="E59" t="str">
            <v>RUS</v>
          </cell>
          <cell r="F59" t="str">
            <v>22.08.2014</v>
          </cell>
          <cell r="G59" t="str">
            <v>Moscow</v>
          </cell>
          <cell r="H59" t="str">
            <v xml:space="preserve"> </v>
          </cell>
        </row>
        <row r="60">
          <cell r="A60">
            <v>75</v>
          </cell>
          <cell r="B60">
            <v>160</v>
          </cell>
          <cell r="C60" t="str">
            <v>Khadziev Vakha</v>
          </cell>
          <cell r="D60">
            <v>94</v>
          </cell>
          <cell r="E60" t="str">
            <v>RUS</v>
          </cell>
          <cell r="F60" t="str">
            <v>22.08.2014</v>
          </cell>
          <cell r="G60" t="str">
            <v>Moscow</v>
          </cell>
          <cell r="H60" t="str">
            <v>4th</v>
          </cell>
        </row>
        <row r="61">
          <cell r="A61">
            <v>82.5</v>
          </cell>
          <cell r="B61">
            <v>175</v>
          </cell>
          <cell r="C61" t="str">
            <v>Dronov Bogdan</v>
          </cell>
          <cell r="D61">
            <v>94</v>
          </cell>
          <cell r="E61" t="str">
            <v>RUS</v>
          </cell>
          <cell r="F61">
            <v>41438</v>
          </cell>
          <cell r="G61" t="str">
            <v>Moscow</v>
          </cell>
          <cell r="H61"/>
        </row>
        <row r="62">
          <cell r="A62">
            <v>90</v>
          </cell>
          <cell r="B62">
            <v>191</v>
          </cell>
          <cell r="C62" t="str">
            <v>Grigoryan Armand</v>
          </cell>
          <cell r="D62">
            <v>94</v>
          </cell>
          <cell r="E62" t="str">
            <v>RUS</v>
          </cell>
          <cell r="F62">
            <v>41128</v>
          </cell>
          <cell r="G62" t="str">
            <v>Kryvyi Rig</v>
          </cell>
          <cell r="H62" t="str">
            <v>4th</v>
          </cell>
        </row>
        <row r="63">
          <cell r="A63">
            <v>100</v>
          </cell>
          <cell r="B63">
            <v>160</v>
          </cell>
          <cell r="C63" t="str">
            <v>Fedoseev Olexandr</v>
          </cell>
          <cell r="D63">
            <v>91</v>
          </cell>
          <cell r="E63" t="str">
            <v>UKR</v>
          </cell>
          <cell r="F63">
            <v>40088</v>
          </cell>
          <cell r="G63" t="str">
            <v>Rostov</v>
          </cell>
          <cell r="H63" t="str">
            <v xml:space="preserve"> </v>
          </cell>
        </row>
        <row r="64">
          <cell r="A64">
            <v>110</v>
          </cell>
          <cell r="B64">
            <v>172.5</v>
          </cell>
          <cell r="C64" t="str">
            <v>Lemeschenko Yevgeniy</v>
          </cell>
          <cell r="D64">
            <v>95</v>
          </cell>
          <cell r="E64" t="str">
            <v>RUS</v>
          </cell>
          <cell r="F64">
            <v>41496</v>
          </cell>
          <cell r="G64" t="str">
            <v>Kursk</v>
          </cell>
          <cell r="H64" t="str">
            <v xml:space="preserve"> </v>
          </cell>
        </row>
        <row r="65">
          <cell r="A65">
            <v>125</v>
          </cell>
          <cell r="B65">
            <v>207.5</v>
          </cell>
          <cell r="C65" t="str">
            <v>Yuzhakov Anton</v>
          </cell>
          <cell r="D65">
            <v>93</v>
          </cell>
          <cell r="E65" t="str">
            <v>UKR</v>
          </cell>
          <cell r="F65">
            <v>41129</v>
          </cell>
          <cell r="G65" t="str">
            <v>Kryvyi Rig</v>
          </cell>
          <cell r="H65" t="str">
            <v xml:space="preserve"> </v>
          </cell>
        </row>
        <row r="66">
          <cell r="A66">
            <v>140</v>
          </cell>
          <cell r="B66">
            <v>215</v>
          </cell>
          <cell r="C66" t="str">
            <v>Hipply Seth</v>
          </cell>
          <cell r="D66">
            <v>94</v>
          </cell>
          <cell r="E66" t="str">
            <v>USA</v>
          </cell>
          <cell r="F66">
            <v>41475</v>
          </cell>
          <cell r="G66" t="str">
            <v>Detroit</v>
          </cell>
          <cell r="H66" t="str">
            <v xml:space="preserve"> </v>
          </cell>
        </row>
        <row r="67">
          <cell r="A67" t="str">
            <v>140+</v>
          </cell>
          <cell r="B67">
            <v>177.5</v>
          </cell>
          <cell r="C67" t="str">
            <v>Kaiser Mason</v>
          </cell>
          <cell r="D67">
            <v>91</v>
          </cell>
          <cell r="E67" t="str">
            <v>USA</v>
          </cell>
          <cell r="F67">
            <v>40424</v>
          </cell>
          <cell r="G67" t="str">
            <v>Idaho Falls</v>
          </cell>
          <cell r="H67" t="str">
            <v xml:space="preserve"> </v>
          </cell>
        </row>
        <row r="68">
          <cell r="C68" t="str">
            <v>Men's Submaster 33-39</v>
          </cell>
        </row>
        <row r="69">
          <cell r="A69">
            <v>52</v>
          </cell>
          <cell r="B69">
            <v>147.5</v>
          </cell>
          <cell r="C69" t="str">
            <v>Shanin Alexandr</v>
          </cell>
          <cell r="D69">
            <v>78</v>
          </cell>
          <cell r="E69" t="str">
            <v>RUS</v>
          </cell>
          <cell r="F69">
            <v>41608</v>
          </cell>
          <cell r="G69" t="str">
            <v>Yekaterinburg</v>
          </cell>
          <cell r="H69" t="str">
            <v xml:space="preserve"> </v>
          </cell>
        </row>
        <row r="70">
          <cell r="A70">
            <v>56</v>
          </cell>
          <cell r="B70">
            <v>127.5</v>
          </cell>
          <cell r="C70" t="str">
            <v>Artemyev Oleg</v>
          </cell>
          <cell r="D70">
            <v>71</v>
          </cell>
          <cell r="E70" t="str">
            <v>RUS</v>
          </cell>
          <cell r="F70">
            <v>40088</v>
          </cell>
          <cell r="G70" t="str">
            <v>Rostov</v>
          </cell>
          <cell r="H70" t="str">
            <v xml:space="preserve"> </v>
          </cell>
        </row>
        <row r="71">
          <cell r="A71">
            <v>60</v>
          </cell>
          <cell r="B71">
            <v>117.5</v>
          </cell>
          <cell r="C71" t="str">
            <v>Fedorov Alexander</v>
          </cell>
          <cell r="D71">
            <v>76</v>
          </cell>
          <cell r="E71" t="str">
            <v>RUS</v>
          </cell>
          <cell r="F71">
            <v>40409</v>
          </cell>
          <cell r="G71" t="str">
            <v>Moscow</v>
          </cell>
          <cell r="H71" t="str">
            <v xml:space="preserve"> </v>
          </cell>
        </row>
        <row r="72">
          <cell r="A72">
            <v>67.5</v>
          </cell>
          <cell r="B72">
            <v>162.5</v>
          </cell>
          <cell r="C72" t="str">
            <v>Alexandrov Alexander</v>
          </cell>
          <cell r="D72">
            <v>79</v>
          </cell>
          <cell r="E72" t="str">
            <v xml:space="preserve"> RUS</v>
          </cell>
          <cell r="F72">
            <v>41137</v>
          </cell>
          <cell r="G72" t="str">
            <v>Novosibirsk</v>
          </cell>
          <cell r="H72" t="str">
            <v xml:space="preserve"> </v>
          </cell>
        </row>
        <row r="73">
          <cell r="A73">
            <v>75</v>
          </cell>
          <cell r="B73">
            <v>180</v>
          </cell>
          <cell r="C73" t="str">
            <v>Babin Ilya</v>
          </cell>
          <cell r="D73">
            <v>80</v>
          </cell>
          <cell r="E73" t="str">
            <v>RUS</v>
          </cell>
          <cell r="F73">
            <v>41618</v>
          </cell>
          <cell r="G73" t="str">
            <v>Kursk</v>
          </cell>
          <cell r="H73" t="str">
            <v xml:space="preserve"> </v>
          </cell>
        </row>
        <row r="74">
          <cell r="A74">
            <v>82.5</v>
          </cell>
          <cell r="B74">
            <v>185</v>
          </cell>
          <cell r="C74" t="str">
            <v>Galaida Andrei</v>
          </cell>
          <cell r="D74">
            <v>72</v>
          </cell>
          <cell r="E74" t="str">
            <v>RUS</v>
          </cell>
          <cell r="F74">
            <v>40088</v>
          </cell>
          <cell r="G74" t="str">
            <v>Rostov</v>
          </cell>
          <cell r="H74" t="str">
            <v xml:space="preserve"> </v>
          </cell>
        </row>
        <row r="75">
          <cell r="A75">
            <v>90</v>
          </cell>
          <cell r="B75">
            <v>203</v>
          </cell>
          <cell r="C75" t="str">
            <v>Kharauzov Alexei</v>
          </cell>
          <cell r="D75">
            <v>73</v>
          </cell>
          <cell r="E75" t="str">
            <v>RUS</v>
          </cell>
          <cell r="F75">
            <v>41546</v>
          </cell>
          <cell r="G75" t="str">
            <v>Yekaterinburg</v>
          </cell>
          <cell r="H75" t="str">
            <v xml:space="preserve"> </v>
          </cell>
        </row>
        <row r="76">
          <cell r="A76">
            <v>100</v>
          </cell>
          <cell r="B76">
            <v>210</v>
          </cell>
          <cell r="C76" t="str">
            <v>Koshechkin Konstantin</v>
          </cell>
          <cell r="D76">
            <v>73</v>
          </cell>
          <cell r="E76" t="str">
            <v>RUS</v>
          </cell>
          <cell r="F76">
            <v>40787</v>
          </cell>
          <cell r="G76" t="str">
            <v>Idaho Falls</v>
          </cell>
          <cell r="H76" t="str">
            <v xml:space="preserve"> </v>
          </cell>
        </row>
        <row r="77">
          <cell r="A77">
            <v>110</v>
          </cell>
          <cell r="B77">
            <v>232.5</v>
          </cell>
          <cell r="C77" t="str">
            <v>Tenetko Dmitriy</v>
          </cell>
          <cell r="D77">
            <v>75</v>
          </cell>
          <cell r="E77" t="str">
            <v>RUS</v>
          </cell>
          <cell r="F77" t="str">
            <v>23.08.2014</v>
          </cell>
          <cell r="G77" t="str">
            <v>Moscow</v>
          </cell>
          <cell r="H77" t="str">
            <v xml:space="preserve"> </v>
          </cell>
        </row>
        <row r="78">
          <cell r="A78">
            <v>125</v>
          </cell>
          <cell r="B78">
            <v>237.5</v>
          </cell>
          <cell r="C78" t="str">
            <v>Bujinlkham Altangerel</v>
          </cell>
          <cell r="D78">
            <v>76</v>
          </cell>
          <cell r="E78" t="str">
            <v>MGL</v>
          </cell>
          <cell r="F78" t="str">
            <v>23.08.2014</v>
          </cell>
          <cell r="G78" t="str">
            <v>Moscow</v>
          </cell>
          <cell r="H78" t="str">
            <v xml:space="preserve"> </v>
          </cell>
        </row>
        <row r="79">
          <cell r="A79">
            <v>140</v>
          </cell>
          <cell r="B79">
            <v>230</v>
          </cell>
          <cell r="C79" t="str">
            <v>Khudyakov Sergei</v>
          </cell>
          <cell r="D79">
            <v>75</v>
          </cell>
          <cell r="E79" t="str">
            <v>RUS</v>
          </cell>
          <cell r="F79">
            <v>41608</v>
          </cell>
          <cell r="G79" t="str">
            <v>Yekaterinburg</v>
          </cell>
          <cell r="H79" t="str">
            <v xml:space="preserve"> </v>
          </cell>
        </row>
        <row r="80">
          <cell r="A80" t="str">
            <v>140+</v>
          </cell>
          <cell r="B80">
            <v>262.5</v>
          </cell>
          <cell r="C80" t="str">
            <v>Likens Wade</v>
          </cell>
          <cell r="D80">
            <v>73</v>
          </cell>
          <cell r="E80" t="str">
            <v>USA</v>
          </cell>
          <cell r="F80">
            <v>41475</v>
          </cell>
          <cell r="G80" t="str">
            <v>Detroit</v>
          </cell>
          <cell r="H80"/>
        </row>
        <row r="81">
          <cell r="B81" t="str">
            <v xml:space="preserve"> </v>
          </cell>
          <cell r="C81" t="str">
            <v>Men's Master</v>
          </cell>
        </row>
        <row r="82">
          <cell r="C82" t="str">
            <v xml:space="preserve">40-44 </v>
          </cell>
        </row>
        <row r="83">
          <cell r="A83">
            <v>52</v>
          </cell>
          <cell r="B83" t="str">
            <v xml:space="preserve"> 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  <cell r="F83" t="str">
            <v xml:space="preserve"> </v>
          </cell>
          <cell r="G83" t="str">
            <v xml:space="preserve"> </v>
          </cell>
          <cell r="H83" t="str">
            <v xml:space="preserve"> </v>
          </cell>
        </row>
        <row r="84">
          <cell r="A84">
            <v>56</v>
          </cell>
          <cell r="B84">
            <v>117.5</v>
          </cell>
          <cell r="C84" t="str">
            <v>Artemyev Igor</v>
          </cell>
          <cell r="D84">
            <v>71</v>
          </cell>
          <cell r="E84" t="str">
            <v>RUS</v>
          </cell>
          <cell r="F84">
            <v>41128</v>
          </cell>
          <cell r="G84" t="str">
            <v>Kryvyi Rig</v>
          </cell>
          <cell r="H84" t="str">
            <v xml:space="preserve"> </v>
          </cell>
        </row>
        <row r="85">
          <cell r="A85">
            <v>60</v>
          </cell>
          <cell r="B85">
            <v>125</v>
          </cell>
          <cell r="C85" t="str">
            <v>Artemyev Oleg</v>
          </cell>
          <cell r="D85">
            <v>71</v>
          </cell>
          <cell r="E85" t="str">
            <v>RUS</v>
          </cell>
          <cell r="F85">
            <v>41128</v>
          </cell>
          <cell r="G85" t="str">
            <v>Kryvyi Rig</v>
          </cell>
          <cell r="H85" t="str">
            <v xml:space="preserve"> </v>
          </cell>
        </row>
        <row r="86">
          <cell r="A86">
            <v>67.5</v>
          </cell>
          <cell r="B86">
            <v>150</v>
          </cell>
          <cell r="C86" t="str">
            <v>Zabolotnev Vladimir</v>
          </cell>
          <cell r="D86">
            <v>68</v>
          </cell>
          <cell r="E86" t="str">
            <v>RUS</v>
          </cell>
          <cell r="F86">
            <v>40640</v>
          </cell>
          <cell r="G86" t="str">
            <v>Chelyabinsk</v>
          </cell>
          <cell r="H86" t="str">
            <v xml:space="preserve"> </v>
          </cell>
        </row>
        <row r="87">
          <cell r="A87">
            <v>75</v>
          </cell>
          <cell r="B87">
            <v>170</v>
          </cell>
          <cell r="C87" t="str">
            <v>Schegolkov Vladimir</v>
          </cell>
          <cell r="D87">
            <v>73</v>
          </cell>
          <cell r="E87" t="str">
            <v>RUS</v>
          </cell>
          <cell r="F87">
            <v>41496</v>
          </cell>
          <cell r="G87" t="str">
            <v>Kursk</v>
          </cell>
          <cell r="H87"/>
        </row>
        <row r="88">
          <cell r="A88">
            <v>82.5</v>
          </cell>
          <cell r="B88">
            <v>205</v>
          </cell>
          <cell r="C88" t="str">
            <v>Melyaev Eduard</v>
          </cell>
          <cell r="D88">
            <v>70</v>
          </cell>
          <cell r="E88" t="str">
            <v>RUS</v>
          </cell>
          <cell r="F88">
            <v>40814</v>
          </cell>
          <cell r="G88" t="str">
            <v>Yekaterinbourg</v>
          </cell>
          <cell r="H88" t="str">
            <v xml:space="preserve"> </v>
          </cell>
        </row>
        <row r="89">
          <cell r="A89">
            <v>90</v>
          </cell>
          <cell r="B89">
            <v>207.5</v>
          </cell>
          <cell r="C89" t="str">
            <v>Galaida Andrei</v>
          </cell>
          <cell r="D89">
            <v>72</v>
          </cell>
          <cell r="E89" t="str">
            <v>RUS</v>
          </cell>
          <cell r="F89" t="str">
            <v>23.08.2014</v>
          </cell>
          <cell r="G89" t="str">
            <v>Moscow</v>
          </cell>
          <cell r="H89" t="str">
            <v>4th</v>
          </cell>
        </row>
        <row r="90">
          <cell r="A90">
            <v>100</v>
          </cell>
          <cell r="B90">
            <v>215</v>
          </cell>
          <cell r="C90" t="str">
            <v>Murray William</v>
          </cell>
          <cell r="D90">
            <v>70</v>
          </cell>
          <cell r="E90" t="str">
            <v>USA</v>
          </cell>
          <cell r="F90">
            <v>40285</v>
          </cell>
          <cell r="G90" t="str">
            <v>Detroit</v>
          </cell>
          <cell r="H90" t="str">
            <v xml:space="preserve"> </v>
          </cell>
        </row>
        <row r="91">
          <cell r="A91">
            <v>110</v>
          </cell>
          <cell r="B91">
            <v>210</v>
          </cell>
          <cell r="C91" t="str">
            <v>Mantserov Sergei</v>
          </cell>
          <cell r="D91">
            <v>70</v>
          </cell>
          <cell r="E91" t="str">
            <v>RUS</v>
          </cell>
          <cell r="F91" t="str">
            <v>23.08.2014</v>
          </cell>
          <cell r="G91" t="str">
            <v>Moscow</v>
          </cell>
          <cell r="H91"/>
        </row>
        <row r="92">
          <cell r="A92">
            <v>125</v>
          </cell>
          <cell r="B92">
            <v>220</v>
          </cell>
          <cell r="C92" t="str">
            <v>Stryga Olexandr</v>
          </cell>
          <cell r="D92">
            <v>67</v>
          </cell>
          <cell r="E92" t="str">
            <v>UKR</v>
          </cell>
          <cell r="F92">
            <v>41129</v>
          </cell>
          <cell r="G92" t="str">
            <v>Kryvyi Rig</v>
          </cell>
          <cell r="H92"/>
        </row>
        <row r="93">
          <cell r="A93">
            <v>140</v>
          </cell>
          <cell r="B93">
            <v>223.5</v>
          </cell>
          <cell r="C93" t="str">
            <v>Likens Wade</v>
          </cell>
          <cell r="D93">
            <v>73</v>
          </cell>
          <cell r="E93" t="str">
            <v>USA</v>
          </cell>
          <cell r="F93">
            <v>41475</v>
          </cell>
          <cell r="G93" t="str">
            <v>Detroit</v>
          </cell>
          <cell r="H93" t="str">
            <v xml:space="preserve"> </v>
          </cell>
        </row>
        <row r="94">
          <cell r="A94" t="str">
            <v>140+</v>
          </cell>
          <cell r="B94">
            <v>220</v>
          </cell>
          <cell r="C94" t="str">
            <v>Karpov Stanislav</v>
          </cell>
          <cell r="D94">
            <v>71</v>
          </cell>
          <cell r="E94" t="str">
            <v>RUS</v>
          </cell>
          <cell r="F94" t="str">
            <v>23.08.2014</v>
          </cell>
          <cell r="G94" t="str">
            <v>Moscow</v>
          </cell>
          <cell r="H94" t="str">
            <v xml:space="preserve"> </v>
          </cell>
        </row>
        <row r="95">
          <cell r="C95" t="str">
            <v xml:space="preserve">45-49 </v>
          </cell>
          <cell r="E95" t="str">
            <v xml:space="preserve"> </v>
          </cell>
          <cell r="F95" t="str">
            <v xml:space="preserve"> </v>
          </cell>
          <cell r="G95" t="str">
            <v xml:space="preserve"> </v>
          </cell>
          <cell r="H95" t="str">
            <v xml:space="preserve"> </v>
          </cell>
        </row>
        <row r="96">
          <cell r="A96">
            <v>52</v>
          </cell>
          <cell r="B96">
            <v>95</v>
          </cell>
          <cell r="C96" t="str">
            <v>Kravtsov Vyacheslav</v>
          </cell>
          <cell r="D96">
            <v>67</v>
          </cell>
          <cell r="E96" t="str">
            <v>RUS</v>
          </cell>
          <cell r="F96">
            <v>41503</v>
          </cell>
          <cell r="G96" t="str">
            <v>Novosibirsk</v>
          </cell>
          <cell r="H96" t="str">
            <v xml:space="preserve"> </v>
          </cell>
        </row>
        <row r="97">
          <cell r="A97">
            <v>56</v>
          </cell>
          <cell r="B97">
            <v>90</v>
          </cell>
          <cell r="C97" t="str">
            <v>Kovalenko Volodymyr</v>
          </cell>
          <cell r="D97">
            <v>65</v>
          </cell>
          <cell r="E97" t="str">
            <v>UKR</v>
          </cell>
          <cell r="F97">
            <v>41128</v>
          </cell>
          <cell r="G97" t="str">
            <v>Kryvyi Rig</v>
          </cell>
          <cell r="H97" t="str">
            <v xml:space="preserve"> </v>
          </cell>
        </row>
        <row r="98">
          <cell r="A98">
            <v>60</v>
          </cell>
          <cell r="B98">
            <v>102.5</v>
          </cell>
          <cell r="C98" t="str">
            <v>Dvoinikov Oleg</v>
          </cell>
          <cell r="D98">
            <v>61</v>
          </cell>
          <cell r="E98" t="str">
            <v>RUS</v>
          </cell>
          <cell r="F98">
            <v>39871</v>
          </cell>
          <cell r="G98" t="str">
            <v>Chelyabinsk</v>
          </cell>
          <cell r="H98" t="str">
            <v xml:space="preserve"> </v>
          </cell>
        </row>
        <row r="99">
          <cell r="A99">
            <v>67.5</v>
          </cell>
          <cell r="B99">
            <v>130</v>
          </cell>
          <cell r="C99" t="str">
            <v>Kireyev Nikolai</v>
          </cell>
          <cell r="D99">
            <v>63</v>
          </cell>
          <cell r="E99" t="str">
            <v>RUS</v>
          </cell>
          <cell r="F99">
            <v>40088</v>
          </cell>
          <cell r="G99" t="str">
            <v>Rostov</v>
          </cell>
          <cell r="H99" t="str">
            <v xml:space="preserve"> </v>
          </cell>
        </row>
        <row r="100">
          <cell r="A100">
            <v>75</v>
          </cell>
          <cell r="B100">
            <v>152.5</v>
          </cell>
          <cell r="C100" t="str">
            <v>Zabolotnev Vladimir</v>
          </cell>
          <cell r="D100">
            <v>68</v>
          </cell>
          <cell r="E100" t="str">
            <v>RUS</v>
          </cell>
          <cell r="F100" t="str">
            <v>23.08.2014</v>
          </cell>
          <cell r="G100" t="str">
            <v>Moscow</v>
          </cell>
          <cell r="H100" t="str">
            <v xml:space="preserve"> </v>
          </cell>
        </row>
        <row r="101">
          <cell r="A101">
            <v>82.5</v>
          </cell>
          <cell r="B101">
            <v>190.5</v>
          </cell>
          <cell r="C101" t="str">
            <v>Reshetnikov Vladimir</v>
          </cell>
          <cell r="D101">
            <v>60</v>
          </cell>
          <cell r="E101" t="str">
            <v>RUS</v>
          </cell>
          <cell r="F101">
            <v>40088</v>
          </cell>
          <cell r="G101" t="str">
            <v>Rostov</v>
          </cell>
          <cell r="H101" t="str">
            <v xml:space="preserve"> </v>
          </cell>
        </row>
        <row r="102">
          <cell r="A102">
            <v>90</v>
          </cell>
          <cell r="B102">
            <v>180</v>
          </cell>
          <cell r="C102" t="str">
            <v>Sender Alexei</v>
          </cell>
          <cell r="D102">
            <v>65</v>
          </cell>
          <cell r="E102" t="str">
            <v>RUS</v>
          </cell>
          <cell r="F102" t="str">
            <v>23.08.2014</v>
          </cell>
          <cell r="G102" t="str">
            <v>Moscow</v>
          </cell>
          <cell r="H102" t="str">
            <v xml:space="preserve"> </v>
          </cell>
        </row>
        <row r="103">
          <cell r="A103">
            <v>100</v>
          </cell>
          <cell r="B103">
            <v>190</v>
          </cell>
          <cell r="C103" t="str">
            <v>Thunberg Ken</v>
          </cell>
          <cell r="D103">
            <v>62</v>
          </cell>
          <cell r="E103" t="str">
            <v>USA</v>
          </cell>
          <cell r="F103">
            <v>41111</v>
          </cell>
          <cell r="G103" t="str">
            <v>Detroit</v>
          </cell>
          <cell r="H103"/>
        </row>
        <row r="104">
          <cell r="A104">
            <v>110</v>
          </cell>
          <cell r="B104">
            <v>192.5</v>
          </cell>
          <cell r="C104" t="str">
            <v>Veles Yevgeniy</v>
          </cell>
          <cell r="D104">
            <v>68</v>
          </cell>
          <cell r="E104" t="str">
            <v>RUS</v>
          </cell>
          <cell r="F104" t="str">
            <v>23.08.2014</v>
          </cell>
          <cell r="G104" t="str">
            <v>Moscow</v>
          </cell>
          <cell r="H104" t="str">
            <v xml:space="preserve"> </v>
          </cell>
        </row>
        <row r="105">
          <cell r="A105">
            <v>125</v>
          </cell>
          <cell r="B105">
            <v>225</v>
          </cell>
          <cell r="C105" t="str">
            <v>Stryga Olexandr</v>
          </cell>
          <cell r="D105">
            <v>67</v>
          </cell>
          <cell r="E105" t="str">
            <v>UKR</v>
          </cell>
          <cell r="F105">
            <v>41618</v>
          </cell>
          <cell r="G105" t="str">
            <v>Kursk</v>
          </cell>
          <cell r="H105"/>
        </row>
        <row r="106">
          <cell r="A106">
            <v>140</v>
          </cell>
          <cell r="B106">
            <v>217.5</v>
          </cell>
          <cell r="C106" t="str">
            <v>Scott  JD</v>
          </cell>
          <cell r="D106">
            <v>61</v>
          </cell>
          <cell r="E106" t="str">
            <v>USA</v>
          </cell>
          <cell r="F106">
            <v>40788</v>
          </cell>
          <cell r="G106" t="str">
            <v>Idaho Falls</v>
          </cell>
          <cell r="H106" t="str">
            <v xml:space="preserve"> </v>
          </cell>
        </row>
        <row r="107">
          <cell r="A107" t="str">
            <v>140+</v>
          </cell>
          <cell r="B107">
            <v>230</v>
          </cell>
          <cell r="C107" t="str">
            <v>Marchant David</v>
          </cell>
          <cell r="D107">
            <v>62</v>
          </cell>
          <cell r="E107" t="str">
            <v>USA</v>
          </cell>
          <cell r="F107">
            <v>40425</v>
          </cell>
          <cell r="G107" t="str">
            <v>Idaho Falls</v>
          </cell>
          <cell r="H107" t="str">
            <v xml:space="preserve"> </v>
          </cell>
        </row>
        <row r="108">
          <cell r="C108" t="str">
            <v xml:space="preserve">50-54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 xml:space="preserve"> </v>
          </cell>
        </row>
        <row r="109">
          <cell r="A109">
            <v>52</v>
          </cell>
          <cell r="B109" t="str">
            <v xml:space="preserve"> </v>
          </cell>
          <cell r="C109" t="str">
            <v xml:space="preserve"> </v>
          </cell>
          <cell r="D109" t="str">
            <v xml:space="preserve"> </v>
          </cell>
          <cell r="E109" t="str">
            <v xml:space="preserve"> </v>
          </cell>
          <cell r="F109" t="str">
            <v xml:space="preserve"> </v>
          </cell>
          <cell r="G109" t="str">
            <v xml:space="preserve"> </v>
          </cell>
          <cell r="H109" t="str">
            <v xml:space="preserve"> </v>
          </cell>
        </row>
        <row r="110">
          <cell r="A110">
            <v>56</v>
          </cell>
          <cell r="B110">
            <v>102.5</v>
          </cell>
          <cell r="C110" t="str">
            <v>Yershov Viktor</v>
          </cell>
          <cell r="D110">
            <v>60</v>
          </cell>
          <cell r="E110" t="str">
            <v>RUS</v>
          </cell>
          <cell r="F110">
            <v>41586</v>
          </cell>
          <cell r="G110" t="str">
            <v>Vologda</v>
          </cell>
          <cell r="H110" t="str">
            <v xml:space="preserve"> </v>
          </cell>
        </row>
        <row r="111">
          <cell r="A111">
            <v>60</v>
          </cell>
          <cell r="B111">
            <v>100</v>
          </cell>
          <cell r="C111" t="str">
            <v>Dvoynikov Oleg</v>
          </cell>
          <cell r="D111">
            <v>60</v>
          </cell>
          <cell r="E111" t="str">
            <v>RUS</v>
          </cell>
          <cell r="F111">
            <v>41720</v>
          </cell>
          <cell r="G111" t="str">
            <v>Vologda</v>
          </cell>
          <cell r="H111" t="str">
            <v xml:space="preserve"> </v>
          </cell>
        </row>
        <row r="112">
          <cell r="A112">
            <v>67.5</v>
          </cell>
          <cell r="B112">
            <v>117.5</v>
          </cell>
          <cell r="C112" t="str">
            <v>Kim Sergei</v>
          </cell>
          <cell r="D112">
            <v>57</v>
          </cell>
          <cell r="E112" t="str">
            <v>RUS</v>
          </cell>
          <cell r="F112">
            <v>40088</v>
          </cell>
          <cell r="G112" t="str">
            <v>Rostov</v>
          </cell>
          <cell r="H112" t="str">
            <v xml:space="preserve"> </v>
          </cell>
        </row>
        <row r="113">
          <cell r="A113">
            <v>75</v>
          </cell>
          <cell r="B113">
            <v>151</v>
          </cell>
          <cell r="C113" t="str">
            <v>Tatarkin Alexander</v>
          </cell>
          <cell r="D113">
            <v>55</v>
          </cell>
          <cell r="E113" t="str">
            <v>RUS</v>
          </cell>
          <cell r="F113">
            <v>40088</v>
          </cell>
          <cell r="G113" t="str">
            <v>Rostov</v>
          </cell>
          <cell r="H113" t="str">
            <v xml:space="preserve"> </v>
          </cell>
        </row>
        <row r="114">
          <cell r="A114">
            <v>82.5</v>
          </cell>
          <cell r="B114">
            <v>192.5</v>
          </cell>
          <cell r="C114" t="str">
            <v>Ziganshin Igor</v>
          </cell>
          <cell r="D114">
            <v>60</v>
          </cell>
          <cell r="E114" t="str">
            <v>RUS</v>
          </cell>
          <cell r="F114">
            <v>40769</v>
          </cell>
          <cell r="G114" t="str">
            <v>Kursk</v>
          </cell>
          <cell r="H114" t="str">
            <v xml:space="preserve"> </v>
          </cell>
        </row>
        <row r="115">
          <cell r="A115">
            <v>90</v>
          </cell>
          <cell r="B115">
            <v>172.5</v>
          </cell>
          <cell r="C115" t="str">
            <v>Skvortsov Leonid</v>
          </cell>
          <cell r="D115">
            <v>62</v>
          </cell>
          <cell r="E115" t="str">
            <v>RUS</v>
          </cell>
          <cell r="F115" t="str">
            <v>23.08.2014</v>
          </cell>
          <cell r="G115" t="str">
            <v>Moscow</v>
          </cell>
          <cell r="H115" t="str">
            <v xml:space="preserve"> </v>
          </cell>
        </row>
        <row r="116">
          <cell r="A116">
            <v>100</v>
          </cell>
          <cell r="B116">
            <v>200</v>
          </cell>
          <cell r="C116" t="str">
            <v>Lebedev Igor</v>
          </cell>
          <cell r="D116">
            <v>62</v>
          </cell>
          <cell r="E116" t="str">
            <v>RUS</v>
          </cell>
          <cell r="F116">
            <v>41618</v>
          </cell>
          <cell r="G116" t="str">
            <v>Kursk</v>
          </cell>
          <cell r="H116"/>
        </row>
        <row r="117">
          <cell r="A117">
            <v>110</v>
          </cell>
          <cell r="B117">
            <v>210</v>
          </cell>
          <cell r="C117" t="str">
            <v>Lebedev Igor</v>
          </cell>
          <cell r="D117">
            <v>62</v>
          </cell>
          <cell r="E117" t="str">
            <v>RUS</v>
          </cell>
          <cell r="F117" t="str">
            <v>23.08.2014</v>
          </cell>
          <cell r="G117" t="str">
            <v>Moscow</v>
          </cell>
          <cell r="H117" t="str">
            <v xml:space="preserve"> </v>
          </cell>
        </row>
        <row r="118">
          <cell r="A118">
            <v>125</v>
          </cell>
          <cell r="B118">
            <v>212.5</v>
          </cell>
          <cell r="C118" t="str">
            <v>Conley Jeff</v>
          </cell>
          <cell r="D118">
            <v>58</v>
          </cell>
          <cell r="E118" t="str">
            <v>USA</v>
          </cell>
          <cell r="F118">
            <v>40788</v>
          </cell>
          <cell r="G118" t="str">
            <v>Idaho Falls</v>
          </cell>
          <cell r="H118" t="str">
            <v>4th</v>
          </cell>
        </row>
        <row r="119">
          <cell r="A119">
            <v>140</v>
          </cell>
          <cell r="B119">
            <v>207.5</v>
          </cell>
          <cell r="C119" t="str">
            <v>Nevzorov Mykhaylo</v>
          </cell>
          <cell r="D119">
            <v>61</v>
          </cell>
          <cell r="E119" t="str">
            <v>UKR</v>
          </cell>
          <cell r="F119">
            <v>41129</v>
          </cell>
          <cell r="G119" t="str">
            <v>Kryvyi Rig</v>
          </cell>
          <cell r="H119" t="str">
            <v xml:space="preserve"> </v>
          </cell>
        </row>
        <row r="120">
          <cell r="A120" t="str">
            <v>140+</v>
          </cell>
          <cell r="B120">
            <v>185</v>
          </cell>
          <cell r="C120" t="str">
            <v>Nasteka Igor</v>
          </cell>
          <cell r="D120">
            <v>64</v>
          </cell>
          <cell r="E120" t="str">
            <v>RUS</v>
          </cell>
          <cell r="F120" t="str">
            <v>23.08.2014</v>
          </cell>
          <cell r="G120" t="str">
            <v>Moscow</v>
          </cell>
          <cell r="H120" t="str">
            <v>4th</v>
          </cell>
        </row>
        <row r="121">
          <cell r="C121" t="str">
            <v xml:space="preserve">55-59 </v>
          </cell>
          <cell r="E121" t="str">
            <v xml:space="preserve"> </v>
          </cell>
          <cell r="F121" t="str">
            <v xml:space="preserve"> </v>
          </cell>
          <cell r="G121" t="str">
            <v xml:space="preserve"> </v>
          </cell>
          <cell r="H121" t="str">
            <v xml:space="preserve"> </v>
          </cell>
        </row>
        <row r="122">
          <cell r="A122">
            <v>52</v>
          </cell>
          <cell r="B122">
            <v>70</v>
          </cell>
          <cell r="C122" t="str">
            <v>Grachev Nikolai</v>
          </cell>
          <cell r="D122">
            <v>56</v>
          </cell>
          <cell r="E122" t="str">
            <v>RUS</v>
          </cell>
          <cell r="F122">
            <v>41368</v>
          </cell>
          <cell r="G122" t="str">
            <v>Krasnodar</v>
          </cell>
          <cell r="H122" t="str">
            <v xml:space="preserve"> </v>
          </cell>
        </row>
        <row r="123">
          <cell r="A123">
            <v>56</v>
          </cell>
          <cell r="B123" t="str">
            <v xml:space="preserve"> </v>
          </cell>
          <cell r="C123" t="str">
            <v xml:space="preserve"> </v>
          </cell>
          <cell r="D123" t="str">
            <v xml:space="preserve"> </v>
          </cell>
          <cell r="E123" t="str">
            <v xml:space="preserve"> </v>
          </cell>
          <cell r="F123" t="str">
            <v xml:space="preserve"> </v>
          </cell>
          <cell r="G123" t="str">
            <v xml:space="preserve"> </v>
          </cell>
          <cell r="H123" t="str">
            <v xml:space="preserve"> </v>
          </cell>
        </row>
        <row r="124">
          <cell r="A124">
            <v>60</v>
          </cell>
          <cell r="B124" t="str">
            <v xml:space="preserve"> </v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  <cell r="H124" t="str">
            <v xml:space="preserve"> </v>
          </cell>
        </row>
        <row r="125">
          <cell r="A125">
            <v>67.5</v>
          </cell>
          <cell r="B125">
            <v>87.5</v>
          </cell>
          <cell r="C125" t="str">
            <v>Vilchitskiy Anatoliy</v>
          </cell>
          <cell r="D125">
            <v>55</v>
          </cell>
          <cell r="E125" t="str">
            <v>RUS</v>
          </cell>
          <cell r="F125">
            <v>41586</v>
          </cell>
          <cell r="G125" t="str">
            <v>Vologda</v>
          </cell>
          <cell r="H125" t="str">
            <v xml:space="preserve"> </v>
          </cell>
        </row>
        <row r="126">
          <cell r="A126">
            <v>75</v>
          </cell>
          <cell r="B126">
            <v>142.5</v>
          </cell>
          <cell r="C126" t="str">
            <v>Kaseev Arsen</v>
          </cell>
          <cell r="D126">
            <v>55</v>
          </cell>
          <cell r="E126" t="str">
            <v>UKR</v>
          </cell>
          <cell r="F126">
            <v>41128</v>
          </cell>
          <cell r="G126" t="str">
            <v>Kryvyi Rig</v>
          </cell>
          <cell r="H126" t="str">
            <v>4th</v>
          </cell>
        </row>
        <row r="127">
          <cell r="A127">
            <v>82.5</v>
          </cell>
          <cell r="B127">
            <v>152.5</v>
          </cell>
          <cell r="C127" t="str">
            <v>Kovalev Igor</v>
          </cell>
          <cell r="D127">
            <v>57</v>
          </cell>
          <cell r="E127" t="str">
            <v>RUS</v>
          </cell>
          <cell r="F127">
            <v>41438</v>
          </cell>
          <cell r="G127" t="str">
            <v>Moscow</v>
          </cell>
          <cell r="H127" t="str">
            <v xml:space="preserve"> </v>
          </cell>
        </row>
        <row r="128">
          <cell r="A128">
            <v>90</v>
          </cell>
          <cell r="B128">
            <v>155</v>
          </cell>
          <cell r="C128" t="str">
            <v>Zverev Nikolai</v>
          </cell>
          <cell r="D128">
            <v>56</v>
          </cell>
          <cell r="E128" t="str">
            <v>RUS</v>
          </cell>
          <cell r="F128">
            <v>40814</v>
          </cell>
          <cell r="G128" t="str">
            <v>Yekaterinbourg</v>
          </cell>
          <cell r="H128" t="str">
            <v xml:space="preserve"> </v>
          </cell>
        </row>
        <row r="129">
          <cell r="A129">
            <v>100</v>
          </cell>
          <cell r="B129">
            <v>172.5</v>
          </cell>
          <cell r="C129" t="str">
            <v>Kuzeyev Damir</v>
          </cell>
          <cell r="D129">
            <v>52</v>
          </cell>
          <cell r="E129" t="str">
            <v>RUS</v>
          </cell>
          <cell r="F129">
            <v>40088</v>
          </cell>
          <cell r="G129" t="str">
            <v>Rostov</v>
          </cell>
          <cell r="H129" t="str">
            <v xml:space="preserve"> </v>
          </cell>
        </row>
        <row r="130">
          <cell r="A130">
            <v>110</v>
          </cell>
          <cell r="B130">
            <v>180</v>
          </cell>
          <cell r="C130" t="str">
            <v>Egozaryan Grachik</v>
          </cell>
          <cell r="D130">
            <v>52</v>
          </cell>
          <cell r="E130" t="str">
            <v>RUS</v>
          </cell>
          <cell r="F130">
            <v>40088</v>
          </cell>
          <cell r="G130" t="str">
            <v>Rostov</v>
          </cell>
          <cell r="H130" t="str">
            <v xml:space="preserve"> </v>
          </cell>
        </row>
        <row r="131">
          <cell r="A131">
            <v>125</v>
          </cell>
          <cell r="B131">
            <v>192.5</v>
          </cell>
          <cell r="C131" t="str">
            <v>Ziganchin Igor</v>
          </cell>
          <cell r="D131">
            <v>60</v>
          </cell>
          <cell r="E131" t="str">
            <v>RUS</v>
          </cell>
          <cell r="F131">
            <v>40769</v>
          </cell>
          <cell r="G131" t="str">
            <v>Kursk</v>
          </cell>
          <cell r="H131"/>
        </row>
        <row r="132">
          <cell r="A132">
            <v>140</v>
          </cell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  <cell r="F132" t="str">
            <v xml:space="preserve"> </v>
          </cell>
          <cell r="G132" t="str">
            <v xml:space="preserve"> </v>
          </cell>
          <cell r="H132" t="str">
            <v xml:space="preserve"> </v>
          </cell>
        </row>
        <row r="133">
          <cell r="A133" t="str">
            <v>140+</v>
          </cell>
          <cell r="B133">
            <v>165</v>
          </cell>
          <cell r="C133" t="str">
            <v>Herdt Peter</v>
          </cell>
          <cell r="D133">
            <v>49</v>
          </cell>
          <cell r="E133" t="str">
            <v>USA</v>
          </cell>
          <cell r="F133">
            <v>39876</v>
          </cell>
          <cell r="G133" t="str">
            <v>Idaho Falls</v>
          </cell>
          <cell r="H133" t="str">
            <v xml:space="preserve"> </v>
          </cell>
        </row>
        <row r="134">
          <cell r="C134" t="str">
            <v xml:space="preserve">60-64 </v>
          </cell>
          <cell r="E134" t="str">
            <v xml:space="preserve"> </v>
          </cell>
          <cell r="F134" t="str">
            <v xml:space="preserve"> </v>
          </cell>
          <cell r="G134" t="str">
            <v xml:space="preserve"> </v>
          </cell>
          <cell r="H134" t="str">
            <v xml:space="preserve"> </v>
          </cell>
        </row>
        <row r="135">
          <cell r="A135">
            <v>52</v>
          </cell>
          <cell r="B135" t="str">
            <v xml:space="preserve"> </v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  <cell r="F135" t="str">
            <v xml:space="preserve"> </v>
          </cell>
          <cell r="G135" t="str">
            <v xml:space="preserve"> </v>
          </cell>
          <cell r="H135" t="str">
            <v xml:space="preserve"> </v>
          </cell>
        </row>
        <row r="136">
          <cell r="A136">
            <v>56</v>
          </cell>
          <cell r="B136" t="str">
            <v xml:space="preserve"> </v>
          </cell>
          <cell r="C136" t="str">
            <v xml:space="preserve"> </v>
          </cell>
          <cell r="D136" t="str">
            <v xml:space="preserve"> </v>
          </cell>
          <cell r="E136" t="str">
            <v xml:space="preserve"> </v>
          </cell>
          <cell r="F136" t="str">
            <v xml:space="preserve"> </v>
          </cell>
          <cell r="G136" t="str">
            <v xml:space="preserve"> </v>
          </cell>
          <cell r="H136" t="str">
            <v xml:space="preserve"> </v>
          </cell>
        </row>
        <row r="137">
          <cell r="A137">
            <v>60</v>
          </cell>
          <cell r="B137" t="str">
            <v xml:space="preserve"> </v>
          </cell>
          <cell r="C137" t="str">
            <v xml:space="preserve"> </v>
          </cell>
          <cell r="D137" t="str">
            <v xml:space="preserve"> </v>
          </cell>
          <cell r="E137" t="str">
            <v xml:space="preserve"> </v>
          </cell>
          <cell r="F137" t="str">
            <v xml:space="preserve"> </v>
          </cell>
          <cell r="G137" t="str">
            <v xml:space="preserve"> </v>
          </cell>
          <cell r="H137" t="str">
            <v xml:space="preserve"> </v>
          </cell>
        </row>
        <row r="138">
          <cell r="A138">
            <v>67.5</v>
          </cell>
          <cell r="B138">
            <v>102.5</v>
          </cell>
          <cell r="C138" t="str">
            <v>Garlitz Dale</v>
          </cell>
          <cell r="D138">
            <v>50</v>
          </cell>
          <cell r="E138" t="str">
            <v>USA</v>
          </cell>
          <cell r="F138">
            <v>40788</v>
          </cell>
          <cell r="G138" t="str">
            <v>Idaho Falls</v>
          </cell>
          <cell r="H138" t="str">
            <v xml:space="preserve"> </v>
          </cell>
        </row>
        <row r="139">
          <cell r="A139">
            <v>75</v>
          </cell>
          <cell r="B139">
            <v>140</v>
          </cell>
          <cell r="C139" t="str">
            <v>Papushoy Viktor</v>
          </cell>
          <cell r="D139">
            <v>53</v>
          </cell>
          <cell r="E139" t="str">
            <v>RUS</v>
          </cell>
          <cell r="F139" t="str">
            <v>23.08.2014</v>
          </cell>
          <cell r="G139" t="str">
            <v>Moscow</v>
          </cell>
          <cell r="H139" t="str">
            <v xml:space="preserve"> </v>
          </cell>
        </row>
        <row r="140">
          <cell r="A140">
            <v>82.5</v>
          </cell>
          <cell r="B140">
            <v>147.5</v>
          </cell>
          <cell r="C140" t="str">
            <v>Weathers Dennis</v>
          </cell>
          <cell r="D140">
            <v>52</v>
          </cell>
          <cell r="E140" t="str">
            <v>USA</v>
          </cell>
          <cell r="F140">
            <v>41390</v>
          </cell>
          <cell r="G140" t="str">
            <v>Grand Rapids,MI</v>
          </cell>
          <cell r="H140" t="str">
            <v>4th</v>
          </cell>
        </row>
        <row r="141">
          <cell r="A141">
            <v>90</v>
          </cell>
          <cell r="B141">
            <v>160</v>
          </cell>
          <cell r="C141" t="str">
            <v>Stanchak Vyacheslav</v>
          </cell>
          <cell r="D141">
            <v>52</v>
          </cell>
          <cell r="E141" t="str">
            <v>RUS</v>
          </cell>
          <cell r="F141" t="str">
            <v>23.08.2014</v>
          </cell>
          <cell r="G141" t="str">
            <v>Moscow</v>
          </cell>
          <cell r="H141" t="str">
            <v xml:space="preserve"> </v>
          </cell>
        </row>
        <row r="142">
          <cell r="A142">
            <v>100</v>
          </cell>
          <cell r="B142">
            <v>150</v>
          </cell>
          <cell r="C142" t="str">
            <v>Kalinin Grigory</v>
          </cell>
          <cell r="D142">
            <v>50</v>
          </cell>
          <cell r="E142" t="str">
            <v>RUS</v>
          </cell>
          <cell r="F142">
            <v>41137</v>
          </cell>
          <cell r="G142" t="str">
            <v>Novosibirsk</v>
          </cell>
          <cell r="H142" t="str">
            <v xml:space="preserve"> </v>
          </cell>
        </row>
        <row r="143">
          <cell r="A143">
            <v>110</v>
          </cell>
          <cell r="B143">
            <v>160</v>
          </cell>
          <cell r="C143" t="str">
            <v>Pauyesov Anatoliy</v>
          </cell>
          <cell r="D143">
            <v>53</v>
          </cell>
          <cell r="E143" t="str">
            <v>RUS</v>
          </cell>
          <cell r="F143" t="str">
            <v>23.08.2014</v>
          </cell>
          <cell r="G143" t="str">
            <v>Moscow</v>
          </cell>
          <cell r="H143"/>
        </row>
        <row r="144">
          <cell r="A144">
            <v>125</v>
          </cell>
          <cell r="B144">
            <v>180</v>
          </cell>
          <cell r="C144" t="str">
            <v>Egozaryan Grachik</v>
          </cell>
          <cell r="D144">
            <v>52</v>
          </cell>
          <cell r="E144" t="str">
            <v>RUS</v>
          </cell>
          <cell r="F144" t="str">
            <v>23.08.2014</v>
          </cell>
          <cell r="G144" t="str">
            <v>Moscow</v>
          </cell>
          <cell r="H144" t="str">
            <v xml:space="preserve"> </v>
          </cell>
        </row>
        <row r="145">
          <cell r="A145">
            <v>140</v>
          </cell>
          <cell r="B145" t="str">
            <v xml:space="preserve"> </v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  <cell r="F145" t="str">
            <v xml:space="preserve"> </v>
          </cell>
          <cell r="G145" t="str">
            <v xml:space="preserve"> </v>
          </cell>
          <cell r="H145" t="str">
            <v xml:space="preserve"> </v>
          </cell>
        </row>
        <row r="146">
          <cell r="A146" t="str">
            <v>140+</v>
          </cell>
          <cell r="B146" t="str">
            <v xml:space="preserve"> </v>
          </cell>
          <cell r="C146" t="str">
            <v xml:space="preserve"> </v>
          </cell>
          <cell r="D146" t="str">
            <v xml:space="preserve"> </v>
          </cell>
          <cell r="E146" t="str">
            <v xml:space="preserve"> </v>
          </cell>
          <cell r="F146" t="str">
            <v xml:space="preserve"> </v>
          </cell>
          <cell r="G146" t="str">
            <v xml:space="preserve"> </v>
          </cell>
          <cell r="H146" t="str">
            <v xml:space="preserve"> </v>
          </cell>
        </row>
        <row r="147">
          <cell r="C147" t="str">
            <v xml:space="preserve">65-69 </v>
          </cell>
          <cell r="E147" t="str">
            <v xml:space="preserve"> </v>
          </cell>
          <cell r="F147" t="str">
            <v xml:space="preserve"> </v>
          </cell>
          <cell r="G147" t="str">
            <v xml:space="preserve"> </v>
          </cell>
          <cell r="H147" t="str">
            <v xml:space="preserve"> </v>
          </cell>
        </row>
        <row r="148">
          <cell r="A148">
            <v>52</v>
          </cell>
          <cell r="B148" t="str">
            <v xml:space="preserve"> </v>
          </cell>
          <cell r="C148" t="str">
            <v xml:space="preserve"> </v>
          </cell>
          <cell r="D148" t="str">
            <v xml:space="preserve"> </v>
          </cell>
          <cell r="E148" t="str">
            <v xml:space="preserve"> </v>
          </cell>
          <cell r="F148" t="str">
            <v xml:space="preserve"> </v>
          </cell>
          <cell r="G148" t="str">
            <v xml:space="preserve"> </v>
          </cell>
          <cell r="H148" t="str">
            <v xml:space="preserve"> </v>
          </cell>
        </row>
        <row r="149">
          <cell r="A149">
            <v>56</v>
          </cell>
          <cell r="B149" t="str">
            <v xml:space="preserve"> </v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  <cell r="H149" t="str">
            <v xml:space="preserve"> </v>
          </cell>
        </row>
        <row r="150">
          <cell r="A150">
            <v>60</v>
          </cell>
          <cell r="B150" t="str">
            <v xml:space="preserve"> </v>
          </cell>
          <cell r="C150" t="str">
            <v xml:space="preserve"> </v>
          </cell>
          <cell r="D150" t="str">
            <v xml:space="preserve"> </v>
          </cell>
          <cell r="E150" t="str">
            <v xml:space="preserve"> </v>
          </cell>
          <cell r="F150" t="str">
            <v xml:space="preserve"> </v>
          </cell>
          <cell r="G150" t="str">
            <v xml:space="preserve"> </v>
          </cell>
          <cell r="H150" t="str">
            <v xml:space="preserve"> </v>
          </cell>
        </row>
        <row r="151">
          <cell r="A151">
            <v>67.5</v>
          </cell>
          <cell r="B151">
            <v>87.5</v>
          </cell>
          <cell r="C151" t="str">
            <v>Santee Gordon</v>
          </cell>
          <cell r="D151">
            <v>46</v>
          </cell>
          <cell r="E151" t="str">
            <v>USA</v>
          </cell>
          <cell r="F151">
            <v>41516</v>
          </cell>
          <cell r="G151" t="str">
            <v>Idaho Falls</v>
          </cell>
          <cell r="H151" t="str">
            <v>4th</v>
          </cell>
        </row>
        <row r="152">
          <cell r="A152">
            <v>75</v>
          </cell>
          <cell r="B152">
            <v>122.5</v>
          </cell>
          <cell r="C152" t="str">
            <v>Dvizov Yuriy</v>
          </cell>
          <cell r="D152">
            <v>47</v>
          </cell>
          <cell r="E152" t="str">
            <v>RUS</v>
          </cell>
          <cell r="F152">
            <v>41128</v>
          </cell>
          <cell r="G152" t="str">
            <v>Kryvyi Rig</v>
          </cell>
          <cell r="H152" t="str">
            <v xml:space="preserve"> </v>
          </cell>
        </row>
        <row r="153">
          <cell r="A153">
            <v>82.5</v>
          </cell>
          <cell r="B153">
            <v>132.5</v>
          </cell>
          <cell r="C153" t="str">
            <v>Tsoriev Eldar</v>
          </cell>
          <cell r="D153">
            <v>46</v>
          </cell>
          <cell r="E153" t="str">
            <v>RUS</v>
          </cell>
          <cell r="F153">
            <v>41608</v>
          </cell>
          <cell r="G153" t="str">
            <v>Yekaterinburg</v>
          </cell>
          <cell r="H153" t="str">
            <v xml:space="preserve"> </v>
          </cell>
        </row>
        <row r="154">
          <cell r="A154">
            <v>90</v>
          </cell>
          <cell r="B154">
            <v>140</v>
          </cell>
          <cell r="C154" t="str">
            <v>Khusnetdinov Amir</v>
          </cell>
          <cell r="D154">
            <v>48</v>
          </cell>
          <cell r="E154" t="str">
            <v>RUS</v>
          </cell>
          <cell r="F154" t="str">
            <v>23.08.2014</v>
          </cell>
          <cell r="G154" t="str">
            <v>Moscow</v>
          </cell>
          <cell r="H154" t="str">
            <v xml:space="preserve"> </v>
          </cell>
        </row>
        <row r="155">
          <cell r="A155">
            <v>100</v>
          </cell>
          <cell r="B155">
            <v>137.5</v>
          </cell>
          <cell r="C155" t="str">
            <v>Korshunov Volodymyr</v>
          </cell>
          <cell r="D155">
            <v>42</v>
          </cell>
          <cell r="E155" t="str">
            <v>UKR</v>
          </cell>
          <cell r="F155">
            <v>41129</v>
          </cell>
          <cell r="G155" t="str">
            <v>Kryvyi Rig</v>
          </cell>
          <cell r="H155" t="str">
            <v xml:space="preserve"> </v>
          </cell>
        </row>
        <row r="156">
          <cell r="A156">
            <v>110</v>
          </cell>
          <cell r="B156">
            <v>130</v>
          </cell>
          <cell r="C156" t="str">
            <v>Kozharinov Yevgeniy</v>
          </cell>
          <cell r="D156">
            <v>45</v>
          </cell>
          <cell r="E156" t="str">
            <v>RUS</v>
          </cell>
          <cell r="F156" t="str">
            <v>30.05.2014</v>
          </cell>
          <cell r="G156" t="str">
            <v>Kursk</v>
          </cell>
          <cell r="H156" t="str">
            <v xml:space="preserve"> </v>
          </cell>
        </row>
        <row r="157">
          <cell r="A157">
            <v>125</v>
          </cell>
          <cell r="B157">
            <v>130</v>
          </cell>
          <cell r="C157" t="str">
            <v>Chernyshov Vladimir</v>
          </cell>
          <cell r="D157">
            <v>48</v>
          </cell>
          <cell r="E157" t="str">
            <v>RUS</v>
          </cell>
          <cell r="F157" t="str">
            <v>19.04.2014</v>
          </cell>
          <cell r="G157" t="str">
            <v>Krasnodar</v>
          </cell>
          <cell r="H157" t="str">
            <v xml:space="preserve"> </v>
          </cell>
        </row>
        <row r="158">
          <cell r="A158">
            <v>140</v>
          </cell>
          <cell r="B158" t="str">
            <v xml:space="preserve"> </v>
          </cell>
          <cell r="C158" t="str">
            <v xml:space="preserve"> </v>
          </cell>
          <cell r="D158" t="str">
            <v xml:space="preserve"> </v>
          </cell>
          <cell r="E158" t="str">
            <v xml:space="preserve"> </v>
          </cell>
          <cell r="F158" t="str">
            <v xml:space="preserve"> </v>
          </cell>
          <cell r="G158" t="str">
            <v xml:space="preserve"> </v>
          </cell>
          <cell r="H158" t="str">
            <v xml:space="preserve"> </v>
          </cell>
        </row>
        <row r="159">
          <cell r="A159" t="str">
            <v>140+</v>
          </cell>
          <cell r="B159" t="str">
            <v xml:space="preserve"> </v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  <cell r="F159" t="str">
            <v xml:space="preserve"> </v>
          </cell>
          <cell r="G159" t="str">
            <v xml:space="preserve"> </v>
          </cell>
          <cell r="H159" t="str">
            <v xml:space="preserve"> </v>
          </cell>
        </row>
        <row r="160">
          <cell r="C160" t="str">
            <v xml:space="preserve">70-74 </v>
          </cell>
          <cell r="E160" t="str">
            <v xml:space="preserve"> </v>
          </cell>
          <cell r="F160" t="str">
            <v xml:space="preserve"> </v>
          </cell>
          <cell r="G160" t="str">
            <v xml:space="preserve"> </v>
          </cell>
          <cell r="H160" t="str">
            <v xml:space="preserve"> </v>
          </cell>
        </row>
        <row r="161">
          <cell r="A161">
            <v>52</v>
          </cell>
          <cell r="B161" t="str">
            <v xml:space="preserve"> </v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  <cell r="H161" t="str">
            <v xml:space="preserve"> </v>
          </cell>
        </row>
        <row r="162">
          <cell r="A162">
            <v>56</v>
          </cell>
          <cell r="B162" t="str">
            <v xml:space="preserve"> </v>
          </cell>
          <cell r="C162" t="str">
            <v xml:space="preserve"> </v>
          </cell>
          <cell r="D162" t="str">
            <v xml:space="preserve"> </v>
          </cell>
          <cell r="E162" t="str">
            <v xml:space="preserve"> </v>
          </cell>
          <cell r="F162" t="str">
            <v xml:space="preserve"> </v>
          </cell>
          <cell r="G162" t="str">
            <v xml:space="preserve"> </v>
          </cell>
          <cell r="H162" t="str">
            <v xml:space="preserve"> </v>
          </cell>
        </row>
        <row r="163">
          <cell r="A163">
            <v>60</v>
          </cell>
          <cell r="B163" t="str">
            <v xml:space="preserve"> </v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  <cell r="H163" t="str">
            <v xml:space="preserve"> </v>
          </cell>
        </row>
        <row r="164">
          <cell r="A164">
            <v>67.5</v>
          </cell>
          <cell r="B164">
            <v>95</v>
          </cell>
          <cell r="C164" t="str">
            <v>Kim Miron</v>
          </cell>
          <cell r="D164">
            <v>41</v>
          </cell>
          <cell r="E164" t="str">
            <v>RUS</v>
          </cell>
          <cell r="F164">
            <v>41438</v>
          </cell>
          <cell r="G164" t="str">
            <v>Moscow</v>
          </cell>
          <cell r="H164" t="str">
            <v xml:space="preserve"> </v>
          </cell>
        </row>
        <row r="165">
          <cell r="A165">
            <v>75</v>
          </cell>
          <cell r="B165">
            <v>110</v>
          </cell>
          <cell r="C165" t="str">
            <v>Barabanov German</v>
          </cell>
          <cell r="D165">
            <v>40</v>
          </cell>
          <cell r="E165" t="str">
            <v>RUS</v>
          </cell>
          <cell r="F165">
            <v>41438</v>
          </cell>
          <cell r="G165" t="str">
            <v>Moscow</v>
          </cell>
          <cell r="H165" t="str">
            <v xml:space="preserve"> </v>
          </cell>
        </row>
        <row r="166">
          <cell r="A166">
            <v>82.5</v>
          </cell>
          <cell r="B166">
            <v>117.5</v>
          </cell>
          <cell r="C166" t="str">
            <v>Barabanov German</v>
          </cell>
          <cell r="D166">
            <v>40</v>
          </cell>
          <cell r="E166" t="str">
            <v>RUS</v>
          </cell>
          <cell r="F166" t="str">
            <v>23.08.2014</v>
          </cell>
          <cell r="G166" t="str">
            <v>Moscow</v>
          </cell>
          <cell r="H166" t="str">
            <v xml:space="preserve"> </v>
          </cell>
        </row>
        <row r="167">
          <cell r="A167">
            <v>90</v>
          </cell>
          <cell r="B167">
            <v>127.5</v>
          </cell>
          <cell r="C167" t="str">
            <v>Hemenway Ronald</v>
          </cell>
          <cell r="D167">
            <v>41</v>
          </cell>
          <cell r="E167" t="str">
            <v>USA</v>
          </cell>
          <cell r="F167">
            <v>41475</v>
          </cell>
          <cell r="G167" t="str">
            <v>Detroit</v>
          </cell>
          <cell r="H167" t="str">
            <v xml:space="preserve"> </v>
          </cell>
        </row>
        <row r="168">
          <cell r="A168">
            <v>100</v>
          </cell>
          <cell r="B168">
            <v>132.5</v>
          </cell>
          <cell r="C168" t="str">
            <v>Brown Ed</v>
          </cell>
          <cell r="D168">
            <v>39</v>
          </cell>
          <cell r="E168" t="str">
            <v>USA</v>
          </cell>
          <cell r="F168">
            <v>40285</v>
          </cell>
          <cell r="G168" t="str">
            <v>Detroit</v>
          </cell>
          <cell r="H168" t="str">
            <v>4th</v>
          </cell>
        </row>
        <row r="169">
          <cell r="A169">
            <v>110</v>
          </cell>
          <cell r="B169">
            <v>170</v>
          </cell>
          <cell r="C169" t="str">
            <v>Sandberg Skip</v>
          </cell>
          <cell r="D169">
            <v>40</v>
          </cell>
          <cell r="E169" t="str">
            <v>USA</v>
          </cell>
          <cell r="F169">
            <v>41152</v>
          </cell>
          <cell r="G169" t="str">
            <v>Idaho Falls</v>
          </cell>
          <cell r="H169" t="str">
            <v xml:space="preserve"> </v>
          </cell>
        </row>
        <row r="170">
          <cell r="A170">
            <v>125</v>
          </cell>
          <cell r="B170">
            <v>188</v>
          </cell>
          <cell r="C170" t="str">
            <v>Flikas George</v>
          </cell>
          <cell r="D170">
            <v>42</v>
          </cell>
          <cell r="E170" t="str">
            <v>CAN</v>
          </cell>
          <cell r="F170">
            <v>41475</v>
          </cell>
          <cell r="G170" t="str">
            <v>Detroit</v>
          </cell>
          <cell r="H170" t="str">
            <v>4th</v>
          </cell>
        </row>
        <row r="171">
          <cell r="A171">
            <v>140</v>
          </cell>
          <cell r="B171" t="str">
            <v xml:space="preserve"> </v>
          </cell>
          <cell r="C171" t="str">
            <v xml:space="preserve"> </v>
          </cell>
          <cell r="D171" t="str">
            <v xml:space="preserve"> </v>
          </cell>
          <cell r="E171" t="str">
            <v xml:space="preserve"> </v>
          </cell>
          <cell r="F171" t="str">
            <v xml:space="preserve"> </v>
          </cell>
          <cell r="G171" t="str">
            <v xml:space="preserve"> </v>
          </cell>
          <cell r="H171" t="str">
            <v xml:space="preserve"> </v>
          </cell>
        </row>
        <row r="172">
          <cell r="A172" t="str">
            <v>140+</v>
          </cell>
          <cell r="B172" t="str">
            <v xml:space="preserve"> </v>
          </cell>
          <cell r="C172" t="str">
            <v xml:space="preserve"> </v>
          </cell>
          <cell r="D172" t="str">
            <v xml:space="preserve"> </v>
          </cell>
          <cell r="E172" t="str">
            <v xml:space="preserve"> </v>
          </cell>
          <cell r="F172" t="str">
            <v xml:space="preserve"> </v>
          </cell>
          <cell r="G172" t="str">
            <v xml:space="preserve"> </v>
          </cell>
          <cell r="H172" t="str">
            <v xml:space="preserve"> </v>
          </cell>
        </row>
        <row r="173">
          <cell r="C173" t="str">
            <v xml:space="preserve">75-79 </v>
          </cell>
          <cell r="E173" t="str">
            <v xml:space="preserve"> </v>
          </cell>
          <cell r="F173" t="str">
            <v xml:space="preserve"> </v>
          </cell>
          <cell r="G173" t="str">
            <v xml:space="preserve"> </v>
          </cell>
          <cell r="H173" t="str">
            <v xml:space="preserve"> </v>
          </cell>
        </row>
        <row r="174">
          <cell r="A174">
            <v>52</v>
          </cell>
          <cell r="B174" t="str">
            <v xml:space="preserve"> </v>
          </cell>
          <cell r="C174" t="str">
            <v xml:space="preserve"> </v>
          </cell>
          <cell r="D174" t="str">
            <v xml:space="preserve"> </v>
          </cell>
          <cell r="E174" t="str">
            <v xml:space="preserve"> </v>
          </cell>
          <cell r="F174" t="str">
            <v xml:space="preserve"> </v>
          </cell>
          <cell r="G174" t="str">
            <v xml:space="preserve"> </v>
          </cell>
          <cell r="H174" t="str">
            <v xml:space="preserve"> </v>
          </cell>
        </row>
        <row r="175">
          <cell r="A175">
            <v>56</v>
          </cell>
          <cell r="B175" t="str">
            <v xml:space="preserve"> </v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  <cell r="F175" t="str">
            <v xml:space="preserve"> </v>
          </cell>
          <cell r="G175" t="str">
            <v xml:space="preserve"> </v>
          </cell>
          <cell r="H175" t="str">
            <v xml:space="preserve"> </v>
          </cell>
        </row>
        <row r="176">
          <cell r="A176">
            <v>60</v>
          </cell>
          <cell r="B176" t="str">
            <v xml:space="preserve"> </v>
          </cell>
          <cell r="C176" t="str">
            <v xml:space="preserve"> </v>
          </cell>
          <cell r="D176" t="str">
            <v xml:space="preserve"> </v>
          </cell>
          <cell r="E176" t="str">
            <v xml:space="preserve"> </v>
          </cell>
          <cell r="F176" t="str">
            <v xml:space="preserve"> </v>
          </cell>
          <cell r="G176" t="str">
            <v xml:space="preserve"> </v>
          </cell>
          <cell r="H176" t="str">
            <v xml:space="preserve"> </v>
          </cell>
        </row>
        <row r="177">
          <cell r="A177">
            <v>67.5</v>
          </cell>
          <cell r="B177">
            <v>87.5</v>
          </cell>
          <cell r="C177" t="str">
            <v>Plagov Iosif</v>
          </cell>
          <cell r="D177">
            <v>35</v>
          </cell>
          <cell r="E177" t="str">
            <v>USA</v>
          </cell>
          <cell r="F177">
            <v>40788</v>
          </cell>
          <cell r="G177" t="str">
            <v>Idaho Falls</v>
          </cell>
          <cell r="H177" t="str">
            <v xml:space="preserve"> </v>
          </cell>
        </row>
        <row r="178">
          <cell r="A178">
            <v>75</v>
          </cell>
          <cell r="B178">
            <v>107.5</v>
          </cell>
          <cell r="C178" t="str">
            <v>Lindas Gerald</v>
          </cell>
          <cell r="D178">
            <v>36</v>
          </cell>
          <cell r="E178" t="str">
            <v>USA</v>
          </cell>
          <cell r="F178">
            <v>41475</v>
          </cell>
          <cell r="G178" t="str">
            <v>Detroit</v>
          </cell>
          <cell r="H178" t="str">
            <v xml:space="preserve"> </v>
          </cell>
        </row>
        <row r="179">
          <cell r="A179">
            <v>82.5</v>
          </cell>
          <cell r="B179">
            <v>107.5</v>
          </cell>
          <cell r="C179" t="str">
            <v>Scott Ian</v>
          </cell>
          <cell r="D179">
            <v>37</v>
          </cell>
          <cell r="E179" t="str">
            <v>USA</v>
          </cell>
          <cell r="F179">
            <v>41390</v>
          </cell>
          <cell r="G179" t="str">
            <v>Grand Rapids,MI</v>
          </cell>
          <cell r="H179" t="str">
            <v xml:space="preserve"> </v>
          </cell>
        </row>
        <row r="180">
          <cell r="A180">
            <v>90</v>
          </cell>
          <cell r="B180">
            <v>110</v>
          </cell>
          <cell r="C180" t="str">
            <v>Novikov Nikolai</v>
          </cell>
          <cell r="D180">
            <v>38</v>
          </cell>
          <cell r="E180" t="str">
            <v>RUS</v>
          </cell>
          <cell r="F180">
            <v>41618</v>
          </cell>
          <cell r="G180" t="str">
            <v>Kursk</v>
          </cell>
          <cell r="H180" t="str">
            <v xml:space="preserve"> </v>
          </cell>
        </row>
        <row r="181">
          <cell r="A181">
            <v>100</v>
          </cell>
          <cell r="B181" t="str">
            <v xml:space="preserve"> </v>
          </cell>
          <cell r="C181" t="str">
            <v xml:space="preserve"> </v>
          </cell>
          <cell r="D181" t="str">
            <v xml:space="preserve"> </v>
          </cell>
          <cell r="E181" t="str">
            <v xml:space="preserve"> </v>
          </cell>
          <cell r="F181" t="str">
            <v xml:space="preserve"> </v>
          </cell>
          <cell r="G181" t="str">
            <v xml:space="preserve"> </v>
          </cell>
          <cell r="H181" t="str">
            <v xml:space="preserve"> </v>
          </cell>
        </row>
        <row r="182">
          <cell r="A182">
            <v>110</v>
          </cell>
          <cell r="B182" t="str">
            <v xml:space="preserve"> </v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  <cell r="F182" t="str">
            <v xml:space="preserve"> </v>
          </cell>
          <cell r="G182" t="str">
            <v xml:space="preserve"> </v>
          </cell>
          <cell r="H182" t="str">
            <v xml:space="preserve"> </v>
          </cell>
        </row>
        <row r="183">
          <cell r="A183">
            <v>125</v>
          </cell>
          <cell r="B183" t="str">
            <v xml:space="preserve"> </v>
          </cell>
          <cell r="C183" t="str">
            <v xml:space="preserve"> </v>
          </cell>
          <cell r="D183" t="str">
            <v xml:space="preserve"> </v>
          </cell>
          <cell r="E183" t="str">
            <v xml:space="preserve"> </v>
          </cell>
          <cell r="F183" t="str">
            <v xml:space="preserve"> </v>
          </cell>
          <cell r="G183" t="str">
            <v xml:space="preserve"> </v>
          </cell>
          <cell r="H183" t="str">
            <v xml:space="preserve"> </v>
          </cell>
        </row>
        <row r="184">
          <cell r="A184">
            <v>140</v>
          </cell>
          <cell r="B184" t="str">
            <v xml:space="preserve"> </v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  <cell r="F184" t="str">
            <v xml:space="preserve"> </v>
          </cell>
          <cell r="G184" t="str">
            <v xml:space="preserve"> </v>
          </cell>
          <cell r="H184" t="str">
            <v xml:space="preserve"> </v>
          </cell>
        </row>
        <row r="185">
          <cell r="A185" t="str">
            <v>140+</v>
          </cell>
          <cell r="B185" t="str">
            <v xml:space="preserve"> </v>
          </cell>
          <cell r="C185" t="str">
            <v xml:space="preserve"> </v>
          </cell>
          <cell r="D185" t="str">
            <v xml:space="preserve"> </v>
          </cell>
          <cell r="E185" t="str">
            <v xml:space="preserve"> </v>
          </cell>
          <cell r="F185" t="str">
            <v xml:space="preserve"> </v>
          </cell>
          <cell r="G185" t="str">
            <v xml:space="preserve"> </v>
          </cell>
          <cell r="H185" t="str">
            <v xml:space="preserve"> </v>
          </cell>
        </row>
        <row r="186">
          <cell r="C186" t="str">
            <v xml:space="preserve">80-84 </v>
          </cell>
          <cell r="E186" t="str">
            <v xml:space="preserve"> </v>
          </cell>
          <cell r="F186" t="str">
            <v xml:space="preserve"> </v>
          </cell>
          <cell r="G186" t="str">
            <v xml:space="preserve"> </v>
          </cell>
          <cell r="H186" t="str">
            <v xml:space="preserve"> </v>
          </cell>
        </row>
        <row r="187">
          <cell r="A187">
            <v>52</v>
          </cell>
          <cell r="B187" t="str">
            <v xml:space="preserve"> </v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  <cell r="F187" t="str">
            <v xml:space="preserve"> </v>
          </cell>
          <cell r="G187" t="str">
            <v xml:space="preserve"> </v>
          </cell>
          <cell r="H187" t="str">
            <v xml:space="preserve"> </v>
          </cell>
        </row>
        <row r="188">
          <cell r="A188">
            <v>56</v>
          </cell>
          <cell r="B188" t="str">
            <v xml:space="preserve"> </v>
          </cell>
          <cell r="C188" t="str">
            <v xml:space="preserve"> </v>
          </cell>
          <cell r="D188" t="str">
            <v xml:space="preserve"> </v>
          </cell>
          <cell r="E188" t="str">
            <v xml:space="preserve"> </v>
          </cell>
          <cell r="F188" t="str">
            <v xml:space="preserve"> </v>
          </cell>
          <cell r="G188" t="str">
            <v xml:space="preserve"> </v>
          </cell>
          <cell r="H188" t="str">
            <v xml:space="preserve"> </v>
          </cell>
        </row>
        <row r="189">
          <cell r="A189">
            <v>60</v>
          </cell>
          <cell r="B189" t="str">
            <v xml:space="preserve"> </v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  <cell r="F189" t="str">
            <v xml:space="preserve"> </v>
          </cell>
          <cell r="G189" t="str">
            <v xml:space="preserve"> </v>
          </cell>
          <cell r="H189" t="str">
            <v xml:space="preserve"> </v>
          </cell>
        </row>
        <row r="190">
          <cell r="A190">
            <v>67.5</v>
          </cell>
          <cell r="B190">
            <v>62.5</v>
          </cell>
          <cell r="C190" t="str">
            <v>Giniyatullin Garifulla</v>
          </cell>
          <cell r="D190">
            <v>32</v>
          </cell>
          <cell r="E190" t="str">
            <v>RUS</v>
          </cell>
          <cell r="F190">
            <v>41608</v>
          </cell>
          <cell r="G190" t="str">
            <v>Yekaterinburg</v>
          </cell>
          <cell r="H190" t="str">
            <v xml:space="preserve"> </v>
          </cell>
        </row>
        <row r="191">
          <cell r="A191">
            <v>75</v>
          </cell>
          <cell r="B191" t="str">
            <v xml:space="preserve"> </v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  <cell r="F191" t="str">
            <v xml:space="preserve"> </v>
          </cell>
          <cell r="G191" t="str">
            <v xml:space="preserve"> </v>
          </cell>
          <cell r="H191" t="str">
            <v xml:space="preserve"> </v>
          </cell>
        </row>
        <row r="192">
          <cell r="A192">
            <v>82.5</v>
          </cell>
          <cell r="B192">
            <v>97.5</v>
          </cell>
          <cell r="C192" t="str">
            <v>Shunkin Nikolai</v>
          </cell>
          <cell r="D192">
            <v>31</v>
          </cell>
          <cell r="E192" t="str">
            <v>RUS</v>
          </cell>
          <cell r="F192">
            <v>41067</v>
          </cell>
          <cell r="G192" t="str">
            <v>Moscow</v>
          </cell>
          <cell r="H192" t="str">
            <v xml:space="preserve"> </v>
          </cell>
        </row>
        <row r="193">
          <cell r="A193">
            <v>90</v>
          </cell>
          <cell r="B193">
            <v>52.5</v>
          </cell>
          <cell r="C193" t="str">
            <v>Svirnenko Vitaliy</v>
          </cell>
          <cell r="D193">
            <v>27</v>
          </cell>
          <cell r="E193" t="str">
            <v>UKR</v>
          </cell>
          <cell r="F193">
            <v>40409</v>
          </cell>
          <cell r="G193" t="str">
            <v>Moscow</v>
          </cell>
          <cell r="H193" t="str">
            <v xml:space="preserve"> </v>
          </cell>
        </row>
        <row r="194">
          <cell r="A194">
            <v>100</v>
          </cell>
          <cell r="B194"/>
          <cell r="C194"/>
          <cell r="D194"/>
          <cell r="E194"/>
          <cell r="F194"/>
          <cell r="G194"/>
          <cell r="H194" t="str">
            <v xml:space="preserve"> </v>
          </cell>
        </row>
        <row r="195">
          <cell r="A195">
            <v>110</v>
          </cell>
          <cell r="B195" t="str">
            <v xml:space="preserve"> </v>
          </cell>
          <cell r="C195" t="str">
            <v xml:space="preserve"> </v>
          </cell>
          <cell r="D195" t="str">
            <v xml:space="preserve"> </v>
          </cell>
          <cell r="E195" t="str">
            <v xml:space="preserve"> </v>
          </cell>
          <cell r="F195" t="str">
            <v xml:space="preserve"> </v>
          </cell>
          <cell r="G195" t="str">
            <v xml:space="preserve"> </v>
          </cell>
          <cell r="H195" t="str">
            <v xml:space="preserve"> </v>
          </cell>
        </row>
        <row r="196">
          <cell r="A196">
            <v>125</v>
          </cell>
          <cell r="B196" t="str">
            <v xml:space="preserve"> </v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  <cell r="F196" t="str">
            <v xml:space="preserve"> </v>
          </cell>
          <cell r="G196" t="str">
            <v xml:space="preserve"> </v>
          </cell>
          <cell r="H196" t="str">
            <v xml:space="preserve"> </v>
          </cell>
        </row>
        <row r="197">
          <cell r="A197">
            <v>140</v>
          </cell>
          <cell r="B197" t="str">
            <v xml:space="preserve"> </v>
          </cell>
          <cell r="C197" t="str">
            <v xml:space="preserve"> </v>
          </cell>
          <cell r="D197" t="str">
            <v xml:space="preserve"> </v>
          </cell>
          <cell r="E197" t="str">
            <v xml:space="preserve"> </v>
          </cell>
          <cell r="F197" t="str">
            <v xml:space="preserve"> </v>
          </cell>
          <cell r="G197" t="str">
            <v xml:space="preserve"> </v>
          </cell>
          <cell r="H197" t="str">
            <v xml:space="preserve"> </v>
          </cell>
        </row>
        <row r="198">
          <cell r="A198" t="str">
            <v>140+</v>
          </cell>
          <cell r="B198" t="str">
            <v xml:space="preserve"> </v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  <cell r="H198" t="str">
            <v xml:space="preserve"> 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wpc"/>
      <sheetName val="awpc-bp-wr- eq"/>
    </sheetNames>
    <sheetDataSet>
      <sheetData sheetId="0">
        <row r="1">
          <cell r="A1"/>
          <cell r="C1" t="str">
            <v>Men's AWPC Bench Records</v>
          </cell>
        </row>
        <row r="2">
          <cell r="A2">
            <v>52</v>
          </cell>
          <cell r="B2">
            <v>127.5</v>
          </cell>
          <cell r="C2" t="str">
            <v>Sokushev,Vadim</v>
          </cell>
          <cell r="D2">
            <v>90</v>
          </cell>
          <cell r="E2" t="str">
            <v>RUS</v>
          </cell>
          <cell r="F2">
            <v>41502</v>
          </cell>
          <cell r="G2" t="str">
            <v>Novosibirsk</v>
          </cell>
        </row>
        <row r="3">
          <cell r="A3">
            <v>56</v>
          </cell>
          <cell r="B3">
            <v>143</v>
          </cell>
          <cell r="C3" t="str">
            <v>Pham</v>
          </cell>
          <cell r="D3"/>
          <cell r="E3" t="str">
            <v>USA</v>
          </cell>
          <cell r="F3" t="str">
            <v>/</v>
          </cell>
          <cell r="G3"/>
        </row>
        <row r="4">
          <cell r="A4">
            <v>60</v>
          </cell>
          <cell r="B4">
            <v>155</v>
          </cell>
          <cell r="C4" t="str">
            <v>Boryuk,Sergiy</v>
          </cell>
          <cell r="D4">
            <v>85</v>
          </cell>
          <cell r="E4" t="str">
            <v>UKR</v>
          </cell>
          <cell r="F4">
            <v>41129</v>
          </cell>
          <cell r="G4" t="str">
            <v>Kryvyi Rig</v>
          </cell>
        </row>
        <row r="5">
          <cell r="A5">
            <v>67.5</v>
          </cell>
          <cell r="B5">
            <v>200</v>
          </cell>
          <cell r="C5" t="str">
            <v>Mukite, Joe</v>
          </cell>
          <cell r="D5">
            <v>66</v>
          </cell>
          <cell r="E5" t="str">
            <v>USA</v>
          </cell>
          <cell r="F5">
            <v>2003</v>
          </cell>
          <cell r="G5"/>
        </row>
        <row r="6">
          <cell r="A6">
            <v>75</v>
          </cell>
          <cell r="B6">
            <v>232.5</v>
          </cell>
          <cell r="C6" t="str">
            <v>Haiduke,Jeffrey</v>
          </cell>
          <cell r="D6">
            <v>83</v>
          </cell>
          <cell r="E6" t="str">
            <v>USA</v>
          </cell>
          <cell r="F6">
            <v>40286</v>
          </cell>
          <cell r="G6" t="str">
            <v>Detroit</v>
          </cell>
        </row>
        <row r="7">
          <cell r="A7">
            <v>82.5</v>
          </cell>
          <cell r="B7">
            <v>282.5</v>
          </cell>
          <cell r="C7" t="str">
            <v>Hensley, Tim</v>
          </cell>
          <cell r="D7">
            <v>80</v>
          </cell>
          <cell r="E7" t="str">
            <v>USA</v>
          </cell>
          <cell r="F7">
            <v>40025</v>
          </cell>
          <cell r="G7" t="str">
            <v>Burr Ridge</v>
          </cell>
        </row>
        <row r="8">
          <cell r="A8">
            <v>90</v>
          </cell>
          <cell r="B8">
            <v>321</v>
          </cell>
          <cell r="C8" t="str">
            <v>Hensley, Tim</v>
          </cell>
          <cell r="D8">
            <v>80</v>
          </cell>
          <cell r="E8" t="str">
            <v>USA</v>
          </cell>
          <cell r="F8">
            <v>41390</v>
          </cell>
          <cell r="G8" t="str">
            <v>Grand Rapids</v>
          </cell>
        </row>
        <row r="9">
          <cell r="A9">
            <v>100</v>
          </cell>
          <cell r="B9">
            <v>345</v>
          </cell>
          <cell r="C9" t="str">
            <v>Minuth,Matt</v>
          </cell>
          <cell r="D9">
            <v>80</v>
          </cell>
          <cell r="E9" t="str">
            <v>USA</v>
          </cell>
          <cell r="F9">
            <v>39661</v>
          </cell>
          <cell r="G9" t="str">
            <v>Oak Brook</v>
          </cell>
        </row>
        <row r="10">
          <cell r="A10">
            <v>110</v>
          </cell>
          <cell r="B10">
            <v>310</v>
          </cell>
          <cell r="C10" t="str">
            <v xml:space="preserve">DeCaires,Eric </v>
          </cell>
          <cell r="D10">
            <v>86</v>
          </cell>
          <cell r="E10" t="str">
            <v>USA</v>
          </cell>
          <cell r="F10">
            <v>41111</v>
          </cell>
          <cell r="G10" t="str">
            <v>Detroit</v>
          </cell>
        </row>
        <row r="11">
          <cell r="A11">
            <v>125</v>
          </cell>
          <cell r="B11">
            <v>330</v>
          </cell>
          <cell r="C11" t="str">
            <v>Harrison, Jr., Tommy</v>
          </cell>
          <cell r="D11">
            <v>73</v>
          </cell>
          <cell r="E11" t="str">
            <v>USA</v>
          </cell>
          <cell r="F11">
            <v>38920</v>
          </cell>
          <cell r="G11" t="str">
            <v>Flint</v>
          </cell>
        </row>
        <row r="12">
          <cell r="A12">
            <v>140</v>
          </cell>
          <cell r="B12">
            <v>370</v>
          </cell>
          <cell r="C12" t="str">
            <v>Mitchell,Mike</v>
          </cell>
          <cell r="D12">
            <v>77</v>
          </cell>
          <cell r="E12" t="str">
            <v>USA</v>
          </cell>
          <cell r="F12">
            <v>40025</v>
          </cell>
          <cell r="G12" t="str">
            <v>Burr Ridge</v>
          </cell>
        </row>
        <row r="13">
          <cell r="A13" t="str">
            <v>140+</v>
          </cell>
          <cell r="B13">
            <v>387.5</v>
          </cell>
          <cell r="C13" t="str">
            <v>Vick, Robert</v>
          </cell>
          <cell r="D13">
            <v>73</v>
          </cell>
          <cell r="E13" t="str">
            <v>USA</v>
          </cell>
          <cell r="F13">
            <v>39661</v>
          </cell>
          <cell r="G13" t="str">
            <v>Oak Brook</v>
          </cell>
        </row>
        <row r="15">
          <cell r="C15" t="str">
            <v>Women's AWBC Bench Records</v>
          </cell>
        </row>
        <row r="16">
          <cell r="A16">
            <v>44</v>
          </cell>
          <cell r="B16">
            <v>77.5</v>
          </cell>
          <cell r="C16" t="str">
            <v xml:space="preserve"> Hickman, Dawn</v>
          </cell>
          <cell r="D16">
            <v>68</v>
          </cell>
          <cell r="E16" t="str">
            <v xml:space="preserve"> USA</v>
          </cell>
          <cell r="F16">
            <v>40789</v>
          </cell>
          <cell r="G16" t="str">
            <v xml:space="preserve"> Idaho Falls</v>
          </cell>
        </row>
        <row r="17">
          <cell r="A17">
            <v>48</v>
          </cell>
          <cell r="B17">
            <v>87.5</v>
          </cell>
          <cell r="C17" t="str">
            <v>Sergienko Anastasiya</v>
          </cell>
          <cell r="D17">
            <v>87</v>
          </cell>
          <cell r="E17" t="str">
            <v>RUS</v>
          </cell>
          <cell r="F17" t="str">
            <v>23.08.2014</v>
          </cell>
          <cell r="G17" t="str">
            <v>Moscow</v>
          </cell>
        </row>
        <row r="18">
          <cell r="A18">
            <v>52</v>
          </cell>
          <cell r="B18">
            <v>110</v>
          </cell>
          <cell r="C18" t="str">
            <v>Antipova, Agnessa</v>
          </cell>
          <cell r="D18">
            <v>81</v>
          </cell>
          <cell r="E18" t="str">
            <v>RUS</v>
          </cell>
          <cell r="F18">
            <v>40813</v>
          </cell>
          <cell r="G18" t="str">
            <v>Yekaterinbourg</v>
          </cell>
        </row>
        <row r="19">
          <cell r="A19">
            <v>56</v>
          </cell>
          <cell r="B19">
            <v>112.5</v>
          </cell>
          <cell r="C19" t="str">
            <v>Konoval,Anna</v>
          </cell>
          <cell r="D19">
            <v>84</v>
          </cell>
          <cell r="E19" t="str">
            <v>UKR</v>
          </cell>
          <cell r="F19">
            <v>41496</v>
          </cell>
          <cell r="G19" t="str">
            <v>Kursk</v>
          </cell>
        </row>
        <row r="20">
          <cell r="A20">
            <v>60</v>
          </cell>
          <cell r="B20">
            <v>90</v>
          </cell>
          <cell r="C20" t="str">
            <v>Bobchenko,Lyudmyla</v>
          </cell>
          <cell r="D20">
            <v>79</v>
          </cell>
          <cell r="E20" t="str">
            <v>UKR</v>
          </cell>
          <cell r="F20">
            <v>40375</v>
          </cell>
          <cell r="G20" t="str">
            <v>West Palm Beach</v>
          </cell>
        </row>
        <row r="21">
          <cell r="A21">
            <v>67.5</v>
          </cell>
          <cell r="B21">
            <v>140</v>
          </cell>
          <cell r="C21" t="str">
            <v>Medvedeva, Yulia</v>
          </cell>
          <cell r="D21">
            <v>79</v>
          </cell>
          <cell r="E21" t="str">
            <v>RUS</v>
          </cell>
          <cell r="F21">
            <v>40034</v>
          </cell>
          <cell r="G21" t="str">
            <v>Kursk</v>
          </cell>
        </row>
        <row r="22">
          <cell r="A22">
            <v>75</v>
          </cell>
          <cell r="B22">
            <v>155</v>
          </cell>
          <cell r="C22" t="str">
            <v>Fineis-Curry, Brooke</v>
          </cell>
          <cell r="D22">
            <v>77</v>
          </cell>
          <cell r="E22" t="str">
            <v>USA</v>
          </cell>
          <cell r="F22">
            <v>38920</v>
          </cell>
          <cell r="G22" t="str">
            <v>Flint</v>
          </cell>
        </row>
        <row r="23">
          <cell r="A23">
            <v>82.5</v>
          </cell>
          <cell r="B23">
            <v>130</v>
          </cell>
          <cell r="C23" t="str">
            <v>Bako Nataliya</v>
          </cell>
          <cell r="D23">
            <v>73</v>
          </cell>
          <cell r="E23" t="str">
            <v>RUS</v>
          </cell>
          <cell r="F23">
            <v>40025</v>
          </cell>
          <cell r="G23" t="str">
            <v>Burr Ridge</v>
          </cell>
        </row>
        <row r="24">
          <cell r="A24">
            <v>90</v>
          </cell>
          <cell r="B24">
            <v>130</v>
          </cell>
          <cell r="C24" t="str">
            <v>Johnson</v>
          </cell>
          <cell r="D24"/>
          <cell r="E24" t="str">
            <v>USA</v>
          </cell>
          <cell r="F24">
            <v>1999</v>
          </cell>
          <cell r="G24"/>
        </row>
        <row r="25">
          <cell r="A25" t="str">
            <v>90+</v>
          </cell>
          <cell r="B25">
            <v>190</v>
          </cell>
          <cell r="C25" t="str">
            <v>Nutter, Rachel</v>
          </cell>
          <cell r="D25">
            <v>70</v>
          </cell>
          <cell r="E25" t="str">
            <v>USA</v>
          </cell>
          <cell r="F25">
            <v>40789</v>
          </cell>
          <cell r="G25" t="str">
            <v>Idaho Falls</v>
          </cell>
        </row>
        <row r="27">
          <cell r="C27" t="str">
            <v xml:space="preserve">Men's Junior 20-23 </v>
          </cell>
        </row>
        <row r="28">
          <cell r="A28">
            <v>52</v>
          </cell>
          <cell r="B28">
            <v>127.5</v>
          </cell>
          <cell r="C28" t="str">
            <v>Sokushev,Vadim</v>
          </cell>
          <cell r="D28">
            <v>90</v>
          </cell>
          <cell r="E28" t="str">
            <v>RUS</v>
          </cell>
          <cell r="F28">
            <v>41502</v>
          </cell>
          <cell r="G28" t="str">
            <v>Novosibirsk</v>
          </cell>
        </row>
        <row r="29">
          <cell r="A29">
            <v>56</v>
          </cell>
          <cell r="B29">
            <v>72.5</v>
          </cell>
          <cell r="C29" t="str">
            <v>Akakiev,Vladimir</v>
          </cell>
          <cell r="D29">
            <v>85</v>
          </cell>
          <cell r="E29" t="str">
            <v>RUS</v>
          </cell>
          <cell r="F29">
            <v>39606</v>
          </cell>
          <cell r="G29" t="str">
            <v>Kursk</v>
          </cell>
        </row>
        <row r="30">
          <cell r="A30">
            <v>60</v>
          </cell>
          <cell r="B30">
            <v>132.5</v>
          </cell>
          <cell r="C30" t="str">
            <v>Yanushkevich,Andrei</v>
          </cell>
          <cell r="D30">
            <v>84</v>
          </cell>
          <cell r="E30" t="str">
            <v>RUS</v>
          </cell>
          <cell r="F30">
            <v>39123</v>
          </cell>
          <cell r="G30" t="str">
            <v>Chelyabinsk</v>
          </cell>
        </row>
        <row r="31">
          <cell r="A31">
            <v>67.5</v>
          </cell>
          <cell r="B31">
            <v>175</v>
          </cell>
          <cell r="C31" t="str">
            <v>Warpeha</v>
          </cell>
          <cell r="D31"/>
          <cell r="E31" t="str">
            <v>USA</v>
          </cell>
          <cell r="F31" t="str">
            <v>\</v>
          </cell>
          <cell r="G31"/>
        </row>
        <row r="32">
          <cell r="A32">
            <v>75</v>
          </cell>
          <cell r="B32">
            <v>200</v>
          </cell>
          <cell r="C32" t="str">
            <v>Land, John</v>
          </cell>
          <cell r="D32">
            <v>83</v>
          </cell>
          <cell r="E32" t="str">
            <v>USA</v>
          </cell>
          <cell r="F32">
            <v>38814</v>
          </cell>
          <cell r="G32" t="str">
            <v>Baton Rouge</v>
          </cell>
        </row>
        <row r="33">
          <cell r="A33">
            <v>82.5</v>
          </cell>
          <cell r="B33">
            <v>220</v>
          </cell>
          <cell r="C33" t="str">
            <v xml:space="preserve">Pronin,Denis </v>
          </cell>
          <cell r="D33">
            <v>88</v>
          </cell>
          <cell r="E33" t="str">
            <v>CAN</v>
          </cell>
          <cell r="F33">
            <v>40375</v>
          </cell>
          <cell r="G33" t="str">
            <v>West Palm Beach</v>
          </cell>
        </row>
        <row r="34">
          <cell r="A34">
            <v>90</v>
          </cell>
          <cell r="B34">
            <v>250</v>
          </cell>
          <cell r="C34" t="str">
            <v>DeCaires,Eric</v>
          </cell>
          <cell r="D34">
            <v>86</v>
          </cell>
          <cell r="E34" t="str">
            <v>USA</v>
          </cell>
          <cell r="F34">
            <v>40286</v>
          </cell>
          <cell r="G34" t="str">
            <v>Detroit</v>
          </cell>
        </row>
        <row r="35">
          <cell r="A35">
            <v>100</v>
          </cell>
          <cell r="B35">
            <v>250</v>
          </cell>
          <cell r="C35" t="str">
            <v>Likhovitskiy,Ivan</v>
          </cell>
          <cell r="D35">
            <v>90</v>
          </cell>
          <cell r="E35" t="str">
            <v>RUS</v>
          </cell>
          <cell r="F35">
            <v>41201</v>
          </cell>
          <cell r="G35" t="str">
            <v>Krasnodar</v>
          </cell>
        </row>
        <row r="36">
          <cell r="A36">
            <v>110</v>
          </cell>
          <cell r="B36">
            <v>250</v>
          </cell>
          <cell r="C36" t="str">
            <v>Kulebyakin Ruslan</v>
          </cell>
          <cell r="D36">
            <v>91</v>
          </cell>
          <cell r="E36" t="str">
            <v>RUS</v>
          </cell>
          <cell r="F36" t="str">
            <v>23.08.2014</v>
          </cell>
          <cell r="G36" t="str">
            <v>Moscow</v>
          </cell>
        </row>
        <row r="37">
          <cell r="A37">
            <v>125</v>
          </cell>
          <cell r="B37">
            <v>242.5</v>
          </cell>
          <cell r="C37" t="str">
            <v>Briley, Chad</v>
          </cell>
          <cell r="D37">
            <v>83</v>
          </cell>
          <cell r="E37" t="str">
            <v>USA</v>
          </cell>
          <cell r="F37">
            <v>38814</v>
          </cell>
          <cell r="G37" t="str">
            <v>Baton Rouge</v>
          </cell>
        </row>
        <row r="38">
          <cell r="A38">
            <v>140</v>
          </cell>
          <cell r="B38">
            <v>237.5</v>
          </cell>
          <cell r="C38" t="str">
            <v>Court, Mathew</v>
          </cell>
          <cell r="D38">
            <v>84</v>
          </cell>
          <cell r="E38" t="str">
            <v>CAN</v>
          </cell>
          <cell r="F38">
            <v>39207</v>
          </cell>
          <cell r="G38" t="str">
            <v>Toronto</v>
          </cell>
        </row>
        <row r="39">
          <cell r="A39" t="str">
            <v>140+</v>
          </cell>
          <cell r="B39">
            <v>272.5</v>
          </cell>
          <cell r="C39" t="str">
            <v>Singh, Richard</v>
          </cell>
          <cell r="D39">
            <v>88</v>
          </cell>
          <cell r="E39" t="str">
            <v>CAN</v>
          </cell>
          <cell r="F39">
            <v>41063</v>
          </cell>
          <cell r="G39" t="str">
            <v>Ontario</v>
          </cell>
        </row>
        <row r="41">
          <cell r="C41" t="str">
            <v>Women's Junior 20-23</v>
          </cell>
        </row>
        <row r="42">
          <cell r="A42">
            <v>44</v>
          </cell>
          <cell r="B42"/>
          <cell r="C42"/>
          <cell r="D42"/>
          <cell r="E42"/>
          <cell r="F42"/>
          <cell r="G42"/>
        </row>
        <row r="43">
          <cell r="A43">
            <v>48</v>
          </cell>
          <cell r="B43">
            <v>80</v>
          </cell>
          <cell r="C43" t="str">
            <v>Dudyreva, Irina</v>
          </cell>
          <cell r="D43">
            <v>90</v>
          </cell>
          <cell r="E43" t="str">
            <v>RUS</v>
          </cell>
          <cell r="F43">
            <v>40409</v>
          </cell>
          <cell r="G43" t="str">
            <v>Moscow</v>
          </cell>
        </row>
        <row r="44">
          <cell r="A44">
            <v>52</v>
          </cell>
          <cell r="B44">
            <v>85</v>
          </cell>
          <cell r="C44" t="str">
            <v>Blinkova,Natalya</v>
          </cell>
          <cell r="D44">
            <v>92</v>
          </cell>
          <cell r="E44" t="str">
            <v>RUS</v>
          </cell>
          <cell r="F44">
            <v>41129</v>
          </cell>
          <cell r="G44" t="str">
            <v>Kryvyi Rig</v>
          </cell>
        </row>
        <row r="45">
          <cell r="A45">
            <v>56</v>
          </cell>
          <cell r="B45">
            <v>65</v>
          </cell>
          <cell r="C45" t="str">
            <v>Ogorodnikova,Anna</v>
          </cell>
          <cell r="D45">
            <v>84</v>
          </cell>
          <cell r="E45" t="str">
            <v>RUS</v>
          </cell>
          <cell r="F45">
            <v>39312</v>
          </cell>
          <cell r="G45" t="str">
            <v>Kursk</v>
          </cell>
        </row>
        <row r="46">
          <cell r="A46">
            <v>60</v>
          </cell>
          <cell r="B46">
            <v>88</v>
          </cell>
          <cell r="C46" t="str">
            <v>Telpova,Olga</v>
          </cell>
          <cell r="D46">
            <v>86</v>
          </cell>
          <cell r="E46" t="str">
            <v>RUS</v>
          </cell>
          <cell r="F46">
            <v>40258</v>
          </cell>
          <cell r="G46" t="str">
            <v>Kursk</v>
          </cell>
        </row>
        <row r="47">
          <cell r="A47">
            <v>67.5</v>
          </cell>
          <cell r="B47">
            <v>90</v>
          </cell>
          <cell r="C47" t="str">
            <v>Gongor Otgontuya</v>
          </cell>
          <cell r="D47">
            <v>91</v>
          </cell>
          <cell r="E47" t="str">
            <v>MGL</v>
          </cell>
          <cell r="F47" t="str">
            <v>23.08.2014</v>
          </cell>
          <cell r="G47" t="str">
            <v>Moscow</v>
          </cell>
        </row>
        <row r="48">
          <cell r="A48">
            <v>75</v>
          </cell>
          <cell r="B48">
            <v>95</v>
          </cell>
          <cell r="C48" t="str">
            <v>Desrosier, Jasmin</v>
          </cell>
          <cell r="D48">
            <v>83</v>
          </cell>
          <cell r="E48" t="str">
            <v>USA</v>
          </cell>
          <cell r="F48">
            <v>38464</v>
          </cell>
          <cell r="G48" t="str">
            <v>Saco</v>
          </cell>
        </row>
        <row r="49">
          <cell r="A49">
            <v>82.5</v>
          </cell>
          <cell r="B49">
            <v>85</v>
          </cell>
          <cell r="C49" t="str">
            <v>Licata</v>
          </cell>
          <cell r="D49"/>
          <cell r="E49" t="str">
            <v>USA</v>
          </cell>
          <cell r="F49">
            <v>2000</v>
          </cell>
          <cell r="G49"/>
        </row>
        <row r="50">
          <cell r="A50">
            <v>90</v>
          </cell>
          <cell r="B50"/>
          <cell r="C50"/>
          <cell r="D50"/>
          <cell r="E50"/>
          <cell r="F50"/>
          <cell r="G50"/>
        </row>
        <row r="51">
          <cell r="A51" t="str">
            <v>90+</v>
          </cell>
          <cell r="B51"/>
          <cell r="C51"/>
          <cell r="D51"/>
          <cell r="E51"/>
          <cell r="F51"/>
          <cell r="G51"/>
        </row>
        <row r="53">
          <cell r="C53" t="str">
            <v>Men's 13-15</v>
          </cell>
        </row>
        <row r="54">
          <cell r="A54">
            <v>52</v>
          </cell>
          <cell r="B54">
            <v>80</v>
          </cell>
          <cell r="C54" t="str">
            <v>Grechko Sergey</v>
          </cell>
          <cell r="D54">
            <v>92</v>
          </cell>
          <cell r="E54" t="str">
            <v>RUS</v>
          </cell>
          <cell r="F54">
            <v>39529</v>
          </cell>
          <cell r="G54" t="str">
            <v xml:space="preserve">Rostov </v>
          </cell>
        </row>
        <row r="55">
          <cell r="A55">
            <v>56</v>
          </cell>
          <cell r="B55">
            <v>67.5</v>
          </cell>
          <cell r="C55" t="str">
            <v>Petrosyan Arman</v>
          </cell>
          <cell r="D55">
            <v>93</v>
          </cell>
          <cell r="E55" t="str">
            <v>RUS</v>
          </cell>
          <cell r="F55">
            <v>39669</v>
          </cell>
          <cell r="G55" t="str">
            <v>Kursk</v>
          </cell>
        </row>
        <row r="56">
          <cell r="A56">
            <v>60</v>
          </cell>
          <cell r="B56">
            <v>115</v>
          </cell>
          <cell r="C56" t="str">
            <v>Dunn, Jordan</v>
          </cell>
          <cell r="D56">
            <v>91</v>
          </cell>
          <cell r="E56" t="str">
            <v>USA</v>
          </cell>
          <cell r="F56">
            <v>38814</v>
          </cell>
          <cell r="G56" t="str">
            <v>Baton Rouge</v>
          </cell>
        </row>
        <row r="57">
          <cell r="A57">
            <v>67.5</v>
          </cell>
          <cell r="B57">
            <v>117.5</v>
          </cell>
          <cell r="C57" t="str">
            <v>Tishinin,Denis</v>
          </cell>
          <cell r="D57">
            <v>91</v>
          </cell>
          <cell r="E57" t="str">
            <v>RUS</v>
          </cell>
          <cell r="F57">
            <v>39312</v>
          </cell>
          <cell r="G57" t="str">
            <v>Kursk</v>
          </cell>
        </row>
        <row r="58">
          <cell r="A58">
            <v>75</v>
          </cell>
          <cell r="B58">
            <v>112.5</v>
          </cell>
          <cell r="C58" t="str">
            <v>Rezitsky,Nikita</v>
          </cell>
          <cell r="D58">
            <v>93</v>
          </cell>
          <cell r="E58" t="str">
            <v>RUS</v>
          </cell>
          <cell r="F58">
            <v>39873</v>
          </cell>
          <cell r="G58" t="str">
            <v>Chelyabinsk</v>
          </cell>
        </row>
        <row r="59">
          <cell r="A59">
            <v>82.5</v>
          </cell>
          <cell r="B59">
            <v>172.5</v>
          </cell>
          <cell r="C59" t="str">
            <v>Frizzell</v>
          </cell>
          <cell r="D59"/>
          <cell r="E59" t="str">
            <v>USA</v>
          </cell>
          <cell r="F59">
            <v>2002</v>
          </cell>
          <cell r="G59"/>
        </row>
        <row r="60">
          <cell r="A60">
            <v>90</v>
          </cell>
          <cell r="B60">
            <v>138.5</v>
          </cell>
          <cell r="C60" t="str">
            <v>Archuleta,Gabriel</v>
          </cell>
          <cell r="D60">
            <v>94</v>
          </cell>
          <cell r="E60" t="str">
            <v>USA</v>
          </cell>
          <cell r="F60">
            <v>39907</v>
          </cell>
          <cell r="G60" t="str">
            <v>Idaho Falls</v>
          </cell>
        </row>
        <row r="61">
          <cell r="A61">
            <v>100</v>
          </cell>
          <cell r="B61">
            <v>140</v>
          </cell>
          <cell r="C61" t="str">
            <v>Abrego, Vincent</v>
          </cell>
          <cell r="D61"/>
          <cell r="E61" t="str">
            <v>USA</v>
          </cell>
          <cell r="F61">
            <v>2003</v>
          </cell>
          <cell r="G61"/>
        </row>
        <row r="62">
          <cell r="A62">
            <v>110</v>
          </cell>
          <cell r="B62">
            <v>210</v>
          </cell>
          <cell r="C62" t="str">
            <v>Kennedy,Cody</v>
          </cell>
          <cell r="D62">
            <v>95</v>
          </cell>
          <cell r="E62" t="str">
            <v>USA</v>
          </cell>
          <cell r="F62">
            <v>40375</v>
          </cell>
          <cell r="G62" t="str">
            <v>West Palm Beach</v>
          </cell>
        </row>
        <row r="63">
          <cell r="A63">
            <v>125</v>
          </cell>
          <cell r="B63">
            <v>155</v>
          </cell>
          <cell r="C63" t="str">
            <v>Aspuru, Fernando</v>
          </cell>
          <cell r="D63">
            <v>83</v>
          </cell>
          <cell r="E63" t="str">
            <v>USA</v>
          </cell>
          <cell r="F63">
            <v>1999</v>
          </cell>
          <cell r="G63"/>
        </row>
        <row r="64">
          <cell r="A64">
            <v>140</v>
          </cell>
          <cell r="B64">
            <v>145</v>
          </cell>
          <cell r="C64" t="str">
            <v>Middleton</v>
          </cell>
          <cell r="D64"/>
          <cell r="E64" t="str">
            <v>USA</v>
          </cell>
          <cell r="F64">
            <v>2001</v>
          </cell>
          <cell r="G64"/>
        </row>
        <row r="65">
          <cell r="A65" t="str">
            <v>140+</v>
          </cell>
          <cell r="B65"/>
          <cell r="C65"/>
          <cell r="D65"/>
          <cell r="E65"/>
          <cell r="F65"/>
          <cell r="G65"/>
        </row>
        <row r="67">
          <cell r="C67" t="str">
            <v xml:space="preserve">Men's 16-17 </v>
          </cell>
        </row>
        <row r="68">
          <cell r="A68">
            <v>52</v>
          </cell>
          <cell r="B68">
            <v>72.5</v>
          </cell>
          <cell r="C68" t="str">
            <v>Sabelnikov,Ilya</v>
          </cell>
          <cell r="D68">
            <v>91</v>
          </cell>
          <cell r="E68" t="str">
            <v>RUS</v>
          </cell>
          <cell r="F68">
            <v>39606</v>
          </cell>
          <cell r="G68" t="str">
            <v>Kursk</v>
          </cell>
        </row>
        <row r="69">
          <cell r="A69">
            <v>56</v>
          </cell>
          <cell r="B69" t="str">
            <v>112.5</v>
          </cell>
          <cell r="C69" t="str">
            <v>Guliev Fakhi</v>
          </cell>
          <cell r="D69">
            <v>91</v>
          </cell>
          <cell r="E69" t="str">
            <v>RUS</v>
          </cell>
          <cell r="F69">
            <v>39529</v>
          </cell>
          <cell r="G69" t="str">
            <v>Rostov</v>
          </cell>
        </row>
        <row r="70">
          <cell r="A70">
            <v>60</v>
          </cell>
          <cell r="B70">
            <v>142.5</v>
          </cell>
          <cell r="C70" t="str">
            <v>Chekalin,Vladislav</v>
          </cell>
          <cell r="D70">
            <v>95</v>
          </cell>
          <cell r="E70" t="str">
            <v>RUS</v>
          </cell>
          <cell r="F70">
            <v>41137</v>
          </cell>
          <cell r="G70" t="str">
            <v>Novosibirsk</v>
          </cell>
        </row>
        <row r="71">
          <cell r="A71">
            <v>67.5</v>
          </cell>
          <cell r="B71">
            <v>150</v>
          </cell>
          <cell r="C71" t="str">
            <v>Buchnev,Oleg</v>
          </cell>
          <cell r="D71">
            <v>95</v>
          </cell>
          <cell r="E71" t="str">
            <v>RUS</v>
          </cell>
          <cell r="F71">
            <v>41129</v>
          </cell>
          <cell r="G71" t="str">
            <v>Kryvyi Rig</v>
          </cell>
        </row>
        <row r="72">
          <cell r="A72">
            <v>75</v>
          </cell>
          <cell r="B72">
            <v>185</v>
          </cell>
          <cell r="C72" t="str">
            <v>Dunn,Jordan</v>
          </cell>
          <cell r="D72">
            <v>91</v>
          </cell>
          <cell r="E72" t="str">
            <v>USA</v>
          </cell>
          <cell r="F72">
            <v>39551</v>
          </cell>
          <cell r="G72" t="str">
            <v>Lake George</v>
          </cell>
        </row>
        <row r="73">
          <cell r="A73">
            <v>82.5</v>
          </cell>
          <cell r="B73">
            <v>170</v>
          </cell>
          <cell r="C73" t="str">
            <v>Karpenko,Alexander</v>
          </cell>
          <cell r="D73">
            <v>92</v>
          </cell>
          <cell r="E73" t="str">
            <v>RUS</v>
          </cell>
          <cell r="F73">
            <v>40258</v>
          </cell>
          <cell r="G73" t="str">
            <v>Kursk</v>
          </cell>
        </row>
        <row r="74">
          <cell r="A74">
            <v>90</v>
          </cell>
          <cell r="B74">
            <v>180</v>
          </cell>
          <cell r="C74" t="str">
            <v>Boyko Ilya</v>
          </cell>
          <cell r="D74">
            <v>94</v>
          </cell>
          <cell r="E74" t="str">
            <v>RUS</v>
          </cell>
          <cell r="F74">
            <v>40813</v>
          </cell>
          <cell r="G74" t="str">
            <v>Yekaterinbourgh</v>
          </cell>
        </row>
        <row r="75">
          <cell r="A75">
            <v>100</v>
          </cell>
          <cell r="B75">
            <v>227.5</v>
          </cell>
          <cell r="C75" t="str">
            <v>McCloskey,Anthony</v>
          </cell>
          <cell r="D75">
            <v>91</v>
          </cell>
          <cell r="E75" t="str">
            <v>USA</v>
          </cell>
          <cell r="F75">
            <v>39551</v>
          </cell>
          <cell r="G75" t="str">
            <v>Lake George</v>
          </cell>
        </row>
        <row r="76">
          <cell r="A76">
            <v>110</v>
          </cell>
          <cell r="B76">
            <v>195</v>
          </cell>
          <cell r="C76" t="str">
            <v>Kinsely, Clayton</v>
          </cell>
          <cell r="D76">
            <v>88</v>
          </cell>
          <cell r="E76" t="str">
            <v>USA</v>
          </cell>
          <cell r="F76">
            <v>38814</v>
          </cell>
          <cell r="G76" t="str">
            <v>Baton Rouge</v>
          </cell>
        </row>
        <row r="77">
          <cell r="A77">
            <v>125</v>
          </cell>
          <cell r="B77">
            <v>227.5</v>
          </cell>
          <cell r="C77" t="str">
            <v>Beck, Hunter</v>
          </cell>
          <cell r="D77">
            <v>88</v>
          </cell>
          <cell r="E77" t="str">
            <v>USA</v>
          </cell>
          <cell r="F77">
            <v>38465</v>
          </cell>
          <cell r="G77" t="str">
            <v>Saco</v>
          </cell>
        </row>
        <row r="78">
          <cell r="A78">
            <v>140</v>
          </cell>
          <cell r="B78">
            <v>200</v>
          </cell>
          <cell r="C78" t="str">
            <v>Burton,Alex</v>
          </cell>
          <cell r="D78">
            <v>90</v>
          </cell>
          <cell r="E78" t="str">
            <v>USA</v>
          </cell>
          <cell r="F78">
            <v>39661</v>
          </cell>
          <cell r="G78" t="str">
            <v>Oak Brook</v>
          </cell>
        </row>
        <row r="79">
          <cell r="A79" t="str">
            <v>140+</v>
          </cell>
          <cell r="B79">
            <v>142.5</v>
          </cell>
          <cell r="C79" t="str">
            <v>Pelosi, Michael</v>
          </cell>
          <cell r="D79">
            <v>87</v>
          </cell>
          <cell r="E79" t="str">
            <v>USA</v>
          </cell>
          <cell r="F79">
            <v>38464</v>
          </cell>
          <cell r="G79" t="str">
            <v>Saco</v>
          </cell>
        </row>
        <row r="81">
          <cell r="C81" t="str">
            <v xml:space="preserve">Men's 18-19 </v>
          </cell>
        </row>
        <row r="82">
          <cell r="A82">
            <v>52</v>
          </cell>
          <cell r="B82">
            <v>105</v>
          </cell>
          <cell r="C82" t="str">
            <v>Sergeev Sergey</v>
          </cell>
          <cell r="D82">
            <v>90</v>
          </cell>
          <cell r="E82" t="str">
            <v>RUS</v>
          </cell>
          <cell r="F82">
            <v>39528</v>
          </cell>
          <cell r="G82" t="str">
            <v>Rostov</v>
          </cell>
        </row>
        <row r="83">
          <cell r="A83">
            <v>56</v>
          </cell>
          <cell r="B83">
            <v>115</v>
          </cell>
          <cell r="C83" t="str">
            <v>Zhikan,Vladimir</v>
          </cell>
          <cell r="D83">
            <v>94</v>
          </cell>
          <cell r="E83" t="str">
            <v>RUS</v>
          </cell>
          <cell r="F83">
            <v>41137</v>
          </cell>
          <cell r="G83" t="str">
            <v>Novosibirsk</v>
          </cell>
        </row>
        <row r="84">
          <cell r="A84">
            <v>60</v>
          </cell>
          <cell r="B84">
            <v>125</v>
          </cell>
          <cell r="C84" t="str">
            <v>Gornyy, Olexiy</v>
          </cell>
          <cell r="D84">
            <v>92</v>
          </cell>
          <cell r="E84" t="str">
            <v>UKR</v>
          </cell>
          <cell r="F84">
            <v>40628</v>
          </cell>
          <cell r="G84" t="str">
            <v>Kryvyi Rig</v>
          </cell>
        </row>
        <row r="85">
          <cell r="A85">
            <v>67.5</v>
          </cell>
          <cell r="B85">
            <v>163.5</v>
          </cell>
          <cell r="C85" t="str">
            <v>Noskov,Andrei</v>
          </cell>
          <cell r="D85">
            <v>93</v>
          </cell>
          <cell r="E85" t="str">
            <v>RUS</v>
          </cell>
          <cell r="F85">
            <v>41201</v>
          </cell>
          <cell r="G85" t="str">
            <v>Krasnodar</v>
          </cell>
        </row>
        <row r="86">
          <cell r="A86">
            <v>75</v>
          </cell>
          <cell r="B86">
            <v>205</v>
          </cell>
          <cell r="C86" t="str">
            <v>Tinajero, Daniel</v>
          </cell>
          <cell r="D86">
            <v>87</v>
          </cell>
          <cell r="E86" t="str">
            <v>USA</v>
          </cell>
          <cell r="F86">
            <v>38920</v>
          </cell>
          <cell r="G86" t="str">
            <v>Flint</v>
          </cell>
        </row>
        <row r="87">
          <cell r="A87">
            <v>82.5</v>
          </cell>
          <cell r="B87">
            <v>207.5</v>
          </cell>
          <cell r="C87" t="str">
            <v>Karpenko, Alexander</v>
          </cell>
          <cell r="D87">
            <v>92</v>
          </cell>
          <cell r="E87" t="str">
            <v>RUS</v>
          </cell>
          <cell r="F87">
            <v>41018</v>
          </cell>
          <cell r="G87" t="str">
            <v>Rostov</v>
          </cell>
        </row>
        <row r="88">
          <cell r="A88">
            <v>90</v>
          </cell>
          <cell r="B88">
            <v>182.5</v>
          </cell>
          <cell r="C88" t="str">
            <v>Howard</v>
          </cell>
          <cell r="D88"/>
          <cell r="E88" t="str">
            <v>USA</v>
          </cell>
          <cell r="F88">
            <v>2001</v>
          </cell>
          <cell r="G88"/>
        </row>
        <row r="89">
          <cell r="A89">
            <v>100</v>
          </cell>
          <cell r="B89">
            <v>215</v>
          </cell>
          <cell r="C89" t="str">
            <v>Roberts</v>
          </cell>
          <cell r="D89"/>
          <cell r="E89" t="str">
            <v>USA</v>
          </cell>
          <cell r="F89">
            <v>1999</v>
          </cell>
          <cell r="G89"/>
        </row>
        <row r="90">
          <cell r="A90">
            <v>110</v>
          </cell>
          <cell r="B90">
            <v>220</v>
          </cell>
          <cell r="C90" t="str">
            <v>Brewer, Trey</v>
          </cell>
          <cell r="D90">
            <v>85</v>
          </cell>
          <cell r="E90" t="str">
            <v>USA</v>
          </cell>
          <cell r="F90">
            <v>39161</v>
          </cell>
          <cell r="G90" t="str">
            <v>Las Vegas</v>
          </cell>
        </row>
        <row r="91">
          <cell r="A91">
            <v>125</v>
          </cell>
          <cell r="B91">
            <v>205</v>
          </cell>
          <cell r="C91" t="str">
            <v>Singh,Richard</v>
          </cell>
          <cell r="D91">
            <v>88</v>
          </cell>
          <cell r="E91" t="str">
            <v>CAN</v>
          </cell>
          <cell r="F91">
            <v>39297</v>
          </cell>
          <cell r="G91" t="str">
            <v>Rosemont</v>
          </cell>
        </row>
        <row r="92">
          <cell r="A92">
            <v>140</v>
          </cell>
          <cell r="B92">
            <v>247.5</v>
          </cell>
          <cell r="C92" t="str">
            <v>Arman, Matt</v>
          </cell>
          <cell r="D92">
            <v>87</v>
          </cell>
          <cell r="E92" t="str">
            <v>USA</v>
          </cell>
          <cell r="F92">
            <v>38920</v>
          </cell>
          <cell r="G92" t="str">
            <v>Flint</v>
          </cell>
        </row>
        <row r="93">
          <cell r="A93" t="str">
            <v>140+</v>
          </cell>
          <cell r="B93">
            <v>272.5</v>
          </cell>
          <cell r="C93" t="str">
            <v>Garvey Jr, Darrell</v>
          </cell>
          <cell r="D93">
            <v>87</v>
          </cell>
          <cell r="E93" t="str">
            <v>USA</v>
          </cell>
          <cell r="F93">
            <v>38814</v>
          </cell>
          <cell r="G93" t="str">
            <v>Baton Rouge</v>
          </cell>
        </row>
        <row r="95">
          <cell r="C95" t="str">
            <v>Women's 13-15</v>
          </cell>
        </row>
        <row r="96">
          <cell r="A96">
            <v>44</v>
          </cell>
          <cell r="B96"/>
          <cell r="C96"/>
          <cell r="D96"/>
          <cell r="E96"/>
          <cell r="F96"/>
          <cell r="G96"/>
        </row>
        <row r="97">
          <cell r="A97">
            <v>48</v>
          </cell>
          <cell r="B97"/>
          <cell r="C97"/>
          <cell r="D97"/>
          <cell r="E97"/>
          <cell r="F97"/>
          <cell r="G97"/>
        </row>
        <row r="98">
          <cell r="A98">
            <v>52</v>
          </cell>
          <cell r="B98">
            <v>70</v>
          </cell>
          <cell r="C98" t="str">
            <v>Harris, Amanda</v>
          </cell>
          <cell r="D98">
            <v>91</v>
          </cell>
          <cell r="E98" t="str">
            <v>USA</v>
          </cell>
          <cell r="F98">
            <v>38814</v>
          </cell>
          <cell r="G98" t="str">
            <v>Baton Rouge</v>
          </cell>
        </row>
        <row r="99">
          <cell r="A99">
            <v>56</v>
          </cell>
          <cell r="B99"/>
          <cell r="C99"/>
          <cell r="D99"/>
          <cell r="E99"/>
          <cell r="F99"/>
          <cell r="G99"/>
        </row>
        <row r="100">
          <cell r="A100">
            <v>60</v>
          </cell>
          <cell r="B100">
            <v>62.5</v>
          </cell>
          <cell r="C100" t="str">
            <v>Mayer, Rachael</v>
          </cell>
          <cell r="D100">
            <v>89</v>
          </cell>
          <cell r="E100" t="str">
            <v>USA</v>
          </cell>
          <cell r="F100">
            <v>38465</v>
          </cell>
          <cell r="G100" t="str">
            <v>Saco</v>
          </cell>
        </row>
        <row r="101">
          <cell r="A101">
            <v>67.5</v>
          </cell>
          <cell r="B101">
            <v>85</v>
          </cell>
          <cell r="C101" t="str">
            <v>Brandau</v>
          </cell>
          <cell r="D101"/>
          <cell r="E101" t="str">
            <v>USA</v>
          </cell>
          <cell r="F101">
            <v>2000</v>
          </cell>
          <cell r="G101"/>
        </row>
        <row r="102">
          <cell r="A102">
            <v>75</v>
          </cell>
          <cell r="B102"/>
          <cell r="C102"/>
          <cell r="D102"/>
          <cell r="E102"/>
          <cell r="F102"/>
          <cell r="G102"/>
        </row>
        <row r="103">
          <cell r="A103">
            <v>82.5</v>
          </cell>
          <cell r="B103"/>
          <cell r="C103"/>
          <cell r="D103"/>
          <cell r="E103"/>
          <cell r="F103"/>
          <cell r="G103"/>
        </row>
        <row r="104">
          <cell r="A104">
            <v>90</v>
          </cell>
          <cell r="B104"/>
          <cell r="C104"/>
          <cell r="D104"/>
          <cell r="E104"/>
          <cell r="F104"/>
          <cell r="G104"/>
        </row>
        <row r="105">
          <cell r="A105" t="str">
            <v>90+</v>
          </cell>
          <cell r="B105">
            <v>50</v>
          </cell>
          <cell r="C105" t="str">
            <v>Biddle, Hannah</v>
          </cell>
          <cell r="D105">
            <v>90</v>
          </cell>
          <cell r="E105" t="str">
            <v>USA</v>
          </cell>
          <cell r="F105">
            <v>38563</v>
          </cell>
          <cell r="G105" t="str">
            <v>Lincolnwood</v>
          </cell>
        </row>
        <row r="107">
          <cell r="C107" t="str">
            <v>Women's 16-17</v>
          </cell>
        </row>
        <row r="108">
          <cell r="A108">
            <v>44</v>
          </cell>
          <cell r="B108">
            <v>47.5</v>
          </cell>
          <cell r="C108" t="str">
            <v>Cunningham,Geri</v>
          </cell>
          <cell r="D108">
            <v>92</v>
          </cell>
          <cell r="E108" t="str">
            <v>USA</v>
          </cell>
          <cell r="F108">
            <v>39907</v>
          </cell>
          <cell r="G108" t="str">
            <v>Idaho Falls</v>
          </cell>
        </row>
        <row r="109">
          <cell r="A109">
            <v>48</v>
          </cell>
          <cell r="B109"/>
          <cell r="C109"/>
          <cell r="D109"/>
          <cell r="E109"/>
          <cell r="F109"/>
          <cell r="G109"/>
        </row>
        <row r="110">
          <cell r="A110">
            <v>52</v>
          </cell>
          <cell r="B110">
            <v>52.5</v>
          </cell>
          <cell r="C110" t="str">
            <v>Reutova,Nadezhda</v>
          </cell>
          <cell r="D110">
            <v>93</v>
          </cell>
          <cell r="E110" t="str">
            <v>RUS</v>
          </cell>
          <cell r="F110">
            <v>40258</v>
          </cell>
          <cell r="G110" t="str">
            <v>Kursk</v>
          </cell>
        </row>
        <row r="111">
          <cell r="A111">
            <v>56</v>
          </cell>
          <cell r="B111">
            <v>80</v>
          </cell>
          <cell r="C111" t="str">
            <v>Harris,Amanda</v>
          </cell>
          <cell r="D111">
            <v>91</v>
          </cell>
          <cell r="E111" t="str">
            <v>USA</v>
          </cell>
          <cell r="F111">
            <v>39297</v>
          </cell>
          <cell r="G111" t="str">
            <v>Rosemont</v>
          </cell>
        </row>
        <row r="112">
          <cell r="A112">
            <v>60</v>
          </cell>
          <cell r="B112">
            <v>41</v>
          </cell>
          <cell r="C112" t="str">
            <v>Gray,Nerissa</v>
          </cell>
          <cell r="D112">
            <v>92</v>
          </cell>
          <cell r="E112" t="str">
            <v>AUS</v>
          </cell>
          <cell r="F112">
            <v>39607</v>
          </cell>
          <cell r="G112" t="str">
            <v>Lithgow</v>
          </cell>
        </row>
        <row r="113">
          <cell r="A113">
            <v>67.5</v>
          </cell>
          <cell r="B113">
            <v>77.5</v>
          </cell>
          <cell r="C113" t="str">
            <v>Mayer, Rachael</v>
          </cell>
          <cell r="D113">
            <v>89</v>
          </cell>
          <cell r="E113" t="str">
            <v>USA</v>
          </cell>
          <cell r="F113">
            <v>38920</v>
          </cell>
          <cell r="G113" t="str">
            <v>Flint</v>
          </cell>
        </row>
        <row r="114">
          <cell r="A114">
            <v>75</v>
          </cell>
          <cell r="B114"/>
          <cell r="C114"/>
          <cell r="D114"/>
          <cell r="E114"/>
          <cell r="F114"/>
          <cell r="G114"/>
        </row>
        <row r="115">
          <cell r="A115">
            <v>82.5</v>
          </cell>
          <cell r="B115">
            <v>60</v>
          </cell>
          <cell r="C115" t="str">
            <v>Biddle, Abigail</v>
          </cell>
          <cell r="D115">
            <v>88</v>
          </cell>
          <cell r="E115" t="str">
            <v>USA</v>
          </cell>
          <cell r="F115">
            <v>38563</v>
          </cell>
          <cell r="G115" t="str">
            <v>Lincolnwood</v>
          </cell>
        </row>
        <row r="116">
          <cell r="A116">
            <v>90</v>
          </cell>
          <cell r="B116">
            <v>117.5</v>
          </cell>
          <cell r="C116" t="str">
            <v>McCloskey,Anna</v>
          </cell>
          <cell r="D116">
            <v>93</v>
          </cell>
          <cell r="E116" t="str">
            <v>USA</v>
          </cell>
          <cell r="F116">
            <v>40375</v>
          </cell>
          <cell r="G116" t="str">
            <v>West Palm Beach</v>
          </cell>
        </row>
        <row r="117">
          <cell r="A117" t="str">
            <v>90+</v>
          </cell>
          <cell r="B117">
            <v>122.5</v>
          </cell>
          <cell r="C117" t="str">
            <v>Chatelain,Ashton</v>
          </cell>
          <cell r="D117">
            <v>92</v>
          </cell>
          <cell r="E117" t="str">
            <v>USA</v>
          </cell>
          <cell r="F117">
            <v>40376</v>
          </cell>
          <cell r="G117" t="str">
            <v>West Palm Beach</v>
          </cell>
        </row>
        <row r="119">
          <cell r="C119" t="str">
            <v xml:space="preserve">Women's 18-19 </v>
          </cell>
        </row>
        <row r="120">
          <cell r="A120">
            <v>44</v>
          </cell>
          <cell r="B120"/>
          <cell r="C120"/>
          <cell r="D120"/>
          <cell r="E120"/>
          <cell r="F120"/>
          <cell r="G120"/>
        </row>
        <row r="121">
          <cell r="A121">
            <v>48</v>
          </cell>
          <cell r="B121">
            <v>72.5</v>
          </cell>
          <cell r="C121" t="str">
            <v>Dudyreva,Irina</v>
          </cell>
          <cell r="D121">
            <v>90</v>
          </cell>
          <cell r="E121" t="str">
            <v>RUS</v>
          </cell>
          <cell r="F121">
            <v>40258</v>
          </cell>
          <cell r="G121" t="str">
            <v>Kursk</v>
          </cell>
        </row>
        <row r="122">
          <cell r="A122">
            <v>52</v>
          </cell>
          <cell r="B122"/>
          <cell r="C122"/>
          <cell r="D122"/>
          <cell r="E122"/>
          <cell r="F122"/>
          <cell r="G122"/>
        </row>
        <row r="123">
          <cell r="A123">
            <v>56</v>
          </cell>
          <cell r="B123">
            <v>77.5</v>
          </cell>
          <cell r="C123" t="str">
            <v>Tom</v>
          </cell>
          <cell r="D123"/>
          <cell r="E123" t="str">
            <v>USA</v>
          </cell>
          <cell r="F123">
            <v>2004</v>
          </cell>
          <cell r="G123"/>
        </row>
        <row r="124">
          <cell r="A124">
            <v>60</v>
          </cell>
          <cell r="B124">
            <v>82.5</v>
          </cell>
          <cell r="C124" t="str">
            <v>Palmberg,Kayla</v>
          </cell>
          <cell r="D124">
            <v>91</v>
          </cell>
          <cell r="E124" t="str">
            <v>USA</v>
          </cell>
          <cell r="F124">
            <v>40375</v>
          </cell>
          <cell r="G124" t="str">
            <v>West Palm Beach</v>
          </cell>
        </row>
        <row r="125">
          <cell r="A125">
            <v>67.5</v>
          </cell>
          <cell r="B125">
            <v>87.5</v>
          </cell>
          <cell r="C125" t="str">
            <v>Czerwiec, Kimberly</v>
          </cell>
          <cell r="D125">
            <v>87</v>
          </cell>
          <cell r="E125" t="str">
            <v>USA</v>
          </cell>
          <cell r="F125">
            <v>38920</v>
          </cell>
          <cell r="G125" t="str">
            <v>Flint</v>
          </cell>
        </row>
        <row r="126">
          <cell r="A126">
            <v>75</v>
          </cell>
          <cell r="B126">
            <v>62.5</v>
          </cell>
          <cell r="C126" t="str">
            <v>Fitzpatrick, Erin</v>
          </cell>
          <cell r="D126">
            <v>87</v>
          </cell>
          <cell r="E126" t="str">
            <v>USA</v>
          </cell>
          <cell r="F126">
            <v>38814</v>
          </cell>
          <cell r="G126" t="str">
            <v>Baton Rouge</v>
          </cell>
        </row>
        <row r="127">
          <cell r="A127">
            <v>82.5</v>
          </cell>
          <cell r="B127"/>
          <cell r="C127"/>
          <cell r="D127"/>
          <cell r="E127"/>
          <cell r="F127"/>
          <cell r="G127"/>
        </row>
        <row r="128">
          <cell r="A128">
            <v>90</v>
          </cell>
          <cell r="B128"/>
          <cell r="C128"/>
          <cell r="D128"/>
          <cell r="E128"/>
          <cell r="F128"/>
          <cell r="G128"/>
        </row>
        <row r="129">
          <cell r="A129" t="str">
            <v>90+</v>
          </cell>
          <cell r="B129">
            <v>172.5</v>
          </cell>
          <cell r="C129" t="str">
            <v>Dudley, Machia</v>
          </cell>
          <cell r="D129">
            <v>86</v>
          </cell>
          <cell r="E129" t="str">
            <v>USA</v>
          </cell>
          <cell r="F129">
            <v>38814</v>
          </cell>
          <cell r="G129" t="str">
            <v>Baton Rouge</v>
          </cell>
        </row>
        <row r="131">
          <cell r="C131" t="str">
            <v xml:space="preserve">Men's Submaster 33-39 </v>
          </cell>
        </row>
        <row r="132">
          <cell r="A132">
            <v>52</v>
          </cell>
          <cell r="B132">
            <v>110</v>
          </cell>
          <cell r="C132" t="str">
            <v>Leoni, Rob</v>
          </cell>
          <cell r="D132">
            <v>66</v>
          </cell>
          <cell r="E132" t="str">
            <v>USA</v>
          </cell>
          <cell r="F132">
            <v>38564</v>
          </cell>
          <cell r="G132" t="str">
            <v>Lincolnwood</v>
          </cell>
        </row>
        <row r="133">
          <cell r="A133">
            <v>56</v>
          </cell>
          <cell r="B133">
            <v>140</v>
          </cell>
          <cell r="C133" t="str">
            <v>Artemyev,Igor</v>
          </cell>
          <cell r="D133">
            <v>71</v>
          </cell>
          <cell r="E133" t="str">
            <v>RUS</v>
          </cell>
          <cell r="F133">
            <v>39123</v>
          </cell>
          <cell r="G133" t="str">
            <v>Chelyabinsk</v>
          </cell>
        </row>
        <row r="134">
          <cell r="A134">
            <v>60</v>
          </cell>
          <cell r="B134">
            <v>137.5</v>
          </cell>
          <cell r="C134" t="str">
            <v>Artemyev,Oleg</v>
          </cell>
          <cell r="D134">
            <v>71</v>
          </cell>
          <cell r="E134" t="str">
            <v>RUS</v>
          </cell>
          <cell r="F134">
            <v>39123</v>
          </cell>
          <cell r="G134" t="str">
            <v>Chelyabinsk</v>
          </cell>
        </row>
        <row r="135">
          <cell r="A135">
            <v>67.5</v>
          </cell>
          <cell r="B135">
            <v>200</v>
          </cell>
          <cell r="C135" t="str">
            <v>Mukite, Joe</v>
          </cell>
          <cell r="D135"/>
          <cell r="E135" t="str">
            <v>USA</v>
          </cell>
          <cell r="F135">
            <v>2003</v>
          </cell>
          <cell r="G135"/>
        </row>
        <row r="136">
          <cell r="A136">
            <v>75</v>
          </cell>
          <cell r="B136">
            <v>200</v>
          </cell>
          <cell r="C136" t="str">
            <v>Larionov,Artem</v>
          </cell>
          <cell r="D136">
            <v>78</v>
          </cell>
          <cell r="E136" t="str">
            <v>RUS</v>
          </cell>
          <cell r="F136">
            <v>41439</v>
          </cell>
          <cell r="G136" t="str">
            <v>Moscow</v>
          </cell>
        </row>
        <row r="137">
          <cell r="A137">
            <v>82.5</v>
          </cell>
          <cell r="B137">
            <v>215</v>
          </cell>
          <cell r="C137" t="str">
            <v>Veber,Mikhail</v>
          </cell>
          <cell r="D137">
            <v>71</v>
          </cell>
          <cell r="E137" t="str">
            <v>RUS</v>
          </cell>
          <cell r="F137">
            <v>39162</v>
          </cell>
          <cell r="G137" t="str">
            <v>Rostov</v>
          </cell>
        </row>
        <row r="138">
          <cell r="A138">
            <v>90</v>
          </cell>
          <cell r="B138">
            <v>305</v>
          </cell>
          <cell r="C138" t="str">
            <v>Ahmadov Mustafa</v>
          </cell>
          <cell r="D138">
            <v>80</v>
          </cell>
          <cell r="E138" t="str">
            <v>AZE</v>
          </cell>
          <cell r="F138" t="str">
            <v>23.08.2014</v>
          </cell>
          <cell r="G138" t="str">
            <v>Moscow</v>
          </cell>
        </row>
        <row r="139">
          <cell r="A139">
            <v>100</v>
          </cell>
          <cell r="B139">
            <v>250</v>
          </cell>
          <cell r="C139" t="str">
            <v>Lamjav Munkhbayar</v>
          </cell>
          <cell r="D139">
            <v>76</v>
          </cell>
          <cell r="E139" t="str">
            <v>MGL</v>
          </cell>
          <cell r="F139" t="str">
            <v>23.08.2014</v>
          </cell>
          <cell r="G139" t="str">
            <v>Moscow</v>
          </cell>
        </row>
        <row r="140">
          <cell r="A140">
            <v>110</v>
          </cell>
          <cell r="B140">
            <v>287.5</v>
          </cell>
          <cell r="C140" t="str">
            <v>Hoffman,Bryan</v>
          </cell>
          <cell r="D140">
            <v>72</v>
          </cell>
          <cell r="E140" t="str">
            <v>USA</v>
          </cell>
          <cell r="F140">
            <v>40025</v>
          </cell>
          <cell r="G140" t="str">
            <v>Burr Ridge</v>
          </cell>
        </row>
        <row r="141">
          <cell r="A141">
            <v>125</v>
          </cell>
          <cell r="B141">
            <v>297.5</v>
          </cell>
          <cell r="C141" t="str">
            <v>Lewis,David</v>
          </cell>
          <cell r="D141">
            <v>72</v>
          </cell>
          <cell r="E141" t="str">
            <v>USA</v>
          </cell>
          <cell r="F141">
            <v>40025</v>
          </cell>
          <cell r="G141" t="str">
            <v>Burr Ridge</v>
          </cell>
        </row>
        <row r="142">
          <cell r="A142">
            <v>140</v>
          </cell>
          <cell r="B142">
            <v>335</v>
          </cell>
          <cell r="C142" t="str">
            <v>Harwood,Clinton</v>
          </cell>
          <cell r="D142">
            <v>73</v>
          </cell>
          <cell r="E142" t="str">
            <v>CAN</v>
          </cell>
          <cell r="F142">
            <v>39963</v>
          </cell>
          <cell r="G142" t="str">
            <v>Toronto</v>
          </cell>
        </row>
        <row r="143">
          <cell r="A143" t="str">
            <v>140+</v>
          </cell>
          <cell r="B143">
            <v>366</v>
          </cell>
          <cell r="C143" t="str">
            <v>Harwood,Clinton</v>
          </cell>
          <cell r="D143">
            <v>73</v>
          </cell>
          <cell r="E143" t="str">
            <v>CAN</v>
          </cell>
          <cell r="F143">
            <v>39578</v>
          </cell>
          <cell r="G143" t="str">
            <v>Ontario</v>
          </cell>
        </row>
        <row r="145">
          <cell r="C145" t="str">
            <v xml:space="preserve">Women's Submaster 33-39 </v>
          </cell>
        </row>
        <row r="146">
          <cell r="A146">
            <v>44</v>
          </cell>
          <cell r="B146"/>
          <cell r="C146"/>
          <cell r="D146"/>
          <cell r="E146"/>
          <cell r="F146"/>
          <cell r="G146"/>
        </row>
        <row r="147">
          <cell r="A147">
            <v>48</v>
          </cell>
          <cell r="B147">
            <v>70</v>
          </cell>
          <cell r="C147" t="str">
            <v>Kirkland, Margaret</v>
          </cell>
          <cell r="D147">
            <v>63</v>
          </cell>
          <cell r="E147" t="str">
            <v>USA</v>
          </cell>
          <cell r="F147">
            <v>1999</v>
          </cell>
          <cell r="G147"/>
        </row>
        <row r="148">
          <cell r="A148">
            <v>52</v>
          </cell>
          <cell r="B148">
            <v>80</v>
          </cell>
          <cell r="C148" t="str">
            <v>Davis</v>
          </cell>
          <cell r="D148"/>
          <cell r="E148" t="str">
            <v>USA</v>
          </cell>
          <cell r="F148">
            <v>1997</v>
          </cell>
          <cell r="G148"/>
        </row>
        <row r="149">
          <cell r="A149">
            <v>56</v>
          </cell>
          <cell r="B149">
            <v>88</v>
          </cell>
          <cell r="C149" t="str">
            <v>Grigoryeva Yelena</v>
          </cell>
          <cell r="D149">
            <v>76</v>
          </cell>
          <cell r="E149" t="str">
            <v>RUS</v>
          </cell>
          <cell r="F149" t="str">
            <v>23.08.2014</v>
          </cell>
          <cell r="G149" t="str">
            <v>Moscow</v>
          </cell>
        </row>
        <row r="150">
          <cell r="A150">
            <v>60</v>
          </cell>
          <cell r="B150">
            <v>80</v>
          </cell>
          <cell r="C150" t="str">
            <v>Zagrebina Natalya</v>
          </cell>
          <cell r="D150">
            <v>77</v>
          </cell>
          <cell r="E150" t="str">
            <v>RUS</v>
          </cell>
          <cell r="F150">
            <v>41496</v>
          </cell>
          <cell r="G150" t="str">
            <v>Kursk</v>
          </cell>
        </row>
        <row r="151">
          <cell r="A151">
            <v>67.5</v>
          </cell>
          <cell r="B151">
            <v>102.5</v>
          </cell>
          <cell r="C151" t="str">
            <v>Zagrebina Natalya</v>
          </cell>
          <cell r="D151">
            <v>77</v>
          </cell>
          <cell r="E151" t="str">
            <v>RUS</v>
          </cell>
          <cell r="F151" t="str">
            <v>23.08.2014</v>
          </cell>
          <cell r="G151" t="str">
            <v>Moscow</v>
          </cell>
        </row>
        <row r="152">
          <cell r="A152">
            <v>75</v>
          </cell>
          <cell r="B152">
            <v>105</v>
          </cell>
          <cell r="C152" t="str">
            <v>Baldwin</v>
          </cell>
          <cell r="D152"/>
          <cell r="E152" t="str">
            <v>USA</v>
          </cell>
          <cell r="F152">
            <v>2002</v>
          </cell>
          <cell r="G152"/>
        </row>
        <row r="153">
          <cell r="A153">
            <v>82.5</v>
          </cell>
          <cell r="B153">
            <v>130</v>
          </cell>
          <cell r="C153" t="str">
            <v>Bako Nataliya</v>
          </cell>
          <cell r="D153">
            <v>73</v>
          </cell>
          <cell r="E153" t="str">
            <v>RUS</v>
          </cell>
          <cell r="F153">
            <v>40025</v>
          </cell>
          <cell r="G153" t="str">
            <v>Burr Ridge</v>
          </cell>
        </row>
        <row r="154">
          <cell r="A154">
            <v>90</v>
          </cell>
          <cell r="B154">
            <v>125</v>
          </cell>
          <cell r="C154" t="str">
            <v>Johnson</v>
          </cell>
          <cell r="D154"/>
          <cell r="E154" t="str">
            <v>USA</v>
          </cell>
          <cell r="F154">
            <v>1998</v>
          </cell>
          <cell r="G154"/>
        </row>
        <row r="155">
          <cell r="A155" t="str">
            <v>90+</v>
          </cell>
          <cell r="B155">
            <v>177.5</v>
          </cell>
          <cell r="C155" t="str">
            <v>Nutter,Rachael</v>
          </cell>
          <cell r="D155">
            <v>70</v>
          </cell>
          <cell r="E155" t="str">
            <v>USA</v>
          </cell>
          <cell r="F155">
            <v>40284</v>
          </cell>
          <cell r="G155" t="str">
            <v>Detroit</v>
          </cell>
        </row>
        <row r="157">
          <cell r="C157" t="str">
            <v>Men's M40-44</v>
          </cell>
        </row>
        <row r="158">
          <cell r="A158">
            <v>52</v>
          </cell>
          <cell r="B158"/>
          <cell r="C158"/>
          <cell r="D158"/>
          <cell r="E158"/>
          <cell r="F158"/>
          <cell r="G158"/>
        </row>
        <row r="159">
          <cell r="A159">
            <v>56</v>
          </cell>
          <cell r="B159">
            <v>135</v>
          </cell>
          <cell r="C159" t="str">
            <v>Artemyev,Igor</v>
          </cell>
          <cell r="D159">
            <v>71</v>
          </cell>
          <cell r="E159" t="str">
            <v>RUS</v>
          </cell>
          <cell r="F159" t="str">
            <v>23.08.2014</v>
          </cell>
          <cell r="G159" t="str">
            <v>Moscow</v>
          </cell>
        </row>
        <row r="160">
          <cell r="A160">
            <v>60</v>
          </cell>
          <cell r="B160">
            <v>150</v>
          </cell>
          <cell r="C160" t="str">
            <v>Artemyev,Oleg</v>
          </cell>
          <cell r="D160">
            <v>71</v>
          </cell>
          <cell r="E160" t="str">
            <v>RUS</v>
          </cell>
          <cell r="F160" t="str">
            <v>23.08.2014</v>
          </cell>
          <cell r="G160" t="str">
            <v>Moscow</v>
          </cell>
        </row>
        <row r="161">
          <cell r="A161">
            <v>67.5</v>
          </cell>
          <cell r="B161">
            <v>160</v>
          </cell>
          <cell r="C161" t="str">
            <v>Yu</v>
          </cell>
          <cell r="D161"/>
          <cell r="E161" t="str">
            <v>USA</v>
          </cell>
          <cell r="F161">
            <v>2000</v>
          </cell>
          <cell r="G161"/>
        </row>
        <row r="162">
          <cell r="A162">
            <v>75</v>
          </cell>
          <cell r="B162">
            <v>210</v>
          </cell>
          <cell r="C162" t="str">
            <v>Bingham,Michael</v>
          </cell>
          <cell r="D162">
            <v>65</v>
          </cell>
          <cell r="E162" t="str">
            <v>USA</v>
          </cell>
          <cell r="F162">
            <v>40025</v>
          </cell>
          <cell r="G162" t="str">
            <v>Burr Ridge</v>
          </cell>
        </row>
        <row r="163">
          <cell r="A163">
            <v>82.5</v>
          </cell>
          <cell r="B163">
            <v>230</v>
          </cell>
          <cell r="C163" t="str">
            <v>Elkanany,Mosbeth</v>
          </cell>
          <cell r="D163">
            <v>69</v>
          </cell>
          <cell r="E163" t="str">
            <v>EGY</v>
          </cell>
          <cell r="F163">
            <v>40375</v>
          </cell>
          <cell r="G163" t="str">
            <v>West Palm Beach</v>
          </cell>
        </row>
        <row r="164">
          <cell r="A164">
            <v>90</v>
          </cell>
          <cell r="B164">
            <v>260</v>
          </cell>
          <cell r="C164" t="str">
            <v>Veber, Mikhail</v>
          </cell>
          <cell r="D164">
            <v>71</v>
          </cell>
          <cell r="E164" t="str">
            <v>RUS</v>
          </cell>
          <cell r="F164">
            <v>40769</v>
          </cell>
          <cell r="G164" t="str">
            <v>Kursk</v>
          </cell>
        </row>
        <row r="165">
          <cell r="A165">
            <v>100</v>
          </cell>
          <cell r="B165">
            <v>251</v>
          </cell>
          <cell r="C165" t="str">
            <v>Veber, Mikhail</v>
          </cell>
          <cell r="D165">
            <v>71</v>
          </cell>
          <cell r="E165" t="str">
            <v>RUS</v>
          </cell>
          <cell r="F165">
            <v>41201</v>
          </cell>
          <cell r="G165" t="str">
            <v>Krasnodar</v>
          </cell>
        </row>
        <row r="166">
          <cell r="A166">
            <v>110</v>
          </cell>
          <cell r="B166">
            <v>257.5</v>
          </cell>
          <cell r="C166" t="str">
            <v>McConaughey, Bob</v>
          </cell>
          <cell r="D166">
            <v>60</v>
          </cell>
          <cell r="E166" t="str">
            <v>USA</v>
          </cell>
          <cell r="F166">
            <v>2004</v>
          </cell>
          <cell r="G166"/>
        </row>
        <row r="167">
          <cell r="A167">
            <v>125</v>
          </cell>
          <cell r="B167">
            <v>275</v>
          </cell>
          <cell r="C167" t="str">
            <v>Hubbs, Eric</v>
          </cell>
          <cell r="D167">
            <v>63</v>
          </cell>
          <cell r="E167" t="str">
            <v>USA</v>
          </cell>
          <cell r="F167">
            <v>39661</v>
          </cell>
          <cell r="G167" t="str">
            <v>Oak Brook</v>
          </cell>
        </row>
        <row r="168">
          <cell r="A168">
            <v>140</v>
          </cell>
          <cell r="B168">
            <v>310.5</v>
          </cell>
          <cell r="C168" t="str">
            <v>O'Halloran, Shawn</v>
          </cell>
          <cell r="D168">
            <v>65</v>
          </cell>
          <cell r="E168" t="str">
            <v>CAN</v>
          </cell>
          <cell r="F168">
            <v>39207</v>
          </cell>
          <cell r="G168" t="str">
            <v>Toronto</v>
          </cell>
        </row>
        <row r="169">
          <cell r="A169" t="str">
            <v>140+</v>
          </cell>
          <cell r="B169">
            <v>300</v>
          </cell>
          <cell r="C169" t="str">
            <v>Robinson,John</v>
          </cell>
          <cell r="D169">
            <v>67</v>
          </cell>
          <cell r="E169" t="str">
            <v>USA</v>
          </cell>
          <cell r="F169">
            <v>39551</v>
          </cell>
          <cell r="G169" t="str">
            <v>Lake George</v>
          </cell>
        </row>
        <row r="171">
          <cell r="C171" t="str">
            <v xml:space="preserve">M45-49 </v>
          </cell>
        </row>
        <row r="172">
          <cell r="A172">
            <v>52</v>
          </cell>
          <cell r="B172"/>
          <cell r="C172"/>
          <cell r="D172"/>
          <cell r="E172"/>
          <cell r="F172"/>
          <cell r="G172"/>
        </row>
        <row r="173">
          <cell r="A173">
            <v>56</v>
          </cell>
          <cell r="B173"/>
          <cell r="C173"/>
          <cell r="D173"/>
          <cell r="E173"/>
          <cell r="F173"/>
          <cell r="G173"/>
        </row>
        <row r="174">
          <cell r="A174">
            <v>60</v>
          </cell>
          <cell r="B174">
            <v>112.5</v>
          </cell>
          <cell r="C174" t="str">
            <v>Kovalenko,Volodymyr</v>
          </cell>
          <cell r="D174">
            <v>65</v>
          </cell>
          <cell r="E174" t="str">
            <v>UKR</v>
          </cell>
          <cell r="F174">
            <v>41129</v>
          </cell>
          <cell r="G174" t="str">
            <v>Kryvyi Rig</v>
          </cell>
        </row>
        <row r="175">
          <cell r="A175">
            <v>67.5</v>
          </cell>
          <cell r="B175">
            <v>150</v>
          </cell>
          <cell r="C175" t="str">
            <v>Maximov,Alexander</v>
          </cell>
          <cell r="D175">
            <v>61</v>
          </cell>
          <cell r="E175" t="str">
            <v>RUS</v>
          </cell>
          <cell r="F175">
            <v>39214</v>
          </cell>
          <cell r="G175" t="str">
            <v>Pushkino</v>
          </cell>
        </row>
        <row r="176">
          <cell r="A176">
            <v>75</v>
          </cell>
          <cell r="B176">
            <v>167.5</v>
          </cell>
          <cell r="C176" t="str">
            <v>Anest,Jody</v>
          </cell>
          <cell r="D176">
            <v>63</v>
          </cell>
          <cell r="E176" t="str">
            <v>USA</v>
          </cell>
          <cell r="F176">
            <v>39908</v>
          </cell>
          <cell r="G176" t="str">
            <v>Idaho Falls</v>
          </cell>
        </row>
        <row r="177">
          <cell r="A177">
            <v>82.5</v>
          </cell>
          <cell r="B177">
            <v>192.5</v>
          </cell>
          <cell r="C177" t="str">
            <v>Fabiano, Bob</v>
          </cell>
          <cell r="D177">
            <v>57</v>
          </cell>
          <cell r="E177" t="str">
            <v>USA</v>
          </cell>
          <cell r="F177">
            <v>38920</v>
          </cell>
          <cell r="G177" t="str">
            <v>Flint</v>
          </cell>
        </row>
        <row r="178">
          <cell r="A178">
            <v>90</v>
          </cell>
          <cell r="B178">
            <v>220</v>
          </cell>
          <cell r="C178" t="str">
            <v>Petrov,Alexandr</v>
          </cell>
          <cell r="D178">
            <v>60</v>
          </cell>
          <cell r="E178" t="str">
            <v>RUS</v>
          </cell>
          <cell r="F178">
            <v>40034</v>
          </cell>
          <cell r="G178" t="str">
            <v>Kursk</v>
          </cell>
        </row>
        <row r="179">
          <cell r="A179">
            <v>100</v>
          </cell>
          <cell r="B179">
            <v>250</v>
          </cell>
          <cell r="C179" t="str">
            <v>Liciano,Sam</v>
          </cell>
          <cell r="D179"/>
          <cell r="E179" t="str">
            <v>USA</v>
          </cell>
          <cell r="F179">
            <v>39551</v>
          </cell>
          <cell r="G179" t="str">
            <v>Lake George</v>
          </cell>
        </row>
        <row r="180">
          <cell r="A180">
            <v>110</v>
          </cell>
          <cell r="B180">
            <v>287.5</v>
          </cell>
          <cell r="C180" t="str">
            <v>McConaughey, Bob</v>
          </cell>
          <cell r="D180">
            <v>60</v>
          </cell>
          <cell r="E180" t="str">
            <v>USA</v>
          </cell>
          <cell r="F180">
            <v>38564</v>
          </cell>
          <cell r="G180" t="str">
            <v>Lincolnwood</v>
          </cell>
        </row>
        <row r="181">
          <cell r="A181">
            <v>125</v>
          </cell>
          <cell r="B181">
            <v>290</v>
          </cell>
          <cell r="C181" t="str">
            <v>Hubbs, Eric</v>
          </cell>
          <cell r="D181">
            <v>65</v>
          </cell>
          <cell r="E181" t="str">
            <v>USA</v>
          </cell>
          <cell r="F181">
            <v>40790</v>
          </cell>
          <cell r="G181" t="str">
            <v>Idaho Falls</v>
          </cell>
        </row>
        <row r="182">
          <cell r="A182">
            <v>140</v>
          </cell>
          <cell r="B182">
            <v>255</v>
          </cell>
          <cell r="C182" t="str">
            <v>Foltz, Jerry</v>
          </cell>
          <cell r="D182">
            <v>65</v>
          </cell>
          <cell r="E182" t="str">
            <v>USA</v>
          </cell>
          <cell r="F182">
            <v>40790</v>
          </cell>
          <cell r="G182" t="str">
            <v>Idaho Falls</v>
          </cell>
        </row>
        <row r="183">
          <cell r="A183" t="str">
            <v>140+</v>
          </cell>
          <cell r="B183">
            <v>247.5</v>
          </cell>
          <cell r="C183" t="str">
            <v>Darley,Bruce</v>
          </cell>
          <cell r="D183">
            <v>64</v>
          </cell>
          <cell r="E183" t="str">
            <v>USA</v>
          </cell>
          <cell r="F183">
            <v>41111</v>
          </cell>
          <cell r="G183" t="str">
            <v>Detroit</v>
          </cell>
        </row>
        <row r="185">
          <cell r="C185" t="str">
            <v xml:space="preserve">M50-54 </v>
          </cell>
        </row>
        <row r="186">
          <cell r="A186">
            <v>52</v>
          </cell>
          <cell r="B186"/>
          <cell r="C186"/>
          <cell r="D186"/>
          <cell r="E186"/>
          <cell r="F186"/>
          <cell r="G186"/>
        </row>
        <row r="187">
          <cell r="A187">
            <v>56</v>
          </cell>
          <cell r="B187"/>
          <cell r="C187"/>
          <cell r="D187"/>
          <cell r="E187"/>
          <cell r="F187"/>
          <cell r="G187"/>
        </row>
        <row r="188">
          <cell r="A188">
            <v>60</v>
          </cell>
          <cell r="B188"/>
          <cell r="C188"/>
          <cell r="D188"/>
          <cell r="E188"/>
          <cell r="F188"/>
          <cell r="G188"/>
        </row>
        <row r="189">
          <cell r="A189">
            <v>67.5</v>
          </cell>
          <cell r="B189">
            <v>130</v>
          </cell>
          <cell r="C189" t="str">
            <v>Alampiev,Sergei</v>
          </cell>
          <cell r="D189">
            <v>57</v>
          </cell>
          <cell r="E189" t="str">
            <v>RUS</v>
          </cell>
          <cell r="F189">
            <v>40258</v>
          </cell>
          <cell r="G189" t="str">
            <v>Kursk</v>
          </cell>
        </row>
        <row r="190">
          <cell r="A190">
            <v>75</v>
          </cell>
          <cell r="B190">
            <v>167.5</v>
          </cell>
          <cell r="C190" t="str">
            <v>Craig, Scott</v>
          </cell>
          <cell r="D190">
            <v>46</v>
          </cell>
          <cell r="E190" t="str">
            <v>USA</v>
          </cell>
          <cell r="F190">
            <v>1999</v>
          </cell>
          <cell r="G190"/>
        </row>
        <row r="191">
          <cell r="A191">
            <v>82.5</v>
          </cell>
          <cell r="B191">
            <v>195.5</v>
          </cell>
          <cell r="C191" t="str">
            <v>Reshetnikov, Vladimir</v>
          </cell>
          <cell r="D191">
            <v>60</v>
          </cell>
          <cell r="E191" t="str">
            <v>RUS</v>
          </cell>
          <cell r="F191">
            <v>40409</v>
          </cell>
          <cell r="G191" t="str">
            <v>Moscow</v>
          </cell>
        </row>
        <row r="192">
          <cell r="A192">
            <v>90</v>
          </cell>
          <cell r="B192">
            <v>200</v>
          </cell>
          <cell r="C192" t="str">
            <v>Gadzhiev,Elman</v>
          </cell>
          <cell r="D192">
            <v>59</v>
          </cell>
          <cell r="E192" t="str">
            <v>UKR</v>
          </cell>
          <cell r="F192">
            <v>41129</v>
          </cell>
          <cell r="G192" t="str">
            <v>Kryvyi Rig</v>
          </cell>
        </row>
        <row r="193">
          <cell r="A193">
            <v>100</v>
          </cell>
          <cell r="B193">
            <v>235</v>
          </cell>
          <cell r="C193" t="str">
            <v>McIntyre,Bruce</v>
          </cell>
          <cell r="D193">
            <v>57</v>
          </cell>
          <cell r="E193" t="str">
            <v>USA</v>
          </cell>
          <cell r="F193">
            <v>40375</v>
          </cell>
          <cell r="G193" t="str">
            <v>West Palm Beach</v>
          </cell>
        </row>
        <row r="194">
          <cell r="A194">
            <v>110</v>
          </cell>
          <cell r="B194">
            <v>275</v>
          </cell>
          <cell r="C194" t="str">
            <v>McIntyre,Bruce</v>
          </cell>
          <cell r="D194">
            <v>57</v>
          </cell>
          <cell r="E194" t="str">
            <v>USA</v>
          </cell>
          <cell r="F194">
            <v>39578</v>
          </cell>
          <cell r="G194" t="str">
            <v>Ontario</v>
          </cell>
        </row>
        <row r="195">
          <cell r="A195">
            <v>125</v>
          </cell>
          <cell r="B195">
            <v>255</v>
          </cell>
          <cell r="C195" t="str">
            <v>Murphy,Dave</v>
          </cell>
          <cell r="D195">
            <v>54</v>
          </cell>
          <cell r="E195" t="str">
            <v>USA</v>
          </cell>
          <cell r="F195">
            <v>39661</v>
          </cell>
          <cell r="G195" t="str">
            <v>Oak Brook</v>
          </cell>
        </row>
        <row r="196">
          <cell r="A196">
            <v>140</v>
          </cell>
          <cell r="B196">
            <v>205</v>
          </cell>
          <cell r="C196" t="str">
            <v>Cozine,Cozy</v>
          </cell>
          <cell r="D196">
            <v>56</v>
          </cell>
          <cell r="E196" t="str">
            <v>USA</v>
          </cell>
          <cell r="F196">
            <v>39661</v>
          </cell>
          <cell r="G196" t="str">
            <v>Oak Brook</v>
          </cell>
        </row>
        <row r="197">
          <cell r="A197" t="str">
            <v>140+</v>
          </cell>
          <cell r="B197">
            <v>227.5</v>
          </cell>
          <cell r="C197" t="str">
            <v>Bivans, Karl</v>
          </cell>
          <cell r="D197"/>
          <cell r="E197" t="str">
            <v>USA</v>
          </cell>
          <cell r="F197">
            <v>2000</v>
          </cell>
          <cell r="G197"/>
        </row>
        <row r="199">
          <cell r="C199" t="str">
            <v>M55-59 Age Group</v>
          </cell>
        </row>
        <row r="200">
          <cell r="A200">
            <v>52</v>
          </cell>
          <cell r="B200"/>
          <cell r="C200"/>
          <cell r="D200"/>
          <cell r="E200"/>
          <cell r="F200"/>
          <cell r="G200"/>
        </row>
        <row r="201">
          <cell r="A201">
            <v>56</v>
          </cell>
          <cell r="B201"/>
          <cell r="C201"/>
          <cell r="D201"/>
          <cell r="E201"/>
          <cell r="F201"/>
          <cell r="G201"/>
        </row>
        <row r="202">
          <cell r="A202">
            <v>60</v>
          </cell>
          <cell r="B202"/>
          <cell r="C202"/>
          <cell r="D202"/>
          <cell r="E202"/>
          <cell r="F202"/>
          <cell r="G202"/>
        </row>
        <row r="203">
          <cell r="A203">
            <v>67.5</v>
          </cell>
          <cell r="B203">
            <v>115</v>
          </cell>
          <cell r="C203" t="str">
            <v>Noplos, Tony</v>
          </cell>
          <cell r="D203">
            <v>44</v>
          </cell>
          <cell r="E203" t="str">
            <v>USA</v>
          </cell>
          <cell r="F203">
            <v>2003</v>
          </cell>
          <cell r="G203"/>
        </row>
        <row r="204">
          <cell r="A204">
            <v>75</v>
          </cell>
          <cell r="B204">
            <v>165</v>
          </cell>
          <cell r="C204" t="str">
            <v>Cardon</v>
          </cell>
          <cell r="D204"/>
          <cell r="E204" t="str">
            <v>USA</v>
          </cell>
          <cell r="F204">
            <v>1998</v>
          </cell>
          <cell r="G204"/>
        </row>
        <row r="205">
          <cell r="A205">
            <v>82.5</v>
          </cell>
          <cell r="B205">
            <v>185</v>
          </cell>
          <cell r="C205" t="str">
            <v>Francis,Randy</v>
          </cell>
          <cell r="D205">
            <v>54</v>
          </cell>
          <cell r="E205" t="str">
            <v>USA</v>
          </cell>
          <cell r="F205">
            <v>41475</v>
          </cell>
          <cell r="G205" t="str">
            <v>Detroit,MI</v>
          </cell>
        </row>
        <row r="206">
          <cell r="A206">
            <v>90</v>
          </cell>
          <cell r="B206">
            <v>192.5</v>
          </cell>
          <cell r="C206" t="str">
            <v>Swift, Dan</v>
          </cell>
          <cell r="D206">
            <v>47</v>
          </cell>
          <cell r="E206" t="str">
            <v>USA</v>
          </cell>
          <cell r="F206">
            <v>38562</v>
          </cell>
          <cell r="G206" t="str">
            <v>Lincolnwood</v>
          </cell>
        </row>
        <row r="207">
          <cell r="A207">
            <v>100</v>
          </cell>
          <cell r="B207">
            <v>197.5</v>
          </cell>
          <cell r="C207" t="str">
            <v>Hammond,Mark</v>
          </cell>
          <cell r="D207">
            <v>52</v>
          </cell>
          <cell r="E207" t="str">
            <v>USA</v>
          </cell>
          <cell r="F207">
            <v>39661</v>
          </cell>
          <cell r="G207" t="str">
            <v>Oak Brook</v>
          </cell>
        </row>
        <row r="208">
          <cell r="A208">
            <v>110</v>
          </cell>
          <cell r="B208">
            <v>215</v>
          </cell>
          <cell r="C208" t="str">
            <v>Fitzpatrick,Edward</v>
          </cell>
          <cell r="D208">
            <v>48</v>
          </cell>
          <cell r="E208" t="str">
            <v>USA</v>
          </cell>
          <cell r="F208">
            <v>39551</v>
          </cell>
          <cell r="G208" t="str">
            <v>Lake George</v>
          </cell>
        </row>
        <row r="209">
          <cell r="A209">
            <v>125</v>
          </cell>
          <cell r="B209">
            <v>255</v>
          </cell>
          <cell r="C209" t="str">
            <v>Murphy,Dave</v>
          </cell>
          <cell r="D209">
            <v>54</v>
          </cell>
          <cell r="E209" t="str">
            <v>USA</v>
          </cell>
          <cell r="F209">
            <v>40375</v>
          </cell>
          <cell r="G209" t="str">
            <v>West Palm Beach</v>
          </cell>
        </row>
        <row r="210">
          <cell r="A210">
            <v>140</v>
          </cell>
          <cell r="B210">
            <v>202.5</v>
          </cell>
          <cell r="C210" t="str">
            <v>Nelson, Tom</v>
          </cell>
          <cell r="D210">
            <v>48</v>
          </cell>
          <cell r="E210" t="str">
            <v>USA</v>
          </cell>
          <cell r="F210">
            <v>38815</v>
          </cell>
          <cell r="G210" t="str">
            <v>Baton Rouge</v>
          </cell>
        </row>
        <row r="211">
          <cell r="A211" t="str">
            <v>140+</v>
          </cell>
          <cell r="B211">
            <v>232.5</v>
          </cell>
          <cell r="C211" t="str">
            <v>Rupright,Paul</v>
          </cell>
          <cell r="D211">
            <v>54</v>
          </cell>
          <cell r="E211" t="str">
            <v>USA</v>
          </cell>
          <cell r="F211">
            <v>41518</v>
          </cell>
          <cell r="G211" t="str">
            <v>Idaho Falls,ID</v>
          </cell>
        </row>
        <row r="213">
          <cell r="C213" t="str">
            <v xml:space="preserve">M60-64 </v>
          </cell>
        </row>
        <row r="214">
          <cell r="A214">
            <v>52</v>
          </cell>
          <cell r="B214"/>
          <cell r="C214"/>
          <cell r="D214"/>
          <cell r="E214"/>
          <cell r="F214"/>
          <cell r="G214"/>
        </row>
        <row r="215">
          <cell r="A215">
            <v>56</v>
          </cell>
          <cell r="B215"/>
          <cell r="C215"/>
          <cell r="D215"/>
          <cell r="E215"/>
          <cell r="F215"/>
          <cell r="G215"/>
        </row>
        <row r="216">
          <cell r="A216">
            <v>60</v>
          </cell>
          <cell r="B216"/>
          <cell r="C216"/>
          <cell r="D216"/>
          <cell r="E216"/>
          <cell r="F216"/>
          <cell r="G216"/>
        </row>
        <row r="217">
          <cell r="A217">
            <v>67.5</v>
          </cell>
          <cell r="B217">
            <v>120</v>
          </cell>
          <cell r="C217" t="str">
            <v>Noplos, Tony</v>
          </cell>
          <cell r="D217">
            <v>44</v>
          </cell>
          <cell r="E217" t="str">
            <v>USA</v>
          </cell>
          <cell r="F217">
            <v>2004</v>
          </cell>
          <cell r="G217"/>
        </row>
        <row r="218">
          <cell r="A218">
            <v>75</v>
          </cell>
          <cell r="B218">
            <v>137.5</v>
          </cell>
          <cell r="C218" t="str">
            <v>Lamboley, John</v>
          </cell>
          <cell r="D218">
            <v>41</v>
          </cell>
          <cell r="E218" t="str">
            <v>USA</v>
          </cell>
          <cell r="F218">
            <v>2004</v>
          </cell>
          <cell r="G218"/>
        </row>
        <row r="219">
          <cell r="A219">
            <v>82.5</v>
          </cell>
          <cell r="B219">
            <v>170</v>
          </cell>
          <cell r="C219" t="str">
            <v>Lozano, Rudy</v>
          </cell>
          <cell r="D219">
            <v>39</v>
          </cell>
          <cell r="E219" t="str">
            <v>USA</v>
          </cell>
          <cell r="F219">
            <v>2004</v>
          </cell>
          <cell r="G219"/>
        </row>
        <row r="220">
          <cell r="A220">
            <v>90</v>
          </cell>
          <cell r="B220">
            <v>197.5</v>
          </cell>
          <cell r="C220" t="str">
            <v>Switt,Dan</v>
          </cell>
          <cell r="D220">
            <v>47</v>
          </cell>
          <cell r="E220" t="str">
            <v>USA</v>
          </cell>
          <cell r="F220">
            <v>39297</v>
          </cell>
          <cell r="G220" t="str">
            <v>Rosemont</v>
          </cell>
        </row>
        <row r="221">
          <cell r="A221">
            <v>100</v>
          </cell>
          <cell r="B221">
            <v>190</v>
          </cell>
          <cell r="C221" t="str">
            <v>Saluzzi, Scott</v>
          </cell>
          <cell r="D221">
            <v>49</v>
          </cell>
          <cell r="E221" t="str">
            <v>USA</v>
          </cell>
          <cell r="F221">
            <v>40790</v>
          </cell>
          <cell r="G221" t="str">
            <v>Idaho Falls</v>
          </cell>
        </row>
        <row r="222">
          <cell r="A222">
            <v>110</v>
          </cell>
          <cell r="B222">
            <v>220</v>
          </cell>
          <cell r="C222" t="str">
            <v>Fitzpatrick,Edward</v>
          </cell>
          <cell r="D222">
            <v>48</v>
          </cell>
          <cell r="E222" t="str">
            <v>USA</v>
          </cell>
          <cell r="F222">
            <v>39661</v>
          </cell>
          <cell r="G222" t="str">
            <v>Oak Brook</v>
          </cell>
        </row>
        <row r="223">
          <cell r="A223">
            <v>125</v>
          </cell>
          <cell r="B223">
            <v>217.5</v>
          </cell>
          <cell r="C223" t="str">
            <v>Fitzpatrick,Edward</v>
          </cell>
          <cell r="D223">
            <v>48</v>
          </cell>
          <cell r="E223" t="str">
            <v>USA</v>
          </cell>
          <cell r="F223">
            <v>40375</v>
          </cell>
          <cell r="G223" t="str">
            <v>West Palm Beach</v>
          </cell>
        </row>
        <row r="224">
          <cell r="A224">
            <v>140</v>
          </cell>
          <cell r="B224">
            <v>227.5</v>
          </cell>
          <cell r="C224" t="str">
            <v>Smith, Robert O.</v>
          </cell>
          <cell r="D224">
            <v>42</v>
          </cell>
          <cell r="E224" t="str">
            <v>CAN</v>
          </cell>
          <cell r="F224">
            <v>38871</v>
          </cell>
          <cell r="G224" t="str">
            <v>Calgary</v>
          </cell>
        </row>
        <row r="225">
          <cell r="A225" t="str">
            <v>140+</v>
          </cell>
          <cell r="B225"/>
          <cell r="C225"/>
          <cell r="D225"/>
          <cell r="E225"/>
          <cell r="F225"/>
          <cell r="G225"/>
        </row>
        <row r="227">
          <cell r="C227" t="str">
            <v xml:space="preserve">M65-69 </v>
          </cell>
        </row>
        <row r="228">
          <cell r="A228">
            <v>52</v>
          </cell>
          <cell r="B228"/>
          <cell r="C228"/>
          <cell r="D228"/>
          <cell r="E228"/>
          <cell r="F228"/>
          <cell r="G228"/>
        </row>
        <row r="229">
          <cell r="A229">
            <v>56</v>
          </cell>
          <cell r="B229"/>
          <cell r="C229"/>
          <cell r="D229"/>
          <cell r="E229"/>
          <cell r="F229"/>
          <cell r="G229"/>
        </row>
        <row r="230">
          <cell r="A230">
            <v>60</v>
          </cell>
          <cell r="B230">
            <v>112.5</v>
          </cell>
          <cell r="C230" t="str">
            <v>Kawasaki, Nori</v>
          </cell>
          <cell r="D230">
            <v>28</v>
          </cell>
          <cell r="E230" t="str">
            <v>USA</v>
          </cell>
          <cell r="F230">
            <v>1998</v>
          </cell>
          <cell r="G230"/>
        </row>
        <row r="231">
          <cell r="A231">
            <v>67.5</v>
          </cell>
          <cell r="B231">
            <v>110.5</v>
          </cell>
          <cell r="C231" t="str">
            <v>Gidcumb, Richard</v>
          </cell>
          <cell r="D231">
            <v>36</v>
          </cell>
          <cell r="E231" t="str">
            <v>USA</v>
          </cell>
          <cell r="F231">
            <v>38920</v>
          </cell>
          <cell r="G231" t="str">
            <v>Flint</v>
          </cell>
        </row>
        <row r="232">
          <cell r="A232">
            <v>75</v>
          </cell>
          <cell r="B232">
            <v>145</v>
          </cell>
          <cell r="C232" t="str">
            <v>Petukhov,Yevgeny</v>
          </cell>
          <cell r="D232">
            <v>38</v>
          </cell>
          <cell r="E232" t="str">
            <v>RUS</v>
          </cell>
          <cell r="F232">
            <v>39123</v>
          </cell>
          <cell r="G232" t="str">
            <v>Chelyabinsk</v>
          </cell>
        </row>
        <row r="233">
          <cell r="A233">
            <v>82.5</v>
          </cell>
          <cell r="B233">
            <v>142.5</v>
          </cell>
          <cell r="C233" t="str">
            <v>Tseveendorj Maamchuluun</v>
          </cell>
          <cell r="D233">
            <v>46</v>
          </cell>
          <cell r="E233" t="str">
            <v>MGL</v>
          </cell>
          <cell r="F233" t="str">
            <v>23.08.2014</v>
          </cell>
          <cell r="G233" t="str">
            <v>Moscow</v>
          </cell>
        </row>
        <row r="234">
          <cell r="A234">
            <v>90</v>
          </cell>
          <cell r="B234">
            <v>167.5</v>
          </cell>
          <cell r="C234" t="str">
            <v>Hussey,Jim</v>
          </cell>
          <cell r="D234">
            <v>43</v>
          </cell>
          <cell r="E234" t="str">
            <v>USA</v>
          </cell>
          <cell r="F234">
            <v>40025</v>
          </cell>
          <cell r="G234" t="str">
            <v>Burr Ridge</v>
          </cell>
        </row>
        <row r="235">
          <cell r="A235">
            <v>100</v>
          </cell>
          <cell r="B235">
            <v>185</v>
          </cell>
          <cell r="C235" t="str">
            <v>Sposato,Louis</v>
          </cell>
          <cell r="D235">
            <v>39</v>
          </cell>
          <cell r="E235" t="str">
            <v>USA</v>
          </cell>
          <cell r="F235">
            <v>39661</v>
          </cell>
          <cell r="G235" t="str">
            <v>Oak Brook</v>
          </cell>
        </row>
        <row r="236">
          <cell r="A236">
            <v>110</v>
          </cell>
          <cell r="B236">
            <v>222.5</v>
          </cell>
          <cell r="C236" t="str">
            <v>Sandberg,Skip</v>
          </cell>
          <cell r="D236">
            <v>40</v>
          </cell>
          <cell r="E236" t="str">
            <v>USA</v>
          </cell>
          <cell r="F236">
            <v>39297</v>
          </cell>
          <cell r="G236" t="str">
            <v>Rosemont</v>
          </cell>
        </row>
        <row r="237">
          <cell r="A237">
            <v>125</v>
          </cell>
          <cell r="B237">
            <v>197.5</v>
          </cell>
          <cell r="C237" t="str">
            <v>Sandberg,Skip</v>
          </cell>
          <cell r="D237">
            <v>40</v>
          </cell>
          <cell r="E237" t="str">
            <v>USA</v>
          </cell>
          <cell r="F237">
            <v>39908</v>
          </cell>
          <cell r="G237" t="str">
            <v>Idaho Falls</v>
          </cell>
        </row>
        <row r="238">
          <cell r="A238">
            <v>140</v>
          </cell>
          <cell r="B238"/>
          <cell r="C238"/>
          <cell r="D238"/>
          <cell r="E238"/>
          <cell r="F238"/>
          <cell r="G238"/>
        </row>
        <row r="239">
          <cell r="A239" t="str">
            <v>140+</v>
          </cell>
          <cell r="B239"/>
          <cell r="C239"/>
          <cell r="D239"/>
          <cell r="E239"/>
          <cell r="F239"/>
          <cell r="G239"/>
        </row>
        <row r="241">
          <cell r="C241" t="str">
            <v xml:space="preserve">M70-74 </v>
          </cell>
        </row>
        <row r="242">
          <cell r="A242">
            <v>52</v>
          </cell>
          <cell r="B242"/>
          <cell r="C242"/>
          <cell r="D242"/>
          <cell r="E242"/>
          <cell r="F242"/>
          <cell r="G242"/>
        </row>
        <row r="243">
          <cell r="A243">
            <v>56</v>
          </cell>
          <cell r="B243"/>
          <cell r="C243"/>
          <cell r="D243"/>
          <cell r="E243"/>
          <cell r="F243"/>
          <cell r="G243"/>
        </row>
        <row r="244">
          <cell r="A244">
            <v>60</v>
          </cell>
          <cell r="B244">
            <v>105.5</v>
          </cell>
          <cell r="C244" t="str">
            <v>Kawasaki, Nori</v>
          </cell>
          <cell r="D244">
            <v>28</v>
          </cell>
          <cell r="E244" t="str">
            <v>USA</v>
          </cell>
          <cell r="F244">
            <v>1999</v>
          </cell>
          <cell r="G244"/>
        </row>
        <row r="245">
          <cell r="A245">
            <v>67.5</v>
          </cell>
          <cell r="B245">
            <v>100</v>
          </cell>
          <cell r="C245" t="str">
            <v>Kim, Miron</v>
          </cell>
          <cell r="D245">
            <v>41</v>
          </cell>
          <cell r="E245" t="str">
            <v>RUS</v>
          </cell>
          <cell r="F245">
            <v>41067</v>
          </cell>
          <cell r="G245" t="str">
            <v>Moscow</v>
          </cell>
        </row>
        <row r="246">
          <cell r="A246">
            <v>75</v>
          </cell>
          <cell r="B246">
            <v>140</v>
          </cell>
          <cell r="C246" t="str">
            <v>McDermott,Joe</v>
          </cell>
          <cell r="D246">
            <v>40</v>
          </cell>
          <cell r="E246" t="str">
            <v>USA</v>
          </cell>
          <cell r="F246">
            <v>40636</v>
          </cell>
          <cell r="G246" t="str">
            <v>West Palm Beach</v>
          </cell>
        </row>
        <row r="247">
          <cell r="A247">
            <v>82.5</v>
          </cell>
          <cell r="B247">
            <v>152.5</v>
          </cell>
          <cell r="C247" t="str">
            <v>Minietta Michael</v>
          </cell>
          <cell r="D247">
            <v>42</v>
          </cell>
          <cell r="E247" t="str">
            <v>USA</v>
          </cell>
          <cell r="F247">
            <v>41518</v>
          </cell>
          <cell r="G247" t="str">
            <v>Idaho Falls</v>
          </cell>
        </row>
        <row r="248">
          <cell r="A248">
            <v>90</v>
          </cell>
          <cell r="B248">
            <v>150</v>
          </cell>
          <cell r="C248" t="str">
            <v>Rosenfield, Burt</v>
          </cell>
          <cell r="D248">
            <v>31</v>
          </cell>
          <cell r="E248" t="str">
            <v>USA</v>
          </cell>
          <cell r="F248">
            <v>2004</v>
          </cell>
          <cell r="G248"/>
        </row>
        <row r="249">
          <cell r="A249">
            <v>100</v>
          </cell>
          <cell r="B249">
            <v>145</v>
          </cell>
          <cell r="C249" t="str">
            <v>Bassman,Bob</v>
          </cell>
          <cell r="D249">
            <v>38</v>
          </cell>
          <cell r="E249" t="str">
            <v>USA</v>
          </cell>
          <cell r="F249">
            <v>39661</v>
          </cell>
          <cell r="G249" t="str">
            <v>Oak Brook</v>
          </cell>
        </row>
        <row r="250">
          <cell r="A250">
            <v>110</v>
          </cell>
          <cell r="B250">
            <v>176</v>
          </cell>
          <cell r="C250" t="str">
            <v>Bassman,Bob</v>
          </cell>
          <cell r="D250">
            <v>38</v>
          </cell>
          <cell r="E250" t="str">
            <v>USA</v>
          </cell>
          <cell r="F250">
            <v>40025</v>
          </cell>
          <cell r="G250" t="str">
            <v>Burr Ridge</v>
          </cell>
        </row>
        <row r="251">
          <cell r="A251">
            <v>125</v>
          </cell>
          <cell r="B251">
            <v>197.5</v>
          </cell>
          <cell r="C251" t="str">
            <v>Sandberg, Larry</v>
          </cell>
          <cell r="D251">
            <v>40</v>
          </cell>
          <cell r="E251" t="str">
            <v>USA</v>
          </cell>
          <cell r="F251">
            <v>40790</v>
          </cell>
          <cell r="G251" t="str">
            <v>Idaho Falls</v>
          </cell>
        </row>
        <row r="252">
          <cell r="A252">
            <v>140</v>
          </cell>
          <cell r="B252"/>
          <cell r="C252"/>
          <cell r="D252"/>
          <cell r="E252"/>
          <cell r="F252"/>
          <cell r="G252"/>
        </row>
        <row r="253">
          <cell r="A253" t="str">
            <v>140+</v>
          </cell>
          <cell r="B253"/>
          <cell r="C253"/>
          <cell r="D253"/>
          <cell r="E253"/>
          <cell r="F253"/>
          <cell r="G253"/>
        </row>
        <row r="255">
          <cell r="C255" t="str">
            <v xml:space="preserve">M75-79 </v>
          </cell>
        </row>
        <row r="256">
          <cell r="A256">
            <v>52</v>
          </cell>
          <cell r="B256"/>
          <cell r="C256"/>
          <cell r="D256"/>
          <cell r="E256"/>
          <cell r="F256"/>
          <cell r="G256"/>
        </row>
        <row r="257">
          <cell r="A257">
            <v>56</v>
          </cell>
          <cell r="B257"/>
          <cell r="C257"/>
          <cell r="D257"/>
          <cell r="E257"/>
          <cell r="F257"/>
          <cell r="G257"/>
        </row>
        <row r="258">
          <cell r="A258">
            <v>60</v>
          </cell>
          <cell r="B258">
            <v>102.5</v>
          </cell>
          <cell r="C258" t="str">
            <v>Kawasaki, Nori</v>
          </cell>
          <cell r="D258">
            <v>28</v>
          </cell>
          <cell r="E258" t="str">
            <v>USA</v>
          </cell>
          <cell r="F258">
            <v>2004</v>
          </cell>
          <cell r="G258"/>
        </row>
        <row r="259">
          <cell r="A259">
            <v>67.5</v>
          </cell>
          <cell r="B259">
            <v>80</v>
          </cell>
          <cell r="C259" t="str">
            <v>Plagov,Iosif</v>
          </cell>
          <cell r="D259">
            <v>35</v>
          </cell>
          <cell r="E259" t="str">
            <v>USA</v>
          </cell>
          <cell r="F259">
            <v>40375</v>
          </cell>
          <cell r="G259" t="str">
            <v>West Palm Beach</v>
          </cell>
        </row>
        <row r="260">
          <cell r="A260">
            <v>75</v>
          </cell>
          <cell r="B260">
            <v>112.5</v>
          </cell>
          <cell r="C260" t="str">
            <v>Rubin Grigori</v>
          </cell>
          <cell r="D260">
            <v>36</v>
          </cell>
          <cell r="E260" t="str">
            <v>ISR</v>
          </cell>
          <cell r="F260" t="str">
            <v>23.08.2014</v>
          </cell>
          <cell r="G260" t="str">
            <v>Moscow</v>
          </cell>
        </row>
        <row r="261">
          <cell r="A261">
            <v>82.5</v>
          </cell>
          <cell r="B261">
            <v>100</v>
          </cell>
          <cell r="C261" t="str">
            <v>McCulloch, Eugene</v>
          </cell>
          <cell r="D261">
            <v>30</v>
          </cell>
          <cell r="E261" t="str">
            <v>USA</v>
          </cell>
          <cell r="F261">
            <v>38562</v>
          </cell>
          <cell r="G261" t="str">
            <v>Lincolnwood</v>
          </cell>
        </row>
        <row r="262">
          <cell r="A262">
            <v>90</v>
          </cell>
          <cell r="B262">
            <v>142.5</v>
          </cell>
          <cell r="C262" t="str">
            <v>Remley, William</v>
          </cell>
          <cell r="D262">
            <v>30</v>
          </cell>
          <cell r="E262" t="str">
            <v>USA</v>
          </cell>
          <cell r="F262">
            <v>38801</v>
          </cell>
          <cell r="G262" t="str">
            <v>Lakeland</v>
          </cell>
        </row>
        <row r="263">
          <cell r="A263">
            <v>100</v>
          </cell>
          <cell r="B263"/>
          <cell r="C263"/>
          <cell r="D263"/>
          <cell r="E263"/>
          <cell r="F263"/>
          <cell r="G263"/>
        </row>
        <row r="264">
          <cell r="A264">
            <v>110</v>
          </cell>
          <cell r="B264"/>
          <cell r="C264"/>
          <cell r="D264"/>
          <cell r="E264"/>
          <cell r="F264"/>
          <cell r="G264"/>
        </row>
        <row r="265">
          <cell r="A265">
            <v>125</v>
          </cell>
          <cell r="B265"/>
          <cell r="C265"/>
          <cell r="D265"/>
          <cell r="E265"/>
          <cell r="F265"/>
          <cell r="G265"/>
        </row>
        <row r="266">
          <cell r="A266">
            <v>140</v>
          </cell>
          <cell r="B266"/>
          <cell r="C266"/>
          <cell r="D266"/>
          <cell r="E266"/>
          <cell r="F266"/>
          <cell r="G266"/>
        </row>
        <row r="267">
          <cell r="A267" t="str">
            <v>140+</v>
          </cell>
          <cell r="B267"/>
          <cell r="C267"/>
          <cell r="D267"/>
          <cell r="E267"/>
          <cell r="F267"/>
          <cell r="G267"/>
        </row>
        <row r="269">
          <cell r="C269" t="str">
            <v>M80-84</v>
          </cell>
        </row>
        <row r="270">
          <cell r="A270">
            <v>52</v>
          </cell>
          <cell r="B270"/>
          <cell r="C270"/>
          <cell r="D270"/>
          <cell r="E270"/>
          <cell r="F270"/>
          <cell r="G270"/>
        </row>
        <row r="271">
          <cell r="A271">
            <v>56</v>
          </cell>
          <cell r="B271"/>
          <cell r="C271"/>
          <cell r="D271"/>
          <cell r="E271"/>
          <cell r="F271"/>
          <cell r="G271"/>
        </row>
        <row r="272">
          <cell r="A272">
            <v>60</v>
          </cell>
          <cell r="B272"/>
          <cell r="C272"/>
          <cell r="D272"/>
          <cell r="E272"/>
          <cell r="F272"/>
          <cell r="G272"/>
        </row>
        <row r="273">
          <cell r="A273">
            <v>67.5</v>
          </cell>
          <cell r="B273">
            <v>75</v>
          </cell>
          <cell r="C273" t="str">
            <v>Heizelman</v>
          </cell>
          <cell r="D273"/>
          <cell r="E273" t="str">
            <v>USA</v>
          </cell>
          <cell r="F273">
            <v>2001</v>
          </cell>
          <cell r="G273"/>
        </row>
        <row r="274">
          <cell r="A274">
            <v>75</v>
          </cell>
          <cell r="B274"/>
          <cell r="C274"/>
          <cell r="D274"/>
          <cell r="E274"/>
          <cell r="F274"/>
          <cell r="G274"/>
        </row>
        <row r="275">
          <cell r="A275">
            <v>82.5</v>
          </cell>
          <cell r="B275">
            <v>85</v>
          </cell>
          <cell r="C275" t="str">
            <v>Virta,Art</v>
          </cell>
          <cell r="D275">
            <v>22</v>
          </cell>
          <cell r="E275" t="str">
            <v>USA</v>
          </cell>
          <cell r="F275">
            <v>39661</v>
          </cell>
          <cell r="G275" t="str">
            <v>Oak Brook</v>
          </cell>
        </row>
        <row r="276">
          <cell r="A276">
            <v>90</v>
          </cell>
          <cell r="B276"/>
          <cell r="C276"/>
          <cell r="D276"/>
          <cell r="E276"/>
          <cell r="F276"/>
          <cell r="G276"/>
        </row>
        <row r="277">
          <cell r="A277">
            <v>100</v>
          </cell>
          <cell r="B277"/>
          <cell r="C277"/>
          <cell r="D277"/>
          <cell r="E277"/>
          <cell r="F277"/>
          <cell r="G277"/>
        </row>
        <row r="278">
          <cell r="A278">
            <v>110</v>
          </cell>
          <cell r="B278"/>
          <cell r="C278"/>
          <cell r="D278"/>
          <cell r="E278"/>
          <cell r="F278"/>
          <cell r="G278"/>
        </row>
        <row r="279">
          <cell r="A279">
            <v>125</v>
          </cell>
          <cell r="B279"/>
          <cell r="C279"/>
          <cell r="D279"/>
          <cell r="E279"/>
          <cell r="F279"/>
          <cell r="G279"/>
        </row>
        <row r="280">
          <cell r="A280">
            <v>140</v>
          </cell>
          <cell r="B280"/>
          <cell r="C280"/>
          <cell r="D280"/>
          <cell r="E280"/>
          <cell r="F280"/>
          <cell r="G280"/>
        </row>
        <row r="281">
          <cell r="A281" t="str">
            <v>140+</v>
          </cell>
          <cell r="B281"/>
          <cell r="C281"/>
          <cell r="D281"/>
          <cell r="E281"/>
          <cell r="F281"/>
          <cell r="G281"/>
        </row>
        <row r="283">
          <cell r="C283" t="str">
            <v>Women's Master 40-44</v>
          </cell>
        </row>
        <row r="284">
          <cell r="A284">
            <v>44</v>
          </cell>
          <cell r="B284">
            <v>77.5</v>
          </cell>
          <cell r="C284" t="str">
            <v xml:space="preserve"> Hickman, Dawn</v>
          </cell>
          <cell r="D284">
            <v>68</v>
          </cell>
          <cell r="E284" t="str">
            <v xml:space="preserve"> USA</v>
          </cell>
          <cell r="F284">
            <v>40789</v>
          </cell>
          <cell r="G284" t="str">
            <v xml:space="preserve"> Idaho Falls</v>
          </cell>
        </row>
        <row r="285">
          <cell r="A285">
            <v>48</v>
          </cell>
          <cell r="B285">
            <v>60</v>
          </cell>
          <cell r="C285" t="str">
            <v>Krochmal, Carol</v>
          </cell>
          <cell r="D285">
            <v>58</v>
          </cell>
          <cell r="E285" t="str">
            <v>USA</v>
          </cell>
          <cell r="F285">
            <v>1999</v>
          </cell>
          <cell r="G285"/>
        </row>
        <row r="286">
          <cell r="A286">
            <v>52</v>
          </cell>
          <cell r="B286">
            <v>77.5</v>
          </cell>
          <cell r="C286" t="str">
            <v>Kirkland, Margaret</v>
          </cell>
          <cell r="D286">
            <v>63</v>
          </cell>
          <cell r="E286" t="str">
            <v>USA</v>
          </cell>
          <cell r="F286">
            <v>2004</v>
          </cell>
          <cell r="G286"/>
        </row>
        <row r="287">
          <cell r="A287">
            <v>56</v>
          </cell>
          <cell r="B287">
            <v>75</v>
          </cell>
          <cell r="C287" t="str">
            <v>Quinell</v>
          </cell>
          <cell r="D287"/>
          <cell r="E287" t="str">
            <v>AUS</v>
          </cell>
          <cell r="F287">
            <v>2000</v>
          </cell>
          <cell r="G287"/>
        </row>
        <row r="288">
          <cell r="A288">
            <v>60</v>
          </cell>
          <cell r="B288">
            <v>72.5</v>
          </cell>
          <cell r="C288" t="str">
            <v>Pierson,Nelda</v>
          </cell>
          <cell r="D288">
            <v>56</v>
          </cell>
          <cell r="E288" t="str">
            <v>USA</v>
          </cell>
          <cell r="F288">
            <v>1998</v>
          </cell>
          <cell r="G288"/>
        </row>
        <row r="289">
          <cell r="A289">
            <v>67.5</v>
          </cell>
          <cell r="B289">
            <v>70</v>
          </cell>
          <cell r="C289" t="str">
            <v>Taber, Joani</v>
          </cell>
          <cell r="D289">
            <v>66</v>
          </cell>
          <cell r="E289" t="str">
            <v>USA</v>
          </cell>
          <cell r="F289">
            <v>39661</v>
          </cell>
          <cell r="G289" t="str">
            <v>Oak Brook</v>
          </cell>
        </row>
        <row r="290">
          <cell r="A290">
            <v>75</v>
          </cell>
          <cell r="B290">
            <v>90</v>
          </cell>
          <cell r="C290" t="str">
            <v>Sinacheva,Svetlana</v>
          </cell>
          <cell r="D290">
            <v>66</v>
          </cell>
          <cell r="E290" t="str">
            <v>RUS</v>
          </cell>
          <cell r="F290">
            <v>40025</v>
          </cell>
          <cell r="G290" t="str">
            <v>Burr Ridge</v>
          </cell>
        </row>
        <row r="291">
          <cell r="A291">
            <v>82.5</v>
          </cell>
          <cell r="B291">
            <v>90</v>
          </cell>
          <cell r="C291" t="str">
            <v>Belsito, Linda</v>
          </cell>
          <cell r="D291">
            <v>57</v>
          </cell>
          <cell r="E291" t="str">
            <v>USA</v>
          </cell>
          <cell r="F291">
            <v>1998</v>
          </cell>
          <cell r="G291"/>
        </row>
        <row r="292">
          <cell r="A292">
            <v>90</v>
          </cell>
          <cell r="B292">
            <v>117.5</v>
          </cell>
          <cell r="C292" t="str">
            <v>Berry,Michonne</v>
          </cell>
          <cell r="D292">
            <v>68</v>
          </cell>
          <cell r="E292" t="str">
            <v>USA</v>
          </cell>
          <cell r="F292">
            <v>40025</v>
          </cell>
          <cell r="G292" t="str">
            <v>Burr Ridge</v>
          </cell>
        </row>
        <row r="293">
          <cell r="A293" t="str">
            <v>90+</v>
          </cell>
          <cell r="B293">
            <v>190</v>
          </cell>
          <cell r="C293" t="str">
            <v xml:space="preserve"> Nutter, Rachel</v>
          </cell>
          <cell r="D293">
            <v>70</v>
          </cell>
          <cell r="E293" t="str">
            <v xml:space="preserve"> USA</v>
          </cell>
          <cell r="F293">
            <v>40789</v>
          </cell>
          <cell r="G293" t="str">
            <v xml:space="preserve"> Idaho Falls</v>
          </cell>
        </row>
        <row r="295">
          <cell r="C295" t="str">
            <v xml:space="preserve">M45-49 </v>
          </cell>
        </row>
        <row r="296">
          <cell r="A296">
            <v>44</v>
          </cell>
          <cell r="B296">
            <v>55</v>
          </cell>
          <cell r="C296" t="str">
            <v>Krochmal, Carol</v>
          </cell>
          <cell r="D296">
            <v>58</v>
          </cell>
          <cell r="E296" t="str">
            <v>USA</v>
          </cell>
          <cell r="F296">
            <v>39297</v>
          </cell>
          <cell r="G296" t="str">
            <v>Rosemont</v>
          </cell>
        </row>
        <row r="297">
          <cell r="A297">
            <v>48</v>
          </cell>
          <cell r="B297">
            <v>70</v>
          </cell>
          <cell r="C297" t="str">
            <v>Krochmal, Carol</v>
          </cell>
          <cell r="D297">
            <v>58</v>
          </cell>
          <cell r="E297" t="str">
            <v>USA</v>
          </cell>
          <cell r="F297">
            <v>2004</v>
          </cell>
          <cell r="G297"/>
        </row>
        <row r="298">
          <cell r="A298">
            <v>52</v>
          </cell>
          <cell r="B298">
            <v>62.5</v>
          </cell>
          <cell r="C298" t="str">
            <v>Spaletto, Chris</v>
          </cell>
          <cell r="D298"/>
          <cell r="E298" t="str">
            <v>USA</v>
          </cell>
          <cell r="F298">
            <v>2003</v>
          </cell>
          <cell r="G298"/>
        </row>
        <row r="299">
          <cell r="A299">
            <v>56</v>
          </cell>
          <cell r="B299">
            <v>95</v>
          </cell>
          <cell r="C299" t="str">
            <v>Russillo, Rhonda</v>
          </cell>
          <cell r="D299"/>
          <cell r="E299" t="str">
            <v>USA</v>
          </cell>
          <cell r="F299">
            <v>2003</v>
          </cell>
          <cell r="G299"/>
        </row>
        <row r="300">
          <cell r="A300">
            <v>60</v>
          </cell>
          <cell r="B300">
            <v>62.5</v>
          </cell>
          <cell r="C300" t="str">
            <v>Simbro, Jill</v>
          </cell>
          <cell r="D300"/>
          <cell r="E300" t="str">
            <v>USA</v>
          </cell>
          <cell r="F300">
            <v>2004</v>
          </cell>
          <cell r="G300"/>
        </row>
        <row r="301">
          <cell r="A301">
            <v>67.5</v>
          </cell>
          <cell r="B301">
            <v>87.5</v>
          </cell>
          <cell r="C301" t="str">
            <v>Jackson</v>
          </cell>
          <cell r="D301"/>
          <cell r="E301" t="str">
            <v>USA</v>
          </cell>
          <cell r="F301">
            <v>1999</v>
          </cell>
          <cell r="G301"/>
        </row>
        <row r="302">
          <cell r="A302">
            <v>75</v>
          </cell>
          <cell r="B302">
            <v>82.5</v>
          </cell>
          <cell r="C302" t="str">
            <v>Taber,Joani</v>
          </cell>
          <cell r="D302">
            <v>66</v>
          </cell>
          <cell r="E302" t="str">
            <v>USA</v>
          </cell>
          <cell r="F302">
            <v>41012</v>
          </cell>
          <cell r="G302" t="str">
            <v>Burr Ridge</v>
          </cell>
        </row>
        <row r="303">
          <cell r="A303">
            <v>82.5</v>
          </cell>
          <cell r="B303">
            <v>80</v>
          </cell>
          <cell r="C303" t="str">
            <v>Razor, Amy</v>
          </cell>
          <cell r="D303">
            <v>56</v>
          </cell>
          <cell r="E303" t="str">
            <v>USA</v>
          </cell>
          <cell r="F303">
            <v>2004</v>
          </cell>
          <cell r="G303"/>
        </row>
        <row r="304">
          <cell r="A304">
            <v>90</v>
          </cell>
          <cell r="B304">
            <v>75</v>
          </cell>
          <cell r="C304" t="str">
            <v>Cadavona, Wilma</v>
          </cell>
          <cell r="D304">
            <v>52</v>
          </cell>
          <cell r="E304" t="str">
            <v>USA</v>
          </cell>
          <cell r="F304">
            <v>2000</v>
          </cell>
          <cell r="G304" t="str">
            <v>Las Vegas</v>
          </cell>
        </row>
        <row r="305">
          <cell r="A305" t="str">
            <v>90+</v>
          </cell>
          <cell r="B305">
            <v>130</v>
          </cell>
          <cell r="C305" t="str">
            <v>Thoms, Sidney</v>
          </cell>
          <cell r="D305">
            <v>53</v>
          </cell>
          <cell r="E305" t="str">
            <v>USA</v>
          </cell>
          <cell r="F305">
            <v>1999</v>
          </cell>
          <cell r="G305"/>
        </row>
        <row r="307">
          <cell r="C307" t="str">
            <v xml:space="preserve">M50-54 </v>
          </cell>
        </row>
        <row r="308">
          <cell r="A308">
            <v>44</v>
          </cell>
          <cell r="B308">
            <v>35</v>
          </cell>
          <cell r="C308" t="str">
            <v>Range</v>
          </cell>
          <cell r="D308">
            <v>46</v>
          </cell>
          <cell r="E308" t="str">
            <v>USA</v>
          </cell>
          <cell r="F308">
            <v>1998</v>
          </cell>
          <cell r="G308"/>
        </row>
        <row r="309">
          <cell r="A309">
            <v>48</v>
          </cell>
          <cell r="B309">
            <v>55</v>
          </cell>
          <cell r="C309" t="str">
            <v>Brigham, Chris</v>
          </cell>
          <cell r="D309">
            <v>48</v>
          </cell>
          <cell r="E309" t="str">
            <v>USA</v>
          </cell>
          <cell r="F309">
            <v>2000</v>
          </cell>
          <cell r="G309"/>
        </row>
        <row r="310">
          <cell r="A310">
            <v>52</v>
          </cell>
          <cell r="B310">
            <v>62.5</v>
          </cell>
          <cell r="C310" t="str">
            <v>Telegina,Tatyana</v>
          </cell>
          <cell r="D310">
            <v>61</v>
          </cell>
          <cell r="E310" t="str">
            <v>RUS</v>
          </cell>
          <cell r="F310">
            <v>41137</v>
          </cell>
          <cell r="G310" t="str">
            <v>Novosibirsk</v>
          </cell>
        </row>
        <row r="311">
          <cell r="A311">
            <v>56</v>
          </cell>
          <cell r="B311"/>
          <cell r="C311"/>
          <cell r="D311"/>
          <cell r="E311"/>
          <cell r="F311"/>
          <cell r="G311"/>
        </row>
        <row r="312">
          <cell r="A312">
            <v>60</v>
          </cell>
          <cell r="B312">
            <v>70</v>
          </cell>
          <cell r="C312" t="str">
            <v>Mies, Susan</v>
          </cell>
          <cell r="D312"/>
          <cell r="E312" t="str">
            <v>USA</v>
          </cell>
          <cell r="F312">
            <v>38562</v>
          </cell>
          <cell r="G312" t="str">
            <v>Lincolnwood</v>
          </cell>
        </row>
        <row r="313">
          <cell r="A313">
            <v>67.5</v>
          </cell>
          <cell r="B313"/>
          <cell r="C313"/>
          <cell r="D313"/>
          <cell r="E313"/>
          <cell r="F313"/>
          <cell r="G313"/>
        </row>
        <row r="314">
          <cell r="A314">
            <v>75</v>
          </cell>
          <cell r="B314"/>
          <cell r="C314"/>
          <cell r="D314"/>
          <cell r="E314"/>
          <cell r="F314"/>
          <cell r="G314"/>
        </row>
        <row r="315">
          <cell r="A315">
            <v>82.5</v>
          </cell>
          <cell r="B315">
            <v>65</v>
          </cell>
          <cell r="C315" t="str">
            <v>Polansky, Karen</v>
          </cell>
          <cell r="D315">
            <v>47</v>
          </cell>
          <cell r="E315" t="str">
            <v>USA</v>
          </cell>
          <cell r="F315">
            <v>2001</v>
          </cell>
          <cell r="G315"/>
        </row>
        <row r="316">
          <cell r="A316">
            <v>90</v>
          </cell>
          <cell r="B316">
            <v>75</v>
          </cell>
          <cell r="C316" t="str">
            <v>Glitt, Joellen</v>
          </cell>
          <cell r="D316">
            <v>48</v>
          </cell>
          <cell r="E316" t="str">
            <v>USA</v>
          </cell>
          <cell r="F316">
            <v>1999</v>
          </cell>
          <cell r="G316"/>
        </row>
        <row r="317">
          <cell r="A317" t="str">
            <v>90+</v>
          </cell>
          <cell r="B317">
            <v>172.5</v>
          </cell>
          <cell r="C317" t="str">
            <v>Thoms, Sidney</v>
          </cell>
          <cell r="D317">
            <v>53</v>
          </cell>
          <cell r="E317" t="str">
            <v>USA</v>
          </cell>
          <cell r="F317">
            <v>39661</v>
          </cell>
          <cell r="G317" t="str">
            <v>Oak Brook</v>
          </cell>
        </row>
        <row r="319">
          <cell r="C319" t="str">
            <v xml:space="preserve">M55-59 </v>
          </cell>
        </row>
        <row r="320">
          <cell r="A320">
            <v>44</v>
          </cell>
          <cell r="B320"/>
          <cell r="C320"/>
          <cell r="D320"/>
          <cell r="E320"/>
          <cell r="F320"/>
          <cell r="G320"/>
        </row>
        <row r="321">
          <cell r="A321">
            <v>48</v>
          </cell>
          <cell r="B321"/>
          <cell r="C321"/>
          <cell r="D321"/>
          <cell r="E321"/>
          <cell r="F321"/>
          <cell r="G321"/>
        </row>
        <row r="322">
          <cell r="A322">
            <v>52</v>
          </cell>
          <cell r="B322">
            <v>72.5</v>
          </cell>
          <cell r="C322" t="str">
            <v>Brigham, Chris</v>
          </cell>
          <cell r="D322">
            <v>48</v>
          </cell>
          <cell r="E322" t="str">
            <v>USA</v>
          </cell>
          <cell r="F322">
            <v>38451</v>
          </cell>
          <cell r="G322"/>
        </row>
        <row r="323">
          <cell r="A323">
            <v>56</v>
          </cell>
          <cell r="B323">
            <v>42.5</v>
          </cell>
          <cell r="C323" t="str">
            <v>McCallion, Susan</v>
          </cell>
          <cell r="D323">
            <v>48</v>
          </cell>
          <cell r="E323" t="str">
            <v>USA</v>
          </cell>
          <cell r="F323">
            <v>38920</v>
          </cell>
          <cell r="G323" t="str">
            <v>Flint</v>
          </cell>
        </row>
        <row r="324">
          <cell r="A324">
            <v>60</v>
          </cell>
          <cell r="B324"/>
          <cell r="C324"/>
          <cell r="D324"/>
          <cell r="E324"/>
          <cell r="F324"/>
          <cell r="G324"/>
        </row>
        <row r="325">
          <cell r="A325">
            <v>67.5</v>
          </cell>
          <cell r="B325">
            <v>75</v>
          </cell>
          <cell r="C325" t="str">
            <v>Shabanova,Nadezhda</v>
          </cell>
          <cell r="D325">
            <v>52</v>
          </cell>
          <cell r="E325" t="str">
            <v>RUS</v>
          </cell>
          <cell r="F325">
            <v>40375</v>
          </cell>
          <cell r="G325" t="str">
            <v>West Palm Beach</v>
          </cell>
        </row>
        <row r="326">
          <cell r="A326">
            <v>75</v>
          </cell>
          <cell r="B326"/>
          <cell r="C326"/>
          <cell r="D326"/>
          <cell r="E326"/>
          <cell r="F326"/>
          <cell r="G326"/>
        </row>
        <row r="327">
          <cell r="A327">
            <v>82.5</v>
          </cell>
          <cell r="B327"/>
          <cell r="C327"/>
          <cell r="D327"/>
          <cell r="E327"/>
          <cell r="F327"/>
          <cell r="G327"/>
        </row>
        <row r="328">
          <cell r="A328">
            <v>90</v>
          </cell>
          <cell r="B328"/>
          <cell r="C328"/>
          <cell r="D328"/>
          <cell r="E328"/>
          <cell r="F328"/>
          <cell r="G328"/>
        </row>
        <row r="329">
          <cell r="A329" t="str">
            <v>90+</v>
          </cell>
          <cell r="B329">
            <v>67.5</v>
          </cell>
          <cell r="C329" t="str">
            <v>Clonce</v>
          </cell>
          <cell r="D329"/>
          <cell r="E329" t="str">
            <v>USA</v>
          </cell>
          <cell r="F329"/>
          <cell r="G329"/>
        </row>
        <row r="331">
          <cell r="C331" t="str">
            <v xml:space="preserve">M60-64 </v>
          </cell>
        </row>
        <row r="332">
          <cell r="A332">
            <v>44</v>
          </cell>
          <cell r="B332"/>
          <cell r="C332"/>
          <cell r="D332"/>
          <cell r="E332"/>
          <cell r="F332"/>
          <cell r="G332"/>
        </row>
        <row r="333">
          <cell r="A333">
            <v>48</v>
          </cell>
          <cell r="B333"/>
          <cell r="C333"/>
          <cell r="D333"/>
          <cell r="E333"/>
          <cell r="F333"/>
          <cell r="G333"/>
        </row>
        <row r="334">
          <cell r="A334">
            <v>52</v>
          </cell>
          <cell r="B334"/>
          <cell r="C334"/>
          <cell r="D334"/>
          <cell r="E334"/>
          <cell r="F334"/>
          <cell r="G334"/>
        </row>
        <row r="335">
          <cell r="A335">
            <v>56</v>
          </cell>
          <cell r="B335"/>
          <cell r="C335"/>
          <cell r="D335"/>
          <cell r="E335"/>
          <cell r="F335"/>
          <cell r="G335"/>
        </row>
        <row r="336">
          <cell r="A336">
            <v>60</v>
          </cell>
          <cell r="B336"/>
          <cell r="C336"/>
          <cell r="D336"/>
          <cell r="E336"/>
          <cell r="F336"/>
          <cell r="G336"/>
        </row>
        <row r="337">
          <cell r="A337">
            <v>67.5</v>
          </cell>
          <cell r="B337">
            <v>65</v>
          </cell>
          <cell r="C337" t="str">
            <v>Keresey, Evangeline</v>
          </cell>
          <cell r="D337">
            <v>40</v>
          </cell>
          <cell r="E337" t="str">
            <v>USA</v>
          </cell>
          <cell r="F337">
            <v>2004</v>
          </cell>
          <cell r="G337"/>
        </row>
        <row r="338">
          <cell r="A338">
            <v>75</v>
          </cell>
          <cell r="B338"/>
          <cell r="C338"/>
          <cell r="D338"/>
          <cell r="E338"/>
          <cell r="F338"/>
          <cell r="G338"/>
        </row>
        <row r="339">
          <cell r="A339">
            <v>82.5</v>
          </cell>
          <cell r="B339"/>
          <cell r="C339"/>
          <cell r="D339"/>
          <cell r="E339"/>
          <cell r="F339"/>
          <cell r="G339"/>
        </row>
        <row r="340">
          <cell r="A340">
            <v>90</v>
          </cell>
          <cell r="B340"/>
          <cell r="C340"/>
          <cell r="D340"/>
          <cell r="E340"/>
          <cell r="F340"/>
          <cell r="G340"/>
        </row>
        <row r="341">
          <cell r="A341" t="str">
            <v>90+</v>
          </cell>
          <cell r="B341"/>
          <cell r="C341"/>
          <cell r="D341"/>
          <cell r="E341"/>
          <cell r="F341"/>
          <cell r="G341"/>
        </row>
        <row r="343">
          <cell r="C343" t="str">
            <v>65-69 Age Group</v>
          </cell>
        </row>
        <row r="344">
          <cell r="A344">
            <v>44</v>
          </cell>
          <cell r="B344"/>
          <cell r="C344"/>
          <cell r="D344"/>
          <cell r="E344"/>
          <cell r="F344"/>
          <cell r="G344"/>
        </row>
        <row r="345">
          <cell r="A345">
            <v>48</v>
          </cell>
          <cell r="B345"/>
          <cell r="C345"/>
          <cell r="D345"/>
          <cell r="E345"/>
          <cell r="F345"/>
          <cell r="G345"/>
        </row>
        <row r="346">
          <cell r="A346">
            <v>52</v>
          </cell>
          <cell r="B346"/>
          <cell r="C346"/>
          <cell r="D346"/>
          <cell r="E346"/>
          <cell r="F346"/>
          <cell r="G346"/>
        </row>
        <row r="347">
          <cell r="A347">
            <v>56</v>
          </cell>
          <cell r="B347"/>
          <cell r="C347"/>
          <cell r="D347"/>
          <cell r="E347"/>
          <cell r="F347"/>
          <cell r="G347"/>
        </row>
        <row r="348">
          <cell r="A348">
            <v>60</v>
          </cell>
          <cell r="B348">
            <v>48.5</v>
          </cell>
          <cell r="C348" t="str">
            <v>Hermine</v>
          </cell>
          <cell r="D348"/>
          <cell r="E348" t="str">
            <v>AUT</v>
          </cell>
          <cell r="F348">
            <v>2001</v>
          </cell>
          <cell r="G348"/>
        </row>
        <row r="349">
          <cell r="A349">
            <v>67.5</v>
          </cell>
          <cell r="B349"/>
          <cell r="C349"/>
          <cell r="D349"/>
          <cell r="E349"/>
          <cell r="F349"/>
          <cell r="G349"/>
        </row>
        <row r="350">
          <cell r="A350">
            <v>75</v>
          </cell>
          <cell r="B350"/>
          <cell r="C350"/>
          <cell r="D350"/>
          <cell r="E350"/>
          <cell r="F350"/>
          <cell r="G350"/>
        </row>
        <row r="351">
          <cell r="A351">
            <v>82.5</v>
          </cell>
          <cell r="B351">
            <v>72.5</v>
          </cell>
          <cell r="C351" t="str">
            <v>Langdon,Nora</v>
          </cell>
          <cell r="D351">
            <v>42</v>
          </cell>
          <cell r="E351" t="str">
            <v>USA</v>
          </cell>
          <cell r="F351">
            <v>39907</v>
          </cell>
          <cell r="G351" t="str">
            <v>Idaho Falls</v>
          </cell>
        </row>
        <row r="352">
          <cell r="A352">
            <v>90</v>
          </cell>
          <cell r="B352">
            <v>77.5</v>
          </cell>
          <cell r="C352" t="str">
            <v>Langdon,Nora</v>
          </cell>
          <cell r="D352">
            <v>42</v>
          </cell>
          <cell r="E352" t="str">
            <v>USA</v>
          </cell>
          <cell r="F352">
            <v>40025</v>
          </cell>
          <cell r="G352" t="str">
            <v>Burr Ridge</v>
          </cell>
        </row>
        <row r="353">
          <cell r="A353" t="str">
            <v>90+</v>
          </cell>
          <cell r="B353"/>
          <cell r="C353"/>
          <cell r="D353"/>
          <cell r="E353"/>
          <cell r="F353"/>
          <cell r="G353"/>
        </row>
        <row r="355">
          <cell r="C355" t="str">
            <v>70-74 Age Group</v>
          </cell>
        </row>
        <row r="356">
          <cell r="A356">
            <v>44</v>
          </cell>
          <cell r="B356"/>
          <cell r="C356"/>
          <cell r="D356"/>
          <cell r="E356"/>
          <cell r="F356"/>
          <cell r="G356"/>
        </row>
        <row r="357">
          <cell r="A357">
            <v>48</v>
          </cell>
          <cell r="B357"/>
          <cell r="C357"/>
          <cell r="D357"/>
          <cell r="E357"/>
          <cell r="F357"/>
          <cell r="G357"/>
        </row>
        <row r="358">
          <cell r="A358">
            <v>52</v>
          </cell>
          <cell r="B358"/>
          <cell r="C358"/>
          <cell r="D358"/>
          <cell r="E358"/>
          <cell r="F358"/>
          <cell r="G358"/>
        </row>
        <row r="359">
          <cell r="A359">
            <v>56</v>
          </cell>
          <cell r="B359"/>
          <cell r="C359"/>
          <cell r="D359"/>
          <cell r="E359"/>
          <cell r="F359"/>
          <cell r="G359"/>
        </row>
        <row r="360">
          <cell r="A360">
            <v>60</v>
          </cell>
          <cell r="B360"/>
          <cell r="C360"/>
          <cell r="D360"/>
          <cell r="E360"/>
          <cell r="F360"/>
          <cell r="G360"/>
        </row>
        <row r="361">
          <cell r="A361">
            <v>67.5</v>
          </cell>
          <cell r="B361"/>
          <cell r="C361"/>
          <cell r="D361"/>
          <cell r="E361"/>
          <cell r="F361"/>
          <cell r="G361"/>
        </row>
        <row r="362">
          <cell r="A362">
            <v>75</v>
          </cell>
          <cell r="B362"/>
          <cell r="C362"/>
          <cell r="D362"/>
          <cell r="E362"/>
          <cell r="F362"/>
          <cell r="G362"/>
        </row>
        <row r="363">
          <cell r="A363">
            <v>82.5</v>
          </cell>
          <cell r="B363"/>
          <cell r="C363"/>
          <cell r="D363"/>
          <cell r="E363"/>
          <cell r="F363"/>
          <cell r="G363"/>
        </row>
        <row r="364">
          <cell r="A364">
            <v>90</v>
          </cell>
          <cell r="B364">
            <v>42.5</v>
          </cell>
          <cell r="C364" t="str">
            <v>Tenorio, Betty</v>
          </cell>
          <cell r="D364">
            <v>29</v>
          </cell>
          <cell r="E364" t="str">
            <v>USA</v>
          </cell>
          <cell r="F364">
            <v>2001</v>
          </cell>
          <cell r="G364"/>
        </row>
        <row r="365">
          <cell r="A365" t="str">
            <v>90+</v>
          </cell>
          <cell r="B365">
            <v>47.5</v>
          </cell>
          <cell r="C365" t="str">
            <v>Tenorio, Betty</v>
          </cell>
          <cell r="D365">
            <v>29</v>
          </cell>
          <cell r="E365" t="str">
            <v>USA</v>
          </cell>
          <cell r="F365">
            <v>2001</v>
          </cell>
          <cell r="G365"/>
        </row>
        <row r="367">
          <cell r="C367" t="str">
            <v>75-79 Age Group</v>
          </cell>
        </row>
        <row r="368">
          <cell r="A368">
            <v>44</v>
          </cell>
          <cell r="B368">
            <v>25</v>
          </cell>
          <cell r="C368" t="str">
            <v>Chatel,Mary</v>
          </cell>
          <cell r="D368">
            <v>29</v>
          </cell>
          <cell r="E368" t="str">
            <v>USA</v>
          </cell>
          <cell r="F368">
            <v>39907</v>
          </cell>
          <cell r="G368" t="str">
            <v>Idaho Falls</v>
          </cell>
        </row>
        <row r="369">
          <cell r="A369">
            <v>48</v>
          </cell>
          <cell r="B369"/>
          <cell r="C369"/>
          <cell r="D369"/>
          <cell r="E369"/>
          <cell r="F369"/>
          <cell r="G369"/>
        </row>
        <row r="370">
          <cell r="A370">
            <v>52</v>
          </cell>
          <cell r="B370"/>
          <cell r="C370"/>
          <cell r="D370"/>
          <cell r="E370"/>
          <cell r="F370"/>
          <cell r="G370"/>
        </row>
        <row r="371">
          <cell r="A371">
            <v>56</v>
          </cell>
          <cell r="B371"/>
          <cell r="C371"/>
          <cell r="D371"/>
          <cell r="E371"/>
          <cell r="F371"/>
          <cell r="G371"/>
        </row>
        <row r="372">
          <cell r="A372">
            <v>60</v>
          </cell>
          <cell r="B372"/>
          <cell r="C372"/>
          <cell r="D372"/>
          <cell r="E372"/>
          <cell r="F372"/>
          <cell r="G372"/>
        </row>
        <row r="373">
          <cell r="A373">
            <v>67.5</v>
          </cell>
          <cell r="B373"/>
          <cell r="C373"/>
          <cell r="D373"/>
          <cell r="E373"/>
          <cell r="F373"/>
          <cell r="G373"/>
        </row>
        <row r="374">
          <cell r="A374">
            <v>75</v>
          </cell>
          <cell r="B374">
            <v>30</v>
          </cell>
          <cell r="C374" t="str">
            <v>Tsverova Galina</v>
          </cell>
          <cell r="D374">
            <v>31</v>
          </cell>
          <cell r="E374" t="str">
            <v>RUS</v>
          </cell>
          <cell r="F374">
            <v>39528</v>
          </cell>
          <cell r="G374" t="str">
            <v>Rostov</v>
          </cell>
        </row>
        <row r="375">
          <cell r="A375">
            <v>82.5</v>
          </cell>
          <cell r="B375">
            <v>32.5</v>
          </cell>
          <cell r="C375" t="str">
            <v>Tenorio, Betty</v>
          </cell>
          <cell r="D375">
            <v>29</v>
          </cell>
          <cell r="E375" t="str">
            <v>USA</v>
          </cell>
          <cell r="F375">
            <v>38562</v>
          </cell>
          <cell r="G375" t="str">
            <v>Lincolnwood</v>
          </cell>
        </row>
        <row r="376">
          <cell r="A376">
            <v>90</v>
          </cell>
          <cell r="B376"/>
          <cell r="C376"/>
          <cell r="D376"/>
          <cell r="E376"/>
          <cell r="F376"/>
          <cell r="G376"/>
        </row>
        <row r="377">
          <cell r="A377" t="str">
            <v>90+</v>
          </cell>
          <cell r="B377"/>
          <cell r="C377"/>
          <cell r="D377"/>
          <cell r="E377"/>
          <cell r="F377"/>
          <cell r="G377"/>
        </row>
        <row r="379">
          <cell r="C379" t="str">
            <v>80-84  Age Group</v>
          </cell>
        </row>
        <row r="380">
          <cell r="A380">
            <v>44</v>
          </cell>
          <cell r="B380">
            <v>25</v>
          </cell>
          <cell r="C380" t="str">
            <v>Chatel,Mary</v>
          </cell>
          <cell r="D380">
            <v>29</v>
          </cell>
          <cell r="E380" t="str">
            <v>USA</v>
          </cell>
          <cell r="F380">
            <v>40375</v>
          </cell>
          <cell r="G380" t="str">
            <v>West Palm Beach</v>
          </cell>
        </row>
        <row r="381">
          <cell r="A381">
            <v>48</v>
          </cell>
          <cell r="B381"/>
          <cell r="C381"/>
          <cell r="D381"/>
          <cell r="E381"/>
          <cell r="F381"/>
          <cell r="G381"/>
        </row>
        <row r="382">
          <cell r="A382">
            <v>52</v>
          </cell>
          <cell r="B382"/>
          <cell r="C382"/>
          <cell r="D382"/>
          <cell r="E382"/>
          <cell r="F382"/>
          <cell r="G382"/>
        </row>
        <row r="383">
          <cell r="A383">
            <v>56</v>
          </cell>
          <cell r="B383"/>
          <cell r="C383"/>
          <cell r="D383"/>
          <cell r="E383"/>
          <cell r="F383"/>
          <cell r="G383"/>
        </row>
        <row r="384">
          <cell r="A384">
            <v>60</v>
          </cell>
          <cell r="B384"/>
          <cell r="C384"/>
          <cell r="D384"/>
          <cell r="E384"/>
          <cell r="F384"/>
          <cell r="G384"/>
        </row>
        <row r="385">
          <cell r="A385">
            <v>67.5</v>
          </cell>
          <cell r="B385"/>
          <cell r="C385"/>
          <cell r="D385"/>
          <cell r="E385"/>
          <cell r="F385"/>
          <cell r="G385"/>
        </row>
        <row r="386">
          <cell r="A386">
            <v>75</v>
          </cell>
          <cell r="B386"/>
          <cell r="C386"/>
          <cell r="D386"/>
          <cell r="E386"/>
          <cell r="F386"/>
          <cell r="G386"/>
        </row>
        <row r="387">
          <cell r="A387">
            <v>82.5</v>
          </cell>
          <cell r="B387"/>
          <cell r="C387"/>
          <cell r="D387"/>
          <cell r="E387"/>
          <cell r="F387"/>
          <cell r="G387"/>
        </row>
        <row r="388">
          <cell r="A388">
            <v>90</v>
          </cell>
          <cell r="B388"/>
          <cell r="C388"/>
          <cell r="D388"/>
          <cell r="E388"/>
          <cell r="F388"/>
          <cell r="G388"/>
        </row>
        <row r="389">
          <cell r="A389" t="str">
            <v>90+</v>
          </cell>
          <cell r="B389"/>
          <cell r="C389"/>
          <cell r="D389"/>
          <cell r="E389"/>
          <cell r="F389"/>
          <cell r="G389"/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-Wom"/>
      <sheetName val="BP-Men"/>
    </sheetNames>
    <sheetDataSet>
      <sheetData sheetId="0">
        <row r="1">
          <cell r="B1" t="str">
            <v xml:space="preserve"> AWPC BP Raw  - Europe</v>
          </cell>
          <cell r="C1"/>
          <cell r="D1"/>
          <cell r="E1"/>
          <cell r="F1"/>
        </row>
        <row r="2">
          <cell r="B2" t="str">
            <v>T1 13-15</v>
          </cell>
        </row>
        <row r="3">
          <cell r="A3">
            <v>44</v>
          </cell>
          <cell r="B3">
            <v>57.5</v>
          </cell>
          <cell r="C3" t="str">
            <v>Dluzhnevskaya Vladislava/2000</v>
          </cell>
          <cell r="D3" t="str">
            <v>RUS</v>
          </cell>
          <cell r="E3">
            <v>40814</v>
          </cell>
          <cell r="F3" t="str">
            <v>Yekaterinbourgh</v>
          </cell>
        </row>
        <row r="4">
          <cell r="A4">
            <v>48</v>
          </cell>
          <cell r="B4">
            <v>65</v>
          </cell>
          <cell r="C4" t="str">
            <v>Dluzhnevskaya Vladislava/2000</v>
          </cell>
          <cell r="D4" t="str">
            <v>RUS</v>
          </cell>
          <cell r="E4">
            <v>41216</v>
          </cell>
          <cell r="F4" t="str">
            <v>Vologda</v>
          </cell>
        </row>
        <row r="5">
          <cell r="A5">
            <v>52</v>
          </cell>
          <cell r="B5">
            <v>45</v>
          </cell>
          <cell r="C5" t="str">
            <v>Bener Yekaterina/97</v>
          </cell>
          <cell r="D5" t="str">
            <v>RUS</v>
          </cell>
          <cell r="E5">
            <v>40983</v>
          </cell>
          <cell r="F5" t="str">
            <v>Yekaterinbourgh</v>
          </cell>
        </row>
        <row r="6">
          <cell r="A6">
            <v>56</v>
          </cell>
          <cell r="B6">
            <v>60</v>
          </cell>
          <cell r="C6" t="str">
            <v>Maximova Anastasiya/94</v>
          </cell>
          <cell r="D6" t="str">
            <v>RUS</v>
          </cell>
          <cell r="E6">
            <v>40257</v>
          </cell>
          <cell r="F6" t="str">
            <v>Kursk</v>
          </cell>
        </row>
        <row r="7">
          <cell r="A7">
            <v>60</v>
          </cell>
          <cell r="B7"/>
          <cell r="C7"/>
          <cell r="D7"/>
          <cell r="E7"/>
          <cell r="F7"/>
        </row>
        <row r="8">
          <cell r="A8">
            <v>67.5</v>
          </cell>
          <cell r="B8">
            <v>55</v>
          </cell>
          <cell r="C8" t="str">
            <v>Shinkareva,Yelizaveta98</v>
          </cell>
          <cell r="D8" t="str">
            <v>RUS</v>
          </cell>
          <cell r="E8">
            <v>41019</v>
          </cell>
          <cell r="F8" t="str">
            <v>Rostov</v>
          </cell>
        </row>
        <row r="9">
          <cell r="A9">
            <v>75</v>
          </cell>
          <cell r="B9"/>
          <cell r="C9"/>
          <cell r="D9"/>
          <cell r="E9"/>
          <cell r="F9"/>
        </row>
        <row r="10">
          <cell r="A10">
            <v>82.5</v>
          </cell>
          <cell r="B10">
            <v>35</v>
          </cell>
          <cell r="C10" t="str">
            <v>Adiyak Yekaterina/97</v>
          </cell>
          <cell r="D10" t="str">
            <v>RUS</v>
          </cell>
          <cell r="E10">
            <v>40814</v>
          </cell>
          <cell r="F10" t="str">
            <v>Yekaterinbourgh</v>
          </cell>
        </row>
        <row r="11">
          <cell r="A11">
            <v>90</v>
          </cell>
          <cell r="B11"/>
          <cell r="C11"/>
          <cell r="D11"/>
          <cell r="E11"/>
          <cell r="F11"/>
        </row>
        <row r="12">
          <cell r="A12" t="str">
            <v>90+</v>
          </cell>
          <cell r="B12">
            <v>42.5</v>
          </cell>
          <cell r="C12" t="str">
            <v>Abtukh Yekaterina/2000</v>
          </cell>
          <cell r="D12" t="str">
            <v>RUS</v>
          </cell>
          <cell r="E12" t="str">
            <v>03.07.2014</v>
          </cell>
          <cell r="F12" t="str">
            <v>Novosibirsk</v>
          </cell>
        </row>
        <row r="13">
          <cell r="B13"/>
          <cell r="C13"/>
          <cell r="D13"/>
          <cell r="E13"/>
          <cell r="F13"/>
        </row>
        <row r="14">
          <cell r="B14" t="str">
            <v>T2 16-17</v>
          </cell>
        </row>
        <row r="15">
          <cell r="A15">
            <v>44</v>
          </cell>
          <cell r="B15"/>
          <cell r="C15"/>
          <cell r="D15"/>
          <cell r="E15"/>
          <cell r="F15"/>
        </row>
        <row r="16">
          <cell r="A16">
            <v>48</v>
          </cell>
          <cell r="B16">
            <v>52.5</v>
          </cell>
          <cell r="C16" t="str">
            <v>Fatyukhina Svetlana/94</v>
          </cell>
          <cell r="D16" t="str">
            <v>RUS</v>
          </cell>
          <cell r="E16">
            <v>40769</v>
          </cell>
          <cell r="F16" t="str">
            <v>Kursk</v>
          </cell>
        </row>
        <row r="17">
          <cell r="A17">
            <v>52</v>
          </cell>
          <cell r="B17">
            <v>57.5</v>
          </cell>
          <cell r="C17" t="str">
            <v>Isakova Olga/94</v>
          </cell>
          <cell r="D17" t="str">
            <v>RUS</v>
          </cell>
          <cell r="E17">
            <v>40409</v>
          </cell>
          <cell r="F17" t="str">
            <v>Moscow</v>
          </cell>
        </row>
        <row r="18">
          <cell r="A18">
            <v>56</v>
          </cell>
          <cell r="B18">
            <v>52.5</v>
          </cell>
          <cell r="C18" t="str">
            <v>Skopina Alisa/90</v>
          </cell>
          <cell r="D18" t="str">
            <v>RUS</v>
          </cell>
          <cell r="E18">
            <v>39528</v>
          </cell>
          <cell r="F18" t="str">
            <v>Rostov</v>
          </cell>
        </row>
        <row r="19">
          <cell r="A19">
            <v>60</v>
          </cell>
          <cell r="B19">
            <v>67.5</v>
          </cell>
          <cell r="C19" t="str">
            <v>Shinkareva Yelizaveta/98</v>
          </cell>
          <cell r="D19" t="str">
            <v>RUS</v>
          </cell>
          <cell r="E19" t="str">
            <v>03.07.2014</v>
          </cell>
          <cell r="F19" t="str">
            <v>Novosibirsk</v>
          </cell>
        </row>
        <row r="20">
          <cell r="A20">
            <v>67.5</v>
          </cell>
          <cell r="B20">
            <v>50</v>
          </cell>
          <cell r="C20" t="str">
            <v>Teryasova Olga/96</v>
          </cell>
          <cell r="D20" t="str">
            <v>RUS</v>
          </cell>
          <cell r="E20" t="str">
            <v>19.04.2014</v>
          </cell>
          <cell r="F20" t="str">
            <v>Krasnodar</v>
          </cell>
        </row>
        <row r="21">
          <cell r="A21">
            <v>75</v>
          </cell>
          <cell r="B21"/>
          <cell r="C21"/>
          <cell r="D21"/>
          <cell r="E21"/>
          <cell r="F21"/>
        </row>
        <row r="22">
          <cell r="A22">
            <v>82.5</v>
          </cell>
          <cell r="B22"/>
          <cell r="C22"/>
          <cell r="D22"/>
          <cell r="E22"/>
          <cell r="F22"/>
        </row>
        <row r="23">
          <cell r="A23">
            <v>90</v>
          </cell>
          <cell r="B23"/>
          <cell r="C23"/>
          <cell r="D23"/>
          <cell r="E23"/>
          <cell r="F23"/>
        </row>
        <row r="24">
          <cell r="A24" t="str">
            <v>90+</v>
          </cell>
          <cell r="B24"/>
          <cell r="C24"/>
          <cell r="D24"/>
          <cell r="E24"/>
          <cell r="F24"/>
        </row>
        <row r="25">
          <cell r="B25"/>
          <cell r="C25"/>
          <cell r="D25"/>
          <cell r="E25"/>
          <cell r="F25"/>
        </row>
        <row r="26">
          <cell r="B26" t="str">
            <v>T3 18-19</v>
          </cell>
        </row>
        <row r="27">
          <cell r="A27">
            <v>44</v>
          </cell>
          <cell r="B27">
            <v>50.5</v>
          </cell>
          <cell r="C27" t="str">
            <v>Vasylchenko Anastasiya/92</v>
          </cell>
          <cell r="D27" t="str">
            <v>UKR</v>
          </cell>
          <cell r="E27">
            <v>41128</v>
          </cell>
          <cell r="F27" t="str">
            <v>Kryvyi Rig</v>
          </cell>
        </row>
        <row r="28">
          <cell r="A28">
            <v>48</v>
          </cell>
          <cell r="B28">
            <v>50</v>
          </cell>
          <cell r="C28" t="str">
            <v>Lapshova Mariya/91</v>
          </cell>
          <cell r="D28" t="str">
            <v>RUS</v>
          </cell>
          <cell r="E28">
            <v>40522</v>
          </cell>
          <cell r="F28" t="str">
            <v>Kursk</v>
          </cell>
        </row>
        <row r="29">
          <cell r="A29">
            <v>52</v>
          </cell>
          <cell r="B29">
            <v>72.5</v>
          </cell>
          <cell r="C29" t="str">
            <v>Kumuts Svetlana/95</v>
          </cell>
          <cell r="D29" t="str">
            <v>RUS</v>
          </cell>
          <cell r="E29">
            <v>41321</v>
          </cell>
          <cell r="F29" t="str">
            <v>Yekaterinburg</v>
          </cell>
        </row>
        <row r="30">
          <cell r="A30">
            <v>56</v>
          </cell>
          <cell r="B30">
            <v>57.5</v>
          </cell>
          <cell r="C30" t="str">
            <v>Reutova Nadezhda/93</v>
          </cell>
          <cell r="D30" t="str">
            <v>RUS</v>
          </cell>
          <cell r="E30">
            <v>40640</v>
          </cell>
          <cell r="F30" t="str">
            <v>Chelyabinsk</v>
          </cell>
        </row>
        <row r="31">
          <cell r="A31">
            <v>60</v>
          </cell>
          <cell r="B31">
            <v>62.5</v>
          </cell>
          <cell r="C31" t="str">
            <v>Khramtsova Anastasiya/96</v>
          </cell>
          <cell r="D31" t="str">
            <v>RUS</v>
          </cell>
          <cell r="E31" t="str">
            <v>09.08.2014</v>
          </cell>
          <cell r="F31" t="str">
            <v>Yekaterinburg</v>
          </cell>
        </row>
        <row r="32">
          <cell r="A32">
            <v>67.5</v>
          </cell>
          <cell r="B32">
            <v>68</v>
          </cell>
          <cell r="C32" t="str">
            <v>Karpovich Yevgeniya/95</v>
          </cell>
          <cell r="D32" t="str">
            <v>UKR</v>
          </cell>
          <cell r="E32">
            <v>41552</v>
          </cell>
          <cell r="F32" t="str">
            <v>Kryvyi Rig</v>
          </cell>
        </row>
        <row r="33">
          <cell r="A33">
            <v>75</v>
          </cell>
          <cell r="B33">
            <v>72.5</v>
          </cell>
          <cell r="C33" t="str">
            <v>Apal'kova Evelina/93</v>
          </cell>
          <cell r="D33" t="str">
            <v>RUS</v>
          </cell>
          <cell r="E33">
            <v>41137</v>
          </cell>
          <cell r="F33" t="str">
            <v>Novosibirsk</v>
          </cell>
        </row>
        <row r="34">
          <cell r="A34">
            <v>82.5</v>
          </cell>
          <cell r="B34"/>
          <cell r="C34"/>
          <cell r="D34"/>
          <cell r="E34"/>
          <cell r="F34"/>
        </row>
        <row r="35">
          <cell r="A35">
            <v>90</v>
          </cell>
          <cell r="B35"/>
          <cell r="C35"/>
          <cell r="D35"/>
          <cell r="E35"/>
          <cell r="F35"/>
        </row>
        <row r="36">
          <cell r="A36" t="str">
            <v>90+</v>
          </cell>
          <cell r="B36">
            <v>55</v>
          </cell>
          <cell r="C36" t="str">
            <v>Volkhina Polina/91</v>
          </cell>
          <cell r="D36" t="str">
            <v>RUS</v>
          </cell>
          <cell r="E36">
            <v>40640</v>
          </cell>
          <cell r="F36" t="str">
            <v>Chelyabinsk</v>
          </cell>
        </row>
        <row r="37">
          <cell r="B37"/>
          <cell r="C37"/>
          <cell r="D37"/>
          <cell r="E37"/>
          <cell r="F37"/>
        </row>
        <row r="38">
          <cell r="B38" t="str">
            <v>Junior 20-23</v>
          </cell>
        </row>
        <row r="39">
          <cell r="A39">
            <v>44</v>
          </cell>
          <cell r="B39">
            <v>52.5</v>
          </cell>
          <cell r="C39" t="str">
            <v>Obrazumova Ekaterina/87</v>
          </cell>
          <cell r="D39" t="str">
            <v>RUS</v>
          </cell>
          <cell r="E39">
            <v>40409</v>
          </cell>
          <cell r="F39" t="str">
            <v>Moscow</v>
          </cell>
        </row>
        <row r="40">
          <cell r="A40">
            <v>48</v>
          </cell>
          <cell r="B40">
            <v>65</v>
          </cell>
          <cell r="C40" t="str">
            <v>Narenkova Yevgeniya/85</v>
          </cell>
          <cell r="D40" t="str">
            <v>RUS</v>
          </cell>
          <cell r="E40">
            <v>39871</v>
          </cell>
          <cell r="F40" t="str">
            <v>Chelyabinsk</v>
          </cell>
        </row>
        <row r="41">
          <cell r="A41">
            <v>52</v>
          </cell>
          <cell r="B41">
            <v>90</v>
          </cell>
          <cell r="C41" t="str">
            <v>Sokolenko Viktoriya/87</v>
          </cell>
          <cell r="D41" t="str">
            <v>UKR</v>
          </cell>
          <cell r="E41">
            <v>40628</v>
          </cell>
          <cell r="F41" t="str">
            <v>Kryvyi Rig</v>
          </cell>
        </row>
        <row r="42">
          <cell r="A42">
            <v>56</v>
          </cell>
          <cell r="B42">
            <v>77.5</v>
          </cell>
          <cell r="C42" t="str">
            <v>Sokolova Viktoriya/89</v>
          </cell>
          <cell r="D42" t="str">
            <v>UKR</v>
          </cell>
          <cell r="E42">
            <v>41370</v>
          </cell>
          <cell r="F42" t="str">
            <v>Kryvyi Rig</v>
          </cell>
        </row>
        <row r="43">
          <cell r="A43">
            <v>60</v>
          </cell>
          <cell r="B43">
            <v>82.5</v>
          </cell>
          <cell r="C43" t="str">
            <v>Yablonskaya Anastasiya/89</v>
          </cell>
          <cell r="D43" t="str">
            <v>RUS</v>
          </cell>
          <cell r="E43">
            <v>40409</v>
          </cell>
          <cell r="F43" t="str">
            <v>Moscow</v>
          </cell>
        </row>
        <row r="44">
          <cell r="A44">
            <v>67.5</v>
          </cell>
          <cell r="B44">
            <v>87.5</v>
          </cell>
          <cell r="C44" t="str">
            <v>Yablonskaya Anastasiya/89</v>
          </cell>
          <cell r="D44" t="str">
            <v>RUS</v>
          </cell>
          <cell r="E44">
            <v>40522</v>
          </cell>
          <cell r="F44" t="str">
            <v>Kursk</v>
          </cell>
        </row>
        <row r="45">
          <cell r="A45">
            <v>75</v>
          </cell>
          <cell r="B45">
            <v>77.5</v>
          </cell>
          <cell r="C45" t="str">
            <v>Selyaeva Darya/88</v>
          </cell>
          <cell r="D45" t="str">
            <v>RUS</v>
          </cell>
          <cell r="E45">
            <v>40409</v>
          </cell>
          <cell r="F45" t="str">
            <v>Moscow</v>
          </cell>
        </row>
        <row r="46">
          <cell r="A46">
            <v>82.5</v>
          </cell>
          <cell r="B46"/>
          <cell r="C46"/>
          <cell r="D46"/>
          <cell r="E46"/>
          <cell r="F46"/>
        </row>
        <row r="47">
          <cell r="A47">
            <v>90</v>
          </cell>
          <cell r="B47"/>
          <cell r="C47"/>
          <cell r="D47"/>
          <cell r="E47"/>
          <cell r="F47"/>
        </row>
        <row r="48">
          <cell r="A48" t="str">
            <v>90+</v>
          </cell>
          <cell r="B48">
            <v>80</v>
          </cell>
          <cell r="C48" t="str">
            <v>Tsarevskaya Yekaterina/90</v>
          </cell>
          <cell r="D48" t="str">
            <v>RUS</v>
          </cell>
          <cell r="E48">
            <v>41201</v>
          </cell>
          <cell r="F48" t="str">
            <v>Krasnodar</v>
          </cell>
        </row>
        <row r="49">
          <cell r="B49"/>
          <cell r="C49"/>
          <cell r="D49"/>
          <cell r="E49"/>
          <cell r="F49"/>
        </row>
        <row r="50">
          <cell r="B50" t="str">
            <v>Women Open</v>
          </cell>
        </row>
        <row r="51">
          <cell r="A51">
            <v>44</v>
          </cell>
          <cell r="B51">
            <v>77.5</v>
          </cell>
          <cell r="C51" t="str">
            <v>Murasheva Yuliya/70</v>
          </cell>
          <cell r="D51" t="str">
            <v>RUS</v>
          </cell>
          <cell r="E51" t="str">
            <v>22.08.2014</v>
          </cell>
          <cell r="F51" t="str">
            <v>Moscow</v>
          </cell>
        </row>
        <row r="52">
          <cell r="A52">
            <v>48</v>
          </cell>
          <cell r="B52">
            <v>80</v>
          </cell>
          <cell r="C52" t="str">
            <v>Ber Natalya/81</v>
          </cell>
          <cell r="D52" t="str">
            <v>RUS</v>
          </cell>
          <cell r="E52" t="str">
            <v>08.02.2014</v>
          </cell>
          <cell r="F52" t="str">
            <v>Yekaterinbourgh</v>
          </cell>
        </row>
        <row r="53">
          <cell r="A53">
            <v>52</v>
          </cell>
          <cell r="B53">
            <v>90.5</v>
          </cell>
          <cell r="C53" t="str">
            <v>Kadatska Anna/77</v>
          </cell>
          <cell r="D53" t="str">
            <v>UKR</v>
          </cell>
          <cell r="E53">
            <v>41128</v>
          </cell>
          <cell r="F53" t="str">
            <v>Kryvyi Rig</v>
          </cell>
        </row>
        <row r="54">
          <cell r="A54">
            <v>56</v>
          </cell>
          <cell r="B54">
            <v>105</v>
          </cell>
          <cell r="C54" t="str">
            <v>Konovalova Natalya/74</v>
          </cell>
          <cell r="D54" t="str">
            <v>RUS</v>
          </cell>
          <cell r="E54">
            <v>40814</v>
          </cell>
          <cell r="F54" t="str">
            <v>Yekaterinbourgh</v>
          </cell>
        </row>
        <row r="55">
          <cell r="A55">
            <v>60</v>
          </cell>
          <cell r="B55">
            <v>102.5</v>
          </cell>
          <cell r="C55" t="str">
            <v>Vlasova Nadezhda/82</v>
          </cell>
          <cell r="D55" t="str">
            <v>RUS</v>
          </cell>
          <cell r="E55" t="str">
            <v>30.05.2014</v>
          </cell>
          <cell r="F55" t="str">
            <v>Kursk</v>
          </cell>
        </row>
        <row r="56">
          <cell r="A56">
            <v>67.5</v>
          </cell>
          <cell r="B56">
            <v>100</v>
          </cell>
          <cell r="C56" t="str">
            <v>Timoshina Mariya/84</v>
          </cell>
          <cell r="D56" t="str">
            <v>RUS</v>
          </cell>
          <cell r="E56" t="str">
            <v>22.08.2014</v>
          </cell>
          <cell r="F56" t="str">
            <v>Moscow</v>
          </cell>
        </row>
        <row r="57">
          <cell r="A57">
            <v>75</v>
          </cell>
          <cell r="B57">
            <v>112.5</v>
          </cell>
          <cell r="C57" t="str">
            <v>Vorobyeva Regina/80</v>
          </cell>
          <cell r="D57" t="str">
            <v>RUS</v>
          </cell>
          <cell r="E57">
            <v>41566</v>
          </cell>
          <cell r="F57" t="str">
            <v>Krasnodar</v>
          </cell>
        </row>
        <row r="58">
          <cell r="A58">
            <v>82.5</v>
          </cell>
          <cell r="B58">
            <v>105</v>
          </cell>
          <cell r="C58" t="str">
            <v>Pugovkina Alla/75</v>
          </cell>
          <cell r="D58" t="str">
            <v>RUS</v>
          </cell>
          <cell r="E58" t="str">
            <v>22.08.2014</v>
          </cell>
          <cell r="F58" t="str">
            <v>Moscow</v>
          </cell>
        </row>
        <row r="59">
          <cell r="A59">
            <v>90</v>
          </cell>
          <cell r="B59">
            <v>102.5</v>
          </cell>
          <cell r="C59" t="str">
            <v>Kibalina Tatyana/74</v>
          </cell>
          <cell r="D59" t="str">
            <v>RUS</v>
          </cell>
          <cell r="E59">
            <v>40814</v>
          </cell>
          <cell r="F59" t="str">
            <v>Yekaterinbourgh</v>
          </cell>
        </row>
        <row r="60">
          <cell r="A60" t="str">
            <v>90+</v>
          </cell>
          <cell r="B60">
            <v>127.5</v>
          </cell>
          <cell r="C60" t="str">
            <v>Shel-Fetengof Erin/83</v>
          </cell>
          <cell r="D60" t="str">
            <v>RUS</v>
          </cell>
          <cell r="E60" t="str">
            <v>22.08.2014</v>
          </cell>
          <cell r="F60" t="str">
            <v>Moscow</v>
          </cell>
        </row>
        <row r="61">
          <cell r="B61"/>
          <cell r="C61"/>
          <cell r="D61"/>
          <cell r="E61"/>
          <cell r="F61"/>
        </row>
        <row r="62">
          <cell r="B62" t="str">
            <v>SM 33-39</v>
          </cell>
          <cell r="F62"/>
        </row>
        <row r="63">
          <cell r="A63">
            <v>44</v>
          </cell>
          <cell r="B63"/>
          <cell r="C63"/>
          <cell r="D63"/>
          <cell r="E63"/>
          <cell r="F63"/>
        </row>
        <row r="64">
          <cell r="A64">
            <v>48</v>
          </cell>
          <cell r="B64">
            <v>67.5</v>
          </cell>
          <cell r="C64" t="str">
            <v>Dzina Margarita/69</v>
          </cell>
          <cell r="D64" t="str">
            <v>RUS</v>
          </cell>
          <cell r="E64">
            <v>39871</v>
          </cell>
          <cell r="F64" t="str">
            <v>Chelyabinsk</v>
          </cell>
        </row>
        <row r="65">
          <cell r="A65">
            <v>52</v>
          </cell>
          <cell r="B65">
            <v>90.5</v>
          </cell>
          <cell r="C65" t="str">
            <v>Kadatska,Anna/77</v>
          </cell>
          <cell r="D65" t="str">
            <v>UKR</v>
          </cell>
          <cell r="E65">
            <v>41128</v>
          </cell>
          <cell r="F65" t="str">
            <v>Kryvyi Rig</v>
          </cell>
        </row>
        <row r="66">
          <cell r="A66">
            <v>56</v>
          </cell>
          <cell r="B66">
            <v>105</v>
          </cell>
          <cell r="C66" t="str">
            <v>Konovalova Natalya/74</v>
          </cell>
          <cell r="D66" t="str">
            <v>RUS</v>
          </cell>
          <cell r="E66">
            <v>40814</v>
          </cell>
          <cell r="F66" t="str">
            <v>Yekaterinbourgh</v>
          </cell>
        </row>
        <row r="67">
          <cell r="A67">
            <v>60</v>
          </cell>
          <cell r="B67">
            <v>97.5</v>
          </cell>
          <cell r="C67" t="str">
            <v>Savelyeva Nina/73</v>
          </cell>
          <cell r="D67" t="str">
            <v>UKR</v>
          </cell>
          <cell r="E67">
            <v>39983</v>
          </cell>
          <cell r="F67" t="str">
            <v>Ternopil'</v>
          </cell>
        </row>
        <row r="68">
          <cell r="A68">
            <v>67.5</v>
          </cell>
          <cell r="B68">
            <v>80</v>
          </cell>
          <cell r="C68" t="str">
            <v>Goncharova Natalya/74</v>
          </cell>
          <cell r="D68" t="str">
            <v>RUS</v>
          </cell>
          <cell r="E68">
            <v>40409</v>
          </cell>
          <cell r="F68" t="str">
            <v>Moscow</v>
          </cell>
        </row>
        <row r="69">
          <cell r="A69">
            <v>75</v>
          </cell>
          <cell r="B69">
            <v>112.5</v>
          </cell>
          <cell r="C69" t="str">
            <v>Vorobyeva Regina/80</v>
          </cell>
          <cell r="D69" t="str">
            <v>RUS</v>
          </cell>
          <cell r="E69">
            <v>41566</v>
          </cell>
          <cell r="F69" t="str">
            <v>Krasnodar</v>
          </cell>
        </row>
        <row r="70">
          <cell r="A70">
            <v>82.5</v>
          </cell>
          <cell r="B70">
            <v>105</v>
          </cell>
          <cell r="C70" t="str">
            <v>Pugovkina Alla/75</v>
          </cell>
          <cell r="D70" t="str">
            <v>RUS</v>
          </cell>
          <cell r="E70" t="str">
            <v>22.08.2014</v>
          </cell>
          <cell r="F70" t="str">
            <v>Moscow</v>
          </cell>
        </row>
        <row r="71">
          <cell r="A71">
            <v>90</v>
          </cell>
          <cell r="B71">
            <v>102.5</v>
          </cell>
          <cell r="C71" t="str">
            <v>Kibalina Tatyana/74</v>
          </cell>
          <cell r="D71" t="str">
            <v>RUS</v>
          </cell>
          <cell r="E71">
            <v>40814</v>
          </cell>
          <cell r="F71" t="str">
            <v>Yekaterinbourgh</v>
          </cell>
        </row>
        <row r="72">
          <cell r="A72" t="str">
            <v>90+</v>
          </cell>
          <cell r="B72">
            <v>90</v>
          </cell>
          <cell r="C72" t="str">
            <v>Skobelkina Elena/73</v>
          </cell>
          <cell r="D72" t="str">
            <v>RUS</v>
          </cell>
          <cell r="E72">
            <v>40872</v>
          </cell>
          <cell r="F72" t="str">
            <v>Novosibirsk</v>
          </cell>
        </row>
        <row r="73">
          <cell r="B73"/>
          <cell r="C73"/>
          <cell r="D73"/>
          <cell r="E73"/>
          <cell r="F73"/>
        </row>
        <row r="74">
          <cell r="B74" t="str">
            <v>М1  (40-44)</v>
          </cell>
          <cell r="F74"/>
        </row>
        <row r="75">
          <cell r="A75">
            <v>44</v>
          </cell>
          <cell r="B75">
            <v>77.5</v>
          </cell>
          <cell r="C75" t="str">
            <v>Murasheva Yuliya/70</v>
          </cell>
          <cell r="D75" t="str">
            <v>RUS</v>
          </cell>
          <cell r="E75" t="str">
            <v>22.08.2014</v>
          </cell>
          <cell r="F75" t="str">
            <v>Moscow</v>
          </cell>
        </row>
        <row r="76">
          <cell r="A76">
            <v>48</v>
          </cell>
          <cell r="B76">
            <v>52.5</v>
          </cell>
          <cell r="C76" t="str">
            <v>Marieva Natalya/68</v>
          </cell>
          <cell r="D76" t="str">
            <v>RUS</v>
          </cell>
          <cell r="E76">
            <v>41067</v>
          </cell>
          <cell r="F76" t="str">
            <v>Moscow</v>
          </cell>
        </row>
        <row r="77">
          <cell r="A77">
            <v>52</v>
          </cell>
          <cell r="B77">
            <v>65</v>
          </cell>
          <cell r="C77" t="str">
            <v>Lazareva Yelena/68</v>
          </cell>
          <cell r="D77" t="str">
            <v>RUS</v>
          </cell>
          <cell r="E77">
            <v>40522</v>
          </cell>
          <cell r="F77" t="str">
            <v>Kursk</v>
          </cell>
        </row>
        <row r="78">
          <cell r="A78">
            <v>56</v>
          </cell>
          <cell r="B78">
            <v>77.5</v>
          </cell>
          <cell r="C78" t="str">
            <v>Tarasova Yuliya/73</v>
          </cell>
          <cell r="D78" t="str">
            <v>RUS</v>
          </cell>
          <cell r="E78" t="str">
            <v>22.08.2014</v>
          </cell>
          <cell r="F78" t="str">
            <v>Moscow</v>
          </cell>
        </row>
        <row r="79">
          <cell r="A79">
            <v>60</v>
          </cell>
          <cell r="B79">
            <v>92.5</v>
          </cell>
          <cell r="C79" t="str">
            <v>Rakcheeva Anastasiya/71</v>
          </cell>
          <cell r="D79" t="str">
            <v>RUS</v>
          </cell>
          <cell r="E79">
            <v>41018</v>
          </cell>
          <cell r="F79" t="str">
            <v>Rostov</v>
          </cell>
        </row>
        <row r="80">
          <cell r="A80">
            <v>67.5</v>
          </cell>
          <cell r="B80">
            <v>97.5</v>
          </cell>
          <cell r="C80" t="str">
            <v>Rakcheeva Anastasiya/71</v>
          </cell>
          <cell r="D80" t="str">
            <v>RUS</v>
          </cell>
          <cell r="E80" t="str">
            <v>22.08.2014</v>
          </cell>
          <cell r="F80" t="str">
            <v>Moscow</v>
          </cell>
        </row>
        <row r="81">
          <cell r="A81">
            <v>75</v>
          </cell>
          <cell r="B81">
            <v>105</v>
          </cell>
          <cell r="C81" t="str">
            <v>Sinacheva Svetlana/66</v>
          </cell>
          <cell r="D81" t="str">
            <v>RUS</v>
          </cell>
          <cell r="E81">
            <v>40814</v>
          </cell>
          <cell r="F81" t="str">
            <v>Yekaterinbourgh</v>
          </cell>
        </row>
        <row r="82">
          <cell r="A82">
            <v>82.5</v>
          </cell>
          <cell r="B82">
            <v>97.5</v>
          </cell>
          <cell r="C82" t="str">
            <v>Sinacheva Svetlana/66</v>
          </cell>
          <cell r="D82" t="str">
            <v>RUS</v>
          </cell>
          <cell r="E82">
            <v>40257</v>
          </cell>
          <cell r="F82" t="str">
            <v>Kursk</v>
          </cell>
        </row>
        <row r="83">
          <cell r="A83">
            <v>90</v>
          </cell>
          <cell r="B83"/>
          <cell r="C83"/>
          <cell r="D83"/>
          <cell r="E83"/>
          <cell r="F83"/>
        </row>
        <row r="84">
          <cell r="A84" t="str">
            <v>90+</v>
          </cell>
          <cell r="B84">
            <v>85</v>
          </cell>
          <cell r="C84" t="str">
            <v>Sinenko Nina/67</v>
          </cell>
          <cell r="D84" t="str">
            <v>RUS</v>
          </cell>
          <cell r="E84">
            <v>40872</v>
          </cell>
          <cell r="F84" t="str">
            <v>Novosibirsk</v>
          </cell>
        </row>
        <row r="85">
          <cell r="B85" t="str">
            <v>М2  (45-49)</v>
          </cell>
        </row>
        <row r="86">
          <cell r="A86">
            <v>44</v>
          </cell>
          <cell r="B86"/>
          <cell r="C86"/>
          <cell r="D86"/>
          <cell r="E86"/>
          <cell r="F86"/>
        </row>
        <row r="87">
          <cell r="A87">
            <v>48</v>
          </cell>
          <cell r="B87">
            <v>55</v>
          </cell>
          <cell r="C87" t="str">
            <v>Marieva Natalya/68</v>
          </cell>
          <cell r="D87" t="str">
            <v>RUS</v>
          </cell>
          <cell r="E87" t="str">
            <v>30.05.2014</v>
          </cell>
          <cell r="F87" t="str">
            <v>Kursk</v>
          </cell>
        </row>
        <row r="88">
          <cell r="A88">
            <v>52</v>
          </cell>
          <cell r="B88">
            <v>60</v>
          </cell>
          <cell r="C88" t="str">
            <v>Lapshova Irina/64</v>
          </cell>
          <cell r="D88" t="str">
            <v>RUS</v>
          </cell>
          <cell r="E88">
            <v>41018</v>
          </cell>
          <cell r="F88" t="str">
            <v>Rostov</v>
          </cell>
        </row>
        <row r="89">
          <cell r="A89">
            <v>56</v>
          </cell>
          <cell r="B89">
            <v>47.5</v>
          </cell>
          <cell r="C89" t="str">
            <v>Belova Yelena/66</v>
          </cell>
          <cell r="D89" t="str">
            <v>RUS</v>
          </cell>
          <cell r="E89" t="str">
            <v>03.07.2014</v>
          </cell>
          <cell r="F89" t="str">
            <v>Novosibirsk</v>
          </cell>
        </row>
        <row r="90">
          <cell r="A90">
            <v>60</v>
          </cell>
          <cell r="B90">
            <v>40</v>
          </cell>
          <cell r="C90" t="str">
            <v>Pen'kova Nataliya/65</v>
          </cell>
          <cell r="D90" t="str">
            <v>UKR</v>
          </cell>
          <cell r="E90">
            <v>40831</v>
          </cell>
          <cell r="F90" t="str">
            <v>Kryvyi Rig</v>
          </cell>
        </row>
        <row r="91">
          <cell r="A91">
            <v>67.5</v>
          </cell>
          <cell r="B91">
            <v>87.5</v>
          </cell>
          <cell r="C91" t="str">
            <v>Khristoforova Marina/66</v>
          </cell>
          <cell r="D91" t="str">
            <v>UKR</v>
          </cell>
          <cell r="E91">
            <v>40985</v>
          </cell>
          <cell r="F91" t="str">
            <v>Kryvyi Rig</v>
          </cell>
        </row>
        <row r="92">
          <cell r="A92">
            <v>75</v>
          </cell>
          <cell r="B92">
            <v>105</v>
          </cell>
          <cell r="C92" t="str">
            <v>Sinacheva Svetlana/66</v>
          </cell>
          <cell r="D92" t="str">
            <v>RUS</v>
          </cell>
          <cell r="E92">
            <v>41018</v>
          </cell>
          <cell r="F92" t="str">
            <v>Rostov</v>
          </cell>
        </row>
        <row r="93">
          <cell r="A93">
            <v>82.5</v>
          </cell>
          <cell r="B93">
            <v>80</v>
          </cell>
          <cell r="C93" t="str">
            <v>Charkova Lidiya/68</v>
          </cell>
          <cell r="D93" t="str">
            <v>RUS</v>
          </cell>
          <cell r="E93" t="str">
            <v>22.08.2014</v>
          </cell>
          <cell r="F93" t="str">
            <v>Moscow</v>
          </cell>
        </row>
        <row r="94">
          <cell r="A94">
            <v>90</v>
          </cell>
          <cell r="B94"/>
          <cell r="C94"/>
          <cell r="D94"/>
          <cell r="E94"/>
          <cell r="F94"/>
        </row>
        <row r="95">
          <cell r="A95" t="str">
            <v>90+</v>
          </cell>
          <cell r="B95">
            <v>80</v>
          </cell>
          <cell r="C95" t="str">
            <v>Kabaeva Svetlana/65</v>
          </cell>
          <cell r="D95" t="str">
            <v>RUS</v>
          </cell>
          <cell r="E95">
            <v>40640</v>
          </cell>
          <cell r="F95" t="str">
            <v>Chelyabinsk</v>
          </cell>
        </row>
        <row r="96">
          <cell r="B96" t="str">
            <v>М3  (50-54)</v>
          </cell>
        </row>
        <row r="97">
          <cell r="A97">
            <v>44</v>
          </cell>
          <cell r="B97"/>
          <cell r="C97"/>
          <cell r="D97"/>
          <cell r="E97"/>
          <cell r="F97"/>
        </row>
        <row r="98">
          <cell r="A98">
            <v>48</v>
          </cell>
          <cell r="B98"/>
          <cell r="C98"/>
          <cell r="D98"/>
          <cell r="E98"/>
          <cell r="F98"/>
        </row>
        <row r="99">
          <cell r="A99">
            <v>52</v>
          </cell>
          <cell r="B99">
            <v>55</v>
          </cell>
          <cell r="C99" t="str">
            <v>Telegina Tatyana/61</v>
          </cell>
          <cell r="D99" t="str">
            <v>RUS</v>
          </cell>
          <cell r="E99">
            <v>41137</v>
          </cell>
          <cell r="F99" t="str">
            <v>Novosibirsk</v>
          </cell>
        </row>
        <row r="100">
          <cell r="A100">
            <v>56</v>
          </cell>
          <cell r="B100"/>
          <cell r="C100"/>
          <cell r="D100"/>
          <cell r="E100"/>
          <cell r="F100"/>
        </row>
        <row r="101">
          <cell r="A101">
            <v>60</v>
          </cell>
          <cell r="B101">
            <v>42.5</v>
          </cell>
          <cell r="C101" t="str">
            <v>Shariy Vera/57</v>
          </cell>
          <cell r="D101" t="str">
            <v>RUS</v>
          </cell>
          <cell r="E101">
            <v>39724</v>
          </cell>
          <cell r="F101" t="str">
            <v>Yekaterinbourgh</v>
          </cell>
        </row>
        <row r="102">
          <cell r="A102">
            <v>67.5</v>
          </cell>
          <cell r="B102"/>
          <cell r="C102"/>
          <cell r="D102"/>
          <cell r="E102"/>
          <cell r="F102"/>
        </row>
        <row r="103">
          <cell r="A103">
            <v>75</v>
          </cell>
          <cell r="B103">
            <v>65</v>
          </cell>
          <cell r="C103" t="str">
            <v>Sheremenko Svitlana/59</v>
          </cell>
          <cell r="D103" t="str">
            <v>RUS</v>
          </cell>
          <cell r="E103">
            <v>39983</v>
          </cell>
          <cell r="F103" t="str">
            <v>Ternopil'</v>
          </cell>
        </row>
        <row r="104">
          <cell r="A104">
            <v>82.5</v>
          </cell>
          <cell r="B104">
            <v>90</v>
          </cell>
          <cell r="C104" t="str">
            <v>Tsukanova Natalya/56</v>
          </cell>
          <cell r="D104" t="str">
            <v>UKR</v>
          </cell>
          <cell r="E104">
            <v>39983</v>
          </cell>
          <cell r="F104" t="str">
            <v>Ternopil'</v>
          </cell>
        </row>
        <row r="105">
          <cell r="A105">
            <v>90</v>
          </cell>
          <cell r="B105">
            <v>52.5</v>
          </cell>
          <cell r="C105" t="str">
            <v>Gavrilova Olga/60</v>
          </cell>
          <cell r="D105" t="str">
            <v>RUS</v>
          </cell>
          <cell r="E105">
            <v>41619</v>
          </cell>
          <cell r="F105" t="str">
            <v>Kursk</v>
          </cell>
        </row>
        <row r="106">
          <cell r="A106" t="str">
            <v>90+</v>
          </cell>
          <cell r="B106"/>
          <cell r="C106"/>
          <cell r="D106"/>
          <cell r="E106"/>
          <cell r="F106"/>
        </row>
        <row r="107">
          <cell r="B107"/>
          <cell r="C107"/>
          <cell r="D107"/>
          <cell r="E107"/>
          <cell r="F107"/>
        </row>
        <row r="108">
          <cell r="B108" t="str">
            <v>М4 (55-59)</v>
          </cell>
        </row>
        <row r="109">
          <cell r="A109">
            <v>44</v>
          </cell>
          <cell r="B109"/>
          <cell r="C109"/>
          <cell r="D109"/>
          <cell r="E109"/>
          <cell r="F109"/>
        </row>
        <row r="110">
          <cell r="A110">
            <v>48</v>
          </cell>
          <cell r="B110"/>
          <cell r="C110"/>
          <cell r="D110"/>
          <cell r="E110"/>
          <cell r="F110"/>
        </row>
        <row r="111">
          <cell r="A111">
            <v>52</v>
          </cell>
          <cell r="B111"/>
          <cell r="C111"/>
          <cell r="D111"/>
          <cell r="E111"/>
          <cell r="F111"/>
        </row>
        <row r="112">
          <cell r="A112">
            <v>56</v>
          </cell>
          <cell r="B112"/>
          <cell r="C112"/>
          <cell r="D112"/>
          <cell r="E112"/>
          <cell r="F112"/>
        </row>
        <row r="113">
          <cell r="A113">
            <v>60</v>
          </cell>
          <cell r="B113"/>
          <cell r="C113"/>
          <cell r="D113"/>
          <cell r="E113"/>
          <cell r="F113"/>
        </row>
        <row r="114">
          <cell r="A114">
            <v>67.5</v>
          </cell>
          <cell r="B114">
            <v>55</v>
          </cell>
          <cell r="C114" t="str">
            <v>Kryshtaleva Alla/56</v>
          </cell>
          <cell r="D114" t="str">
            <v>UKR</v>
          </cell>
          <cell r="E114">
            <v>41128</v>
          </cell>
          <cell r="F114" t="str">
            <v>Kryvyi Rig</v>
          </cell>
        </row>
        <row r="115">
          <cell r="A115">
            <v>75</v>
          </cell>
          <cell r="B115"/>
          <cell r="C115"/>
          <cell r="D115"/>
          <cell r="E115"/>
          <cell r="F115"/>
        </row>
        <row r="116">
          <cell r="A116">
            <v>82.5</v>
          </cell>
          <cell r="B116"/>
          <cell r="C116"/>
          <cell r="D116"/>
          <cell r="E116"/>
          <cell r="F116"/>
        </row>
        <row r="117">
          <cell r="A117">
            <v>90</v>
          </cell>
          <cell r="B117"/>
          <cell r="C117"/>
          <cell r="D117"/>
          <cell r="E117"/>
          <cell r="F117"/>
        </row>
        <row r="118">
          <cell r="A118" t="str">
            <v>90+</v>
          </cell>
          <cell r="B118"/>
          <cell r="C118"/>
          <cell r="D118"/>
          <cell r="E118"/>
          <cell r="F118"/>
        </row>
        <row r="119">
          <cell r="B119" t="str">
            <v>М5  (60-64)</v>
          </cell>
        </row>
        <row r="120">
          <cell r="A120">
            <v>44</v>
          </cell>
          <cell r="B120"/>
          <cell r="C120"/>
          <cell r="D120"/>
          <cell r="E120"/>
          <cell r="F120"/>
        </row>
        <row r="121">
          <cell r="A121">
            <v>48</v>
          </cell>
          <cell r="B121"/>
          <cell r="C121"/>
          <cell r="D121"/>
          <cell r="E121"/>
          <cell r="F121"/>
        </row>
        <row r="122">
          <cell r="A122">
            <v>52</v>
          </cell>
          <cell r="B122"/>
          <cell r="C122"/>
          <cell r="D122"/>
          <cell r="E122"/>
          <cell r="F122"/>
        </row>
        <row r="123">
          <cell r="A123">
            <v>56</v>
          </cell>
          <cell r="B123"/>
          <cell r="C123"/>
          <cell r="D123"/>
          <cell r="E123"/>
          <cell r="F123"/>
        </row>
        <row r="124">
          <cell r="A124">
            <v>60</v>
          </cell>
          <cell r="B124">
            <v>45</v>
          </cell>
          <cell r="C124" t="str">
            <v>Kondratyeva Galina/52</v>
          </cell>
          <cell r="D124" t="str">
            <v>RUS</v>
          </cell>
          <cell r="E124">
            <v>41067</v>
          </cell>
          <cell r="F124" t="str">
            <v>Moscow</v>
          </cell>
        </row>
        <row r="125">
          <cell r="A125">
            <v>67.5</v>
          </cell>
          <cell r="B125"/>
          <cell r="C125"/>
          <cell r="D125"/>
          <cell r="E125"/>
          <cell r="F125"/>
        </row>
        <row r="126">
          <cell r="A126">
            <v>75</v>
          </cell>
          <cell r="B126"/>
          <cell r="C126"/>
          <cell r="D126"/>
          <cell r="E126"/>
          <cell r="F126"/>
        </row>
        <row r="127">
          <cell r="A127">
            <v>82.5</v>
          </cell>
          <cell r="B127"/>
          <cell r="C127"/>
          <cell r="D127"/>
          <cell r="E127"/>
          <cell r="F127"/>
        </row>
        <row r="128">
          <cell r="A128">
            <v>90</v>
          </cell>
          <cell r="B128"/>
          <cell r="C128"/>
          <cell r="D128"/>
          <cell r="E128"/>
          <cell r="F128"/>
        </row>
        <row r="129">
          <cell r="A129" t="str">
            <v>90+</v>
          </cell>
          <cell r="B129"/>
          <cell r="C129"/>
          <cell r="D129"/>
          <cell r="E129"/>
          <cell r="F129"/>
        </row>
        <row r="130">
          <cell r="B130" t="str">
            <v>М8  (75-79)</v>
          </cell>
        </row>
        <row r="131">
          <cell r="A131">
            <v>44</v>
          </cell>
          <cell r="B131"/>
          <cell r="C131"/>
          <cell r="D131"/>
          <cell r="E131"/>
          <cell r="F131"/>
        </row>
        <row r="132">
          <cell r="A132">
            <v>48</v>
          </cell>
          <cell r="B132"/>
          <cell r="C132"/>
          <cell r="D132"/>
          <cell r="E132"/>
          <cell r="F132"/>
        </row>
        <row r="133">
          <cell r="A133">
            <v>52</v>
          </cell>
          <cell r="B133"/>
          <cell r="C133"/>
          <cell r="D133"/>
          <cell r="E133"/>
          <cell r="F133"/>
        </row>
        <row r="134">
          <cell r="A134">
            <v>56</v>
          </cell>
          <cell r="B134"/>
          <cell r="C134"/>
          <cell r="D134"/>
          <cell r="E134"/>
          <cell r="F134"/>
        </row>
        <row r="135">
          <cell r="A135">
            <v>60</v>
          </cell>
          <cell r="B135"/>
          <cell r="C135"/>
          <cell r="D135"/>
          <cell r="E135"/>
          <cell r="F135"/>
        </row>
        <row r="136">
          <cell r="A136">
            <v>67.5</v>
          </cell>
          <cell r="B136"/>
          <cell r="C136"/>
          <cell r="D136"/>
          <cell r="E136"/>
          <cell r="F136"/>
        </row>
        <row r="137">
          <cell r="A137">
            <v>75</v>
          </cell>
          <cell r="B137">
            <v>46</v>
          </cell>
          <cell r="C137" t="str">
            <v>Tsverova Galina/31</v>
          </cell>
          <cell r="D137" t="str">
            <v>RUS</v>
          </cell>
          <cell r="E137">
            <v>40088</v>
          </cell>
          <cell r="F137" t="str">
            <v>Rostov</v>
          </cell>
        </row>
        <row r="138">
          <cell r="A138">
            <v>82.5</v>
          </cell>
          <cell r="B138"/>
          <cell r="C138"/>
          <cell r="D138"/>
          <cell r="E138"/>
          <cell r="F138"/>
        </row>
        <row r="139">
          <cell r="A139">
            <v>90</v>
          </cell>
          <cell r="B139"/>
          <cell r="C139"/>
          <cell r="D139"/>
          <cell r="E139"/>
          <cell r="F139"/>
        </row>
        <row r="140">
          <cell r="A140" t="str">
            <v>90+</v>
          </cell>
          <cell r="B140"/>
          <cell r="C140"/>
          <cell r="D140"/>
          <cell r="E140"/>
          <cell r="F140"/>
        </row>
        <row r="141">
          <cell r="B141" t="str">
            <v>М9  (80-84)</v>
          </cell>
        </row>
        <row r="142">
          <cell r="A142">
            <v>44</v>
          </cell>
          <cell r="B142"/>
          <cell r="C142"/>
          <cell r="D142"/>
          <cell r="E142"/>
          <cell r="F142"/>
        </row>
        <row r="143">
          <cell r="A143">
            <v>48</v>
          </cell>
          <cell r="B143"/>
          <cell r="C143"/>
          <cell r="D143"/>
          <cell r="E143"/>
          <cell r="F143"/>
        </row>
        <row r="144">
          <cell r="A144">
            <v>52</v>
          </cell>
          <cell r="B144"/>
          <cell r="C144"/>
          <cell r="D144"/>
          <cell r="E144"/>
          <cell r="F144"/>
        </row>
        <row r="145">
          <cell r="A145">
            <v>56</v>
          </cell>
          <cell r="B145"/>
          <cell r="C145"/>
          <cell r="D145"/>
          <cell r="E145"/>
          <cell r="F145"/>
        </row>
        <row r="146">
          <cell r="A146">
            <v>60</v>
          </cell>
          <cell r="B146"/>
          <cell r="C146"/>
          <cell r="D146"/>
          <cell r="E146"/>
          <cell r="F146"/>
        </row>
        <row r="147">
          <cell r="A147">
            <v>67.5</v>
          </cell>
          <cell r="B147"/>
          <cell r="C147"/>
          <cell r="D147"/>
          <cell r="E147"/>
          <cell r="F147"/>
        </row>
        <row r="148">
          <cell r="A148">
            <v>75</v>
          </cell>
          <cell r="B148">
            <v>50</v>
          </cell>
          <cell r="C148" t="str">
            <v>Tsverova Galina/31</v>
          </cell>
          <cell r="D148" t="str">
            <v>RUS</v>
          </cell>
          <cell r="E148">
            <v>41201</v>
          </cell>
          <cell r="F148" t="str">
            <v>Krasnodar</v>
          </cell>
        </row>
        <row r="149">
          <cell r="A149">
            <v>82.5</v>
          </cell>
          <cell r="B149"/>
          <cell r="C149"/>
          <cell r="D149"/>
          <cell r="E149"/>
          <cell r="F149"/>
        </row>
        <row r="150">
          <cell r="A150">
            <v>90</v>
          </cell>
          <cell r="B150"/>
          <cell r="C150"/>
          <cell r="D150"/>
          <cell r="E150"/>
          <cell r="F150"/>
        </row>
        <row r="151">
          <cell r="A151" t="str">
            <v>90+</v>
          </cell>
          <cell r="B151"/>
          <cell r="C151"/>
          <cell r="D151"/>
          <cell r="E151"/>
          <cell r="F151"/>
        </row>
        <row r="152">
          <cell r="E152"/>
        </row>
        <row r="153">
          <cell r="E153"/>
        </row>
        <row r="154">
          <cell r="E154"/>
        </row>
        <row r="155">
          <cell r="E155"/>
        </row>
        <row r="156">
          <cell r="E156"/>
        </row>
        <row r="157">
          <cell r="E157"/>
        </row>
        <row r="158">
          <cell r="E158"/>
        </row>
      </sheetData>
      <sheetData sheetId="1">
        <row r="1">
          <cell r="B1" t="str">
            <v>AWPC BP Raw  - Europe</v>
          </cell>
          <cell r="C1"/>
          <cell r="D1"/>
          <cell r="E1"/>
          <cell r="F1"/>
        </row>
        <row r="2">
          <cell r="B2" t="str">
            <v>T1  (13 - 15)</v>
          </cell>
        </row>
        <row r="3">
          <cell r="A3">
            <v>52</v>
          </cell>
          <cell r="B3">
            <v>82.5</v>
          </cell>
          <cell r="C3" t="str">
            <v>Starilov Vitaly/94</v>
          </cell>
          <cell r="D3" t="str">
            <v>RUS</v>
          </cell>
          <cell r="E3">
            <v>40257</v>
          </cell>
          <cell r="F3" t="str">
            <v>Kursk</v>
          </cell>
        </row>
        <row r="4">
          <cell r="A4">
            <v>56</v>
          </cell>
          <cell r="B4">
            <v>92.5</v>
          </cell>
          <cell r="C4" t="str">
            <v>Kudryavtsev Ivan/93</v>
          </cell>
          <cell r="D4" t="str">
            <v>RUS</v>
          </cell>
          <cell r="E4">
            <v>39871</v>
          </cell>
          <cell r="F4" t="str">
            <v>Chelyabinsk</v>
          </cell>
        </row>
        <row r="5">
          <cell r="A5">
            <v>60</v>
          </cell>
          <cell r="B5">
            <v>105</v>
          </cell>
          <cell r="C5" t="str">
            <v>Yazovskikh Yaroslav/97</v>
          </cell>
          <cell r="D5" t="str">
            <v>RUS</v>
          </cell>
          <cell r="E5">
            <v>40814</v>
          </cell>
          <cell r="F5" t="str">
            <v>Yekaterinbourg</v>
          </cell>
        </row>
        <row r="6">
          <cell r="A6" t="str">
            <v>67.5</v>
          </cell>
          <cell r="B6">
            <v>112.5</v>
          </cell>
          <cell r="C6" t="str">
            <v>Yung Alexander/97</v>
          </cell>
          <cell r="D6" t="str">
            <v>RUS</v>
          </cell>
          <cell r="E6">
            <v>41503</v>
          </cell>
          <cell r="F6" t="str">
            <v>Novosibirsk</v>
          </cell>
        </row>
        <row r="7">
          <cell r="A7">
            <v>75</v>
          </cell>
          <cell r="B7">
            <v>115</v>
          </cell>
          <cell r="C7" t="str">
            <v>Belov Nikolai/97</v>
          </cell>
          <cell r="D7" t="str">
            <v>UKR</v>
          </cell>
          <cell r="E7">
            <v>41370</v>
          </cell>
          <cell r="F7" t="str">
            <v>Kryvyi Rig</v>
          </cell>
        </row>
        <row r="8">
          <cell r="A8">
            <v>82.5</v>
          </cell>
          <cell r="B8">
            <v>115</v>
          </cell>
          <cell r="C8" t="str">
            <v>Zhukov Igor/93</v>
          </cell>
          <cell r="D8" t="str">
            <v>RUS</v>
          </cell>
          <cell r="E8">
            <v>39871</v>
          </cell>
          <cell r="F8" t="str">
            <v>Chelyabinsk</v>
          </cell>
        </row>
        <row r="9">
          <cell r="A9">
            <v>90</v>
          </cell>
          <cell r="B9">
            <v>130</v>
          </cell>
          <cell r="C9" t="str">
            <v>Bukharin Alexander/99</v>
          </cell>
          <cell r="D9" t="str">
            <v>RUS</v>
          </cell>
          <cell r="E9">
            <v>41496</v>
          </cell>
          <cell r="F9" t="str">
            <v>Kursk</v>
          </cell>
        </row>
        <row r="10">
          <cell r="A10">
            <v>100</v>
          </cell>
          <cell r="B10">
            <v>145</v>
          </cell>
          <cell r="C10" t="str">
            <v>Bukharin Alexander/99</v>
          </cell>
          <cell r="D10" t="str">
            <v>RUS</v>
          </cell>
          <cell r="E10" t="str">
            <v>22.08.2014</v>
          </cell>
          <cell r="F10" t="str">
            <v>Moscow</v>
          </cell>
        </row>
        <row r="11">
          <cell r="A11">
            <v>110</v>
          </cell>
          <cell r="B11">
            <v>117.5</v>
          </cell>
          <cell r="C11" t="str">
            <v>Pysarenko Sergiy/96</v>
          </cell>
          <cell r="D11" t="str">
            <v>UKR</v>
          </cell>
          <cell r="E11">
            <v>40985</v>
          </cell>
          <cell r="F11" t="str">
            <v>Kryvyi Rig</v>
          </cell>
        </row>
        <row r="12">
          <cell r="A12">
            <v>125</v>
          </cell>
          <cell r="B12">
            <v>130</v>
          </cell>
          <cell r="C12" t="str">
            <v>Pysarenko Sergiy/96</v>
          </cell>
          <cell r="D12" t="str">
            <v>UKR</v>
          </cell>
          <cell r="E12">
            <v>41129</v>
          </cell>
          <cell r="F12" t="str">
            <v>Kryvyi Rig</v>
          </cell>
        </row>
        <row r="13">
          <cell r="A13">
            <v>140</v>
          </cell>
          <cell r="B13"/>
          <cell r="C13"/>
          <cell r="D13"/>
          <cell r="E13"/>
          <cell r="F13"/>
        </row>
        <row r="14">
          <cell r="A14" t="str">
            <v>140+</v>
          </cell>
          <cell r="B14"/>
          <cell r="C14"/>
          <cell r="D14"/>
          <cell r="E14"/>
          <cell r="F14"/>
        </row>
        <row r="16">
          <cell r="B16" t="str">
            <v>T2  (16 - 17)</v>
          </cell>
          <cell r="F16"/>
        </row>
        <row r="17">
          <cell r="A17">
            <v>52</v>
          </cell>
          <cell r="B17">
            <v>85</v>
          </cell>
          <cell r="C17" t="str">
            <v>Gorelkin Ivan/94</v>
          </cell>
          <cell r="D17" t="str">
            <v>RUS</v>
          </cell>
          <cell r="E17">
            <v>40769</v>
          </cell>
          <cell r="F17" t="str">
            <v>Kursk</v>
          </cell>
        </row>
        <row r="18">
          <cell r="A18">
            <v>56</v>
          </cell>
          <cell r="B18">
            <v>110</v>
          </cell>
          <cell r="C18" t="str">
            <v>Istomin Alexei/96</v>
          </cell>
          <cell r="D18" t="str">
            <v>RUS</v>
          </cell>
          <cell r="E18">
            <v>41720</v>
          </cell>
          <cell r="F18" t="str">
            <v>Vologda</v>
          </cell>
        </row>
        <row r="19">
          <cell r="A19">
            <v>60</v>
          </cell>
          <cell r="B19">
            <v>125</v>
          </cell>
          <cell r="C19" t="str">
            <v>Nabiyev Yashar/90</v>
          </cell>
          <cell r="D19" t="str">
            <v>RUS</v>
          </cell>
          <cell r="E19">
            <v>39528</v>
          </cell>
          <cell r="F19" t="str">
            <v>Rostov</v>
          </cell>
        </row>
        <row r="20">
          <cell r="A20" t="str">
            <v>67.5</v>
          </cell>
          <cell r="B20">
            <v>145</v>
          </cell>
          <cell r="C20" t="str">
            <v>Nazarenko Alexei/89</v>
          </cell>
          <cell r="D20" t="str">
            <v>RUS</v>
          </cell>
          <cell r="E20">
            <v>39123</v>
          </cell>
          <cell r="F20" t="str">
            <v>Chelyabinsk</v>
          </cell>
        </row>
        <row r="21">
          <cell r="A21">
            <v>75</v>
          </cell>
          <cell r="B21">
            <v>140</v>
          </cell>
          <cell r="C21" t="str">
            <v>Tonkoglaz Vladimir/96</v>
          </cell>
          <cell r="D21" t="str">
            <v>RUS</v>
          </cell>
          <cell r="E21">
            <v>41566</v>
          </cell>
          <cell r="F21" t="str">
            <v>Krasnodar</v>
          </cell>
        </row>
        <row r="22">
          <cell r="A22" t="str">
            <v>82.5</v>
          </cell>
          <cell r="B22">
            <v>160</v>
          </cell>
          <cell r="C22" t="str">
            <v>Grigoryan Arman/94</v>
          </cell>
          <cell r="D22" t="str">
            <v>RUS</v>
          </cell>
          <cell r="E22">
            <v>40769</v>
          </cell>
          <cell r="F22" t="str">
            <v>Kursk</v>
          </cell>
        </row>
        <row r="23">
          <cell r="A23">
            <v>90</v>
          </cell>
          <cell r="B23">
            <v>155</v>
          </cell>
          <cell r="C23" t="str">
            <v>Zaborovsky Georgy/92</v>
          </cell>
          <cell r="D23" t="str">
            <v>RUS</v>
          </cell>
          <cell r="E23">
            <v>40088</v>
          </cell>
          <cell r="F23" t="str">
            <v>Rostov</v>
          </cell>
        </row>
        <row r="24">
          <cell r="A24">
            <v>100</v>
          </cell>
          <cell r="B24">
            <v>175</v>
          </cell>
          <cell r="C24" t="str">
            <v>Vovk Dmytro/96</v>
          </cell>
          <cell r="D24" t="str">
            <v>UKR</v>
          </cell>
          <cell r="E24">
            <v>41370</v>
          </cell>
          <cell r="F24" t="str">
            <v>Kryvyi Rig</v>
          </cell>
        </row>
        <row r="25">
          <cell r="A25">
            <v>110</v>
          </cell>
          <cell r="B25">
            <v>155</v>
          </cell>
          <cell r="C25" t="str">
            <v>Petrov Yevgeniy/96</v>
          </cell>
          <cell r="D25" t="str">
            <v>RUS</v>
          </cell>
          <cell r="E25" t="str">
            <v>22.08.2014</v>
          </cell>
          <cell r="F25" t="str">
            <v>Moscow</v>
          </cell>
        </row>
        <row r="26">
          <cell r="A26">
            <v>125</v>
          </cell>
          <cell r="B26">
            <v>150</v>
          </cell>
          <cell r="C26" t="str">
            <v>Yumatov Alexander/89</v>
          </cell>
          <cell r="D26" t="str">
            <v>RUS</v>
          </cell>
          <cell r="E26">
            <v>39312</v>
          </cell>
          <cell r="F26" t="str">
            <v>Kursk</v>
          </cell>
        </row>
        <row r="27">
          <cell r="A27">
            <v>140</v>
          </cell>
          <cell r="B27"/>
          <cell r="C27"/>
          <cell r="D27"/>
          <cell r="E27"/>
          <cell r="F27"/>
        </row>
        <row r="28">
          <cell r="A28" t="str">
            <v>140+</v>
          </cell>
          <cell r="B28">
            <v>107.5</v>
          </cell>
          <cell r="C28" t="str">
            <v>Savenkov Kirill/95</v>
          </cell>
          <cell r="D28" t="str">
            <v>RUS</v>
          </cell>
          <cell r="E28">
            <v>41137</v>
          </cell>
          <cell r="F28" t="str">
            <v>Novosibirsk</v>
          </cell>
        </row>
        <row r="29">
          <cell r="B29"/>
          <cell r="C29"/>
          <cell r="D29"/>
          <cell r="E29"/>
          <cell r="F29"/>
        </row>
        <row r="30">
          <cell r="B30" t="str">
            <v>T3  (18 - 19)</v>
          </cell>
          <cell r="F30"/>
        </row>
        <row r="31">
          <cell r="A31">
            <v>52</v>
          </cell>
          <cell r="B31">
            <v>105</v>
          </cell>
          <cell r="C31" t="str">
            <v>Sergeyev Sergei/90</v>
          </cell>
          <cell r="D31" t="str">
            <v>RUS</v>
          </cell>
          <cell r="E31">
            <v>39528</v>
          </cell>
          <cell r="F31" t="str">
            <v>Rostov</v>
          </cell>
        </row>
        <row r="32">
          <cell r="A32">
            <v>56</v>
          </cell>
          <cell r="B32">
            <v>122.5</v>
          </cell>
          <cell r="C32" t="str">
            <v>Malyshev Andrei/94</v>
          </cell>
          <cell r="D32" t="str">
            <v>RUS</v>
          </cell>
          <cell r="E32">
            <v>41586</v>
          </cell>
          <cell r="F32" t="str">
            <v>Vologda</v>
          </cell>
        </row>
        <row r="33">
          <cell r="A33">
            <v>60</v>
          </cell>
          <cell r="B33">
            <v>140</v>
          </cell>
          <cell r="C33" t="str">
            <v>Bragin Sergiy/91</v>
          </cell>
          <cell r="D33" t="str">
            <v>UKR</v>
          </cell>
          <cell r="E33">
            <v>40088</v>
          </cell>
          <cell r="F33" t="str">
            <v>Rostov</v>
          </cell>
        </row>
        <row r="34">
          <cell r="A34" t="str">
            <v>67.5</v>
          </cell>
          <cell r="B34">
            <v>150</v>
          </cell>
          <cell r="C34" t="str">
            <v>Nazarenko Alexei/89</v>
          </cell>
          <cell r="D34" t="str">
            <v>RUS</v>
          </cell>
          <cell r="E34">
            <v>39312</v>
          </cell>
          <cell r="F34" t="str">
            <v>Kursk</v>
          </cell>
        </row>
        <row r="35">
          <cell r="A35">
            <v>75</v>
          </cell>
          <cell r="B35">
            <v>160</v>
          </cell>
          <cell r="C35" t="str">
            <v>Hadziev Vakha/94</v>
          </cell>
          <cell r="D35" t="str">
            <v>RUS</v>
          </cell>
          <cell r="E35" t="str">
            <v>22.08.2014</v>
          </cell>
          <cell r="F35" t="str">
            <v xml:space="preserve">Moscow </v>
          </cell>
        </row>
        <row r="36">
          <cell r="A36" t="str">
            <v>82.5</v>
          </cell>
          <cell r="B36">
            <v>175</v>
          </cell>
          <cell r="C36" t="str">
            <v>Dronov Bogdan/94</v>
          </cell>
          <cell r="D36" t="str">
            <v>RUS</v>
          </cell>
          <cell r="E36">
            <v>41438</v>
          </cell>
          <cell r="F36" t="str">
            <v xml:space="preserve">Moscow </v>
          </cell>
        </row>
        <row r="37">
          <cell r="A37">
            <v>90</v>
          </cell>
          <cell r="B37">
            <v>191</v>
          </cell>
          <cell r="C37" t="str">
            <v>Grigoryan Armand/94</v>
          </cell>
          <cell r="D37" t="str">
            <v>RUS</v>
          </cell>
          <cell r="E37">
            <v>41129</v>
          </cell>
          <cell r="F37" t="str">
            <v>Kryvyi Rig</v>
          </cell>
        </row>
        <row r="38">
          <cell r="A38">
            <v>100</v>
          </cell>
          <cell r="B38">
            <v>165</v>
          </cell>
          <cell r="C38" t="str">
            <v>Ryasnoy Danylo/92</v>
          </cell>
          <cell r="D38" t="str">
            <v>UKR</v>
          </cell>
          <cell r="E38">
            <v>40628</v>
          </cell>
          <cell r="F38" t="str">
            <v>Kryvyi Rig</v>
          </cell>
        </row>
        <row r="39">
          <cell r="A39">
            <v>110</v>
          </cell>
          <cell r="B39">
            <v>207.5</v>
          </cell>
          <cell r="C39" t="str">
            <v>Yuzhakov Anton/93</v>
          </cell>
          <cell r="D39" t="str">
            <v>UKR</v>
          </cell>
          <cell r="E39">
            <v>41129</v>
          </cell>
          <cell r="F39" t="str">
            <v>Kryvyi Rig</v>
          </cell>
        </row>
        <row r="40">
          <cell r="A40">
            <v>125</v>
          </cell>
          <cell r="B40">
            <v>202.5</v>
          </cell>
          <cell r="C40" t="str">
            <v>Sheremetyev Maxim/94</v>
          </cell>
          <cell r="D40" t="str">
            <v>RUS</v>
          </cell>
          <cell r="E40" t="str">
            <v>22.08.2014</v>
          </cell>
          <cell r="F40" t="str">
            <v xml:space="preserve">Moscow </v>
          </cell>
        </row>
        <row r="41">
          <cell r="A41">
            <v>140</v>
          </cell>
          <cell r="B41"/>
          <cell r="C41"/>
          <cell r="D41"/>
          <cell r="E41"/>
          <cell r="F41"/>
        </row>
        <row r="42">
          <cell r="A42" t="str">
            <v>140+</v>
          </cell>
          <cell r="B42">
            <v>150</v>
          </cell>
          <cell r="C42" t="str">
            <v>Apalkov Yaroslav/93</v>
          </cell>
          <cell r="D42" t="str">
            <v>UKR</v>
          </cell>
          <cell r="E42">
            <v>40985</v>
          </cell>
          <cell r="F42" t="str">
            <v>Kryvyi Rig</v>
          </cell>
        </row>
        <row r="43">
          <cell r="B43"/>
          <cell r="C43"/>
          <cell r="D43"/>
          <cell r="E43"/>
          <cell r="F43"/>
        </row>
        <row r="44">
          <cell r="B44" t="str">
            <v>Junior  (20 - 23)</v>
          </cell>
          <cell r="F44"/>
        </row>
        <row r="45">
          <cell r="A45">
            <v>52</v>
          </cell>
          <cell r="B45">
            <v>110</v>
          </cell>
          <cell r="C45" t="str">
            <v>Roslyakov Roman/88</v>
          </cell>
          <cell r="D45" t="str">
            <v>RUS</v>
          </cell>
          <cell r="E45">
            <v>40640</v>
          </cell>
          <cell r="F45" t="str">
            <v>Chelyabinsk</v>
          </cell>
        </row>
        <row r="46">
          <cell r="A46">
            <v>56</v>
          </cell>
          <cell r="B46">
            <v>130</v>
          </cell>
          <cell r="C46" t="str">
            <v>Karaziya Sergei/87</v>
          </cell>
          <cell r="D46" t="str">
            <v>RUS</v>
          </cell>
          <cell r="E46">
            <v>40409</v>
          </cell>
          <cell r="F46" t="str">
            <v>Moscow</v>
          </cell>
        </row>
        <row r="47">
          <cell r="A47">
            <v>60</v>
          </cell>
          <cell r="B47">
            <v>135</v>
          </cell>
          <cell r="C47" t="str">
            <v>Kirilov Anton/86</v>
          </cell>
          <cell r="D47" t="str">
            <v>RUS</v>
          </cell>
          <cell r="E47">
            <v>40409</v>
          </cell>
          <cell r="F47" t="str">
            <v>Moscow</v>
          </cell>
        </row>
        <row r="48">
          <cell r="A48" t="str">
            <v>67.5</v>
          </cell>
          <cell r="B48">
            <v>160</v>
          </cell>
          <cell r="C48" t="str">
            <v>Maklakov Alexei/92</v>
          </cell>
          <cell r="D48" t="str">
            <v>RUS</v>
          </cell>
          <cell r="E48" t="str">
            <v>08.02.2014</v>
          </cell>
          <cell r="F48" t="str">
            <v>Yekaterinburg</v>
          </cell>
        </row>
        <row r="49">
          <cell r="A49">
            <v>75</v>
          </cell>
          <cell r="B49">
            <v>182.5</v>
          </cell>
          <cell r="C49" t="str">
            <v>Bogdanov Maxim/92</v>
          </cell>
          <cell r="D49" t="str">
            <v>RUS</v>
          </cell>
          <cell r="E49" t="str">
            <v>23.08.2014</v>
          </cell>
          <cell r="F49" t="str">
            <v>Krasnodar</v>
          </cell>
        </row>
        <row r="50">
          <cell r="A50" t="str">
            <v>82.5</v>
          </cell>
          <cell r="B50">
            <v>178</v>
          </cell>
          <cell r="C50" t="str">
            <v>Zhitomirskiy Yevgeniy/92</v>
          </cell>
          <cell r="D50" t="str">
            <v>RUS</v>
          </cell>
          <cell r="E50" t="str">
            <v>23.08.2014</v>
          </cell>
          <cell r="F50" t="str">
            <v>Moscow</v>
          </cell>
        </row>
        <row r="51">
          <cell r="A51">
            <v>90</v>
          </cell>
          <cell r="B51">
            <v>202.5</v>
          </cell>
          <cell r="C51" t="str">
            <v>Yusupov Khasan/89</v>
          </cell>
          <cell r="D51" t="str">
            <v>RUS</v>
          </cell>
          <cell r="E51">
            <v>41439</v>
          </cell>
          <cell r="F51" t="str">
            <v>Moscow</v>
          </cell>
        </row>
        <row r="52">
          <cell r="A52">
            <v>100</v>
          </cell>
          <cell r="B52">
            <v>197.5</v>
          </cell>
          <cell r="C52" t="str">
            <v>Lytvynenko Dmytro/89</v>
          </cell>
          <cell r="D52" t="str">
            <v>UKR</v>
          </cell>
          <cell r="E52">
            <v>41370</v>
          </cell>
          <cell r="F52" t="str">
            <v>Kryvyi Rig</v>
          </cell>
        </row>
        <row r="53">
          <cell r="A53">
            <v>110</v>
          </cell>
          <cell r="B53">
            <v>220</v>
          </cell>
          <cell r="C53" t="str">
            <v>Darsht Alexander/87</v>
          </cell>
          <cell r="D53" t="str">
            <v>RUS</v>
          </cell>
          <cell r="E53">
            <v>39871</v>
          </cell>
          <cell r="F53" t="str">
            <v>Chelyabinsk</v>
          </cell>
        </row>
        <row r="54">
          <cell r="A54">
            <v>125</v>
          </cell>
          <cell r="B54">
            <v>215</v>
          </cell>
          <cell r="C54" t="str">
            <v>Serbin Anatoliy/90</v>
          </cell>
          <cell r="D54" t="str">
            <v>RUS</v>
          </cell>
          <cell r="E54">
            <v>41201</v>
          </cell>
          <cell r="F54" t="str">
            <v>Krasnodar</v>
          </cell>
        </row>
        <row r="55">
          <cell r="A55">
            <v>140</v>
          </cell>
          <cell r="B55">
            <v>205</v>
          </cell>
          <cell r="C55" t="str">
            <v>Pavlenko Andriy/89</v>
          </cell>
          <cell r="D55" t="str">
            <v>UKR</v>
          </cell>
          <cell r="E55">
            <v>41129</v>
          </cell>
          <cell r="F55" t="str">
            <v>Kryvyi Rig</v>
          </cell>
        </row>
        <row r="56">
          <cell r="A56" t="str">
            <v>140+</v>
          </cell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 t="str">
            <v>MEN OPEN</v>
          </cell>
          <cell r="F58"/>
        </row>
        <row r="59">
          <cell r="A59">
            <v>52</v>
          </cell>
          <cell r="B59">
            <v>117.5</v>
          </cell>
          <cell r="C59" t="str">
            <v>Artemyev Igor/71</v>
          </cell>
          <cell r="D59" t="str">
            <v>RUS</v>
          </cell>
          <cell r="E59">
            <v>40088</v>
          </cell>
          <cell r="F59" t="str">
            <v>Rostov</v>
          </cell>
        </row>
        <row r="60">
          <cell r="A60">
            <v>56</v>
          </cell>
          <cell r="B60">
            <v>155</v>
          </cell>
          <cell r="C60" t="str">
            <v>Karaziya Sergei/87</v>
          </cell>
          <cell r="D60" t="str">
            <v>RUS</v>
          </cell>
          <cell r="E60" t="str">
            <v>22.08.2014</v>
          </cell>
          <cell r="F60" t="str">
            <v>Moscow</v>
          </cell>
        </row>
        <row r="61">
          <cell r="A61">
            <v>60</v>
          </cell>
          <cell r="B61">
            <v>170</v>
          </cell>
          <cell r="C61" t="str">
            <v>Kalaychev Yanis/85</v>
          </cell>
          <cell r="D61" t="str">
            <v>RUS</v>
          </cell>
          <cell r="E61">
            <v>41321</v>
          </cell>
          <cell r="F61" t="str">
            <v>Yekaterinburg</v>
          </cell>
        </row>
        <row r="62">
          <cell r="A62" t="str">
            <v>67.5</v>
          </cell>
          <cell r="B62">
            <v>175</v>
          </cell>
          <cell r="C62" t="str">
            <v>Bezhashvili Tsotne/85</v>
          </cell>
          <cell r="D62" t="str">
            <v>RUS</v>
          </cell>
          <cell r="E62">
            <v>41128</v>
          </cell>
          <cell r="F62" t="str">
            <v>Kryvyi Rig</v>
          </cell>
        </row>
        <row r="63">
          <cell r="A63">
            <v>75</v>
          </cell>
          <cell r="B63">
            <v>195.5</v>
          </cell>
          <cell r="C63" t="str">
            <v>Milostnoy Stanislav/78</v>
          </cell>
          <cell r="D63" t="str">
            <v>RUS</v>
          </cell>
          <cell r="E63">
            <v>40814</v>
          </cell>
          <cell r="F63" t="str">
            <v>Yekaterinburg</v>
          </cell>
        </row>
        <row r="64">
          <cell r="A64" t="str">
            <v>82.5</v>
          </cell>
          <cell r="B64">
            <v>212.5</v>
          </cell>
          <cell r="C64" t="str">
            <v>Sapozhonkov Andrei/87</v>
          </cell>
          <cell r="D64" t="str">
            <v>RUS</v>
          </cell>
          <cell r="E64" t="str">
            <v>23.08.2014</v>
          </cell>
          <cell r="F64" t="str">
            <v>Moscow</v>
          </cell>
        </row>
        <row r="65">
          <cell r="A65">
            <v>90</v>
          </cell>
          <cell r="B65">
            <v>208</v>
          </cell>
          <cell r="C65" t="str">
            <v>Revyako Alexander/85</v>
          </cell>
          <cell r="D65" t="str">
            <v>RUS</v>
          </cell>
          <cell r="E65">
            <v>41439</v>
          </cell>
          <cell r="F65" t="str">
            <v>Moscow</v>
          </cell>
        </row>
        <row r="66">
          <cell r="A66">
            <v>100</v>
          </cell>
          <cell r="B66">
            <v>232.5</v>
          </cell>
          <cell r="C66" t="str">
            <v>Filimonov Oleg/87</v>
          </cell>
          <cell r="D66" t="str">
            <v>RUS</v>
          </cell>
          <cell r="E66" t="str">
            <v>23.08.2014</v>
          </cell>
          <cell r="F66" t="str">
            <v>Moscow</v>
          </cell>
        </row>
        <row r="67">
          <cell r="A67">
            <v>110</v>
          </cell>
          <cell r="B67">
            <v>232.5</v>
          </cell>
          <cell r="C67" t="str">
            <v>Tenetko Dmitriy/75</v>
          </cell>
          <cell r="D67" t="str">
            <v>RUS</v>
          </cell>
          <cell r="E67" t="str">
            <v>23.08.2014</v>
          </cell>
          <cell r="F67" t="str">
            <v>Moscow</v>
          </cell>
        </row>
        <row r="68">
          <cell r="A68">
            <v>125</v>
          </cell>
          <cell r="B68">
            <v>250</v>
          </cell>
          <cell r="C68" t="str">
            <v>Zavgorodny Andrei/81</v>
          </cell>
          <cell r="D68" t="str">
            <v>RUS</v>
          </cell>
          <cell r="E68">
            <v>41020</v>
          </cell>
          <cell r="F68" t="str">
            <v>Rostov</v>
          </cell>
        </row>
        <row r="69">
          <cell r="A69">
            <v>140</v>
          </cell>
          <cell r="B69">
            <v>250</v>
          </cell>
          <cell r="C69" t="str">
            <v>Gulyan Artur/82</v>
          </cell>
          <cell r="D69" t="str">
            <v>RUS</v>
          </cell>
          <cell r="E69" t="str">
            <v>30.05.2014</v>
          </cell>
          <cell r="F69" t="str">
            <v>Kursk</v>
          </cell>
        </row>
        <row r="70">
          <cell r="A70" t="str">
            <v>140+</v>
          </cell>
          <cell r="B70">
            <v>220</v>
          </cell>
          <cell r="C70" t="str">
            <v>Smirnov Yuri/71</v>
          </cell>
          <cell r="D70" t="str">
            <v>RUS</v>
          </cell>
          <cell r="E70">
            <v>40088</v>
          </cell>
          <cell r="F70" t="str">
            <v>Rostov</v>
          </cell>
        </row>
        <row r="71">
          <cell r="B71"/>
          <cell r="C71"/>
          <cell r="D71"/>
          <cell r="E71"/>
          <cell r="F71"/>
        </row>
        <row r="72">
          <cell r="B72" t="str">
            <v>Men's SM 33-39</v>
          </cell>
        </row>
        <row r="73">
          <cell r="A73">
            <v>52</v>
          </cell>
          <cell r="B73">
            <v>117.5</v>
          </cell>
          <cell r="C73" t="str">
            <v>Artemyev Igor/71</v>
          </cell>
          <cell r="D73" t="str">
            <v>RUS</v>
          </cell>
          <cell r="E73">
            <v>40088</v>
          </cell>
          <cell r="F73" t="str">
            <v>Rostov</v>
          </cell>
        </row>
        <row r="74">
          <cell r="A74">
            <v>56</v>
          </cell>
          <cell r="B74">
            <v>127.5</v>
          </cell>
          <cell r="C74" t="str">
            <v>Artemyev Oleg/71</v>
          </cell>
          <cell r="D74" t="str">
            <v>RUS</v>
          </cell>
          <cell r="E74">
            <v>40088</v>
          </cell>
          <cell r="F74" t="str">
            <v>Rostov</v>
          </cell>
        </row>
        <row r="75">
          <cell r="A75">
            <v>60</v>
          </cell>
          <cell r="B75">
            <v>126</v>
          </cell>
          <cell r="C75" t="str">
            <v>Artemyev Oleg/71</v>
          </cell>
          <cell r="D75" t="str">
            <v>RUS</v>
          </cell>
          <cell r="E75" t="str">
            <v>23.08.2014</v>
          </cell>
          <cell r="F75" t="str">
            <v>Moscow</v>
          </cell>
        </row>
        <row r="76">
          <cell r="A76" t="str">
            <v>67.5</v>
          </cell>
          <cell r="B76">
            <v>162.5</v>
          </cell>
          <cell r="C76" t="str">
            <v>Alexandrov Alexandr/79</v>
          </cell>
          <cell r="D76" t="str">
            <v>RUS</v>
          </cell>
          <cell r="E76">
            <v>41137</v>
          </cell>
          <cell r="F76" t="str">
            <v>Novosibirsk</v>
          </cell>
        </row>
        <row r="77">
          <cell r="A77">
            <v>75</v>
          </cell>
          <cell r="B77">
            <v>180</v>
          </cell>
          <cell r="C77" t="str">
            <v>Babin Ilya/80</v>
          </cell>
          <cell r="D77" t="str">
            <v>RUS</v>
          </cell>
          <cell r="E77">
            <v>41619</v>
          </cell>
          <cell r="F77" t="str">
            <v>Kursk</v>
          </cell>
        </row>
        <row r="78">
          <cell r="A78" t="str">
            <v>82.5</v>
          </cell>
          <cell r="B78">
            <v>186</v>
          </cell>
          <cell r="C78" t="str">
            <v>Veber Mikhail/71</v>
          </cell>
          <cell r="D78" t="str">
            <v>RUS</v>
          </cell>
          <cell r="E78">
            <v>39528</v>
          </cell>
          <cell r="F78" t="str">
            <v>Rostov</v>
          </cell>
        </row>
        <row r="79">
          <cell r="A79">
            <v>90</v>
          </cell>
          <cell r="B79">
            <v>205</v>
          </cell>
          <cell r="C79" t="str">
            <v>Kharauzov Alexei/73</v>
          </cell>
          <cell r="D79" t="str">
            <v>RUS</v>
          </cell>
          <cell r="E79">
            <v>39528</v>
          </cell>
          <cell r="F79" t="str">
            <v>Rostov</v>
          </cell>
        </row>
        <row r="80">
          <cell r="A80">
            <v>100</v>
          </cell>
          <cell r="B80">
            <v>225</v>
          </cell>
          <cell r="C80" t="str">
            <v>Kysil Andriy/75</v>
          </cell>
          <cell r="D80" t="str">
            <v>UKR</v>
          </cell>
          <cell r="E80">
            <v>39726</v>
          </cell>
          <cell r="F80" t="str">
            <v>Ternopil'</v>
          </cell>
        </row>
        <row r="81">
          <cell r="A81">
            <v>110</v>
          </cell>
          <cell r="B81">
            <v>232.5</v>
          </cell>
          <cell r="C81" t="str">
            <v>Tenetko Dmitriy/75</v>
          </cell>
          <cell r="D81" t="str">
            <v>RUS</v>
          </cell>
          <cell r="E81" t="str">
            <v>23.08.2014</v>
          </cell>
          <cell r="F81" t="str">
            <v>Moscow</v>
          </cell>
        </row>
        <row r="82">
          <cell r="A82">
            <v>125</v>
          </cell>
          <cell r="B82">
            <v>230</v>
          </cell>
          <cell r="C82" t="str">
            <v>Grydyakin Oleg/74</v>
          </cell>
          <cell r="D82" t="str">
            <v>UKR</v>
          </cell>
          <cell r="E82">
            <v>40985</v>
          </cell>
          <cell r="F82" t="str">
            <v>Kryvyi Rig</v>
          </cell>
        </row>
        <row r="83">
          <cell r="A83">
            <v>140</v>
          </cell>
          <cell r="B83">
            <v>240</v>
          </cell>
          <cell r="C83" t="str">
            <v>Khudyakov Sergei/75</v>
          </cell>
          <cell r="D83" t="str">
            <v>RUS</v>
          </cell>
          <cell r="E83">
            <v>41321</v>
          </cell>
          <cell r="F83" t="str">
            <v>Yekaterinburg</v>
          </cell>
        </row>
        <row r="84">
          <cell r="A84" t="str">
            <v>140+</v>
          </cell>
          <cell r="B84">
            <v>222.5</v>
          </cell>
          <cell r="C84" t="str">
            <v>Kozyrev Oleg/75</v>
          </cell>
          <cell r="D84" t="str">
            <v>RUS</v>
          </cell>
          <cell r="E84">
            <v>41020</v>
          </cell>
          <cell r="F84" t="str">
            <v>Rostov</v>
          </cell>
        </row>
        <row r="85">
          <cell r="B85"/>
          <cell r="C85"/>
          <cell r="D85"/>
          <cell r="E85"/>
          <cell r="F85"/>
        </row>
        <row r="86">
          <cell r="B86" t="str">
            <v>Men's M1  (40 - 44)</v>
          </cell>
        </row>
        <row r="87">
          <cell r="A87">
            <v>52</v>
          </cell>
          <cell r="B87"/>
          <cell r="C87"/>
          <cell r="D87"/>
          <cell r="E87"/>
          <cell r="F87"/>
        </row>
        <row r="88">
          <cell r="A88">
            <v>56</v>
          </cell>
          <cell r="B88">
            <v>117.5</v>
          </cell>
          <cell r="C88" t="str">
            <v>Artemyev,Igor/71</v>
          </cell>
          <cell r="D88" t="str">
            <v>RUS</v>
          </cell>
          <cell r="E88">
            <v>41128</v>
          </cell>
          <cell r="F88" t="str">
            <v>Kryvyi Rig</v>
          </cell>
        </row>
        <row r="89">
          <cell r="A89">
            <v>60</v>
          </cell>
          <cell r="B89">
            <v>125</v>
          </cell>
          <cell r="C89" t="str">
            <v>Artemyev,Oleg/71</v>
          </cell>
          <cell r="D89" t="str">
            <v>RUS</v>
          </cell>
          <cell r="E89">
            <v>41128</v>
          </cell>
          <cell r="F89" t="str">
            <v>Kryvyi Rig</v>
          </cell>
        </row>
        <row r="90">
          <cell r="A90" t="str">
            <v>67.5</v>
          </cell>
          <cell r="B90">
            <v>155</v>
          </cell>
          <cell r="C90" t="str">
            <v>Zabolotnev Vladimir/68</v>
          </cell>
          <cell r="D90" t="str">
            <v>RUS</v>
          </cell>
          <cell r="E90">
            <v>41128</v>
          </cell>
          <cell r="F90" t="str">
            <v>Kryvyi Rig</v>
          </cell>
        </row>
        <row r="91">
          <cell r="A91">
            <v>75</v>
          </cell>
          <cell r="B91">
            <v>170</v>
          </cell>
          <cell r="C91" t="str">
            <v>Schegolkov Vladimir/73</v>
          </cell>
          <cell r="D91" t="str">
            <v>RUS</v>
          </cell>
          <cell r="E91">
            <v>41496</v>
          </cell>
          <cell r="F91" t="str">
            <v>Kursk</v>
          </cell>
        </row>
        <row r="92">
          <cell r="A92" t="str">
            <v>82.5</v>
          </cell>
          <cell r="B92">
            <v>205</v>
          </cell>
          <cell r="C92" t="str">
            <v>Melyaev Eduard/70</v>
          </cell>
          <cell r="D92" t="str">
            <v>RUS</v>
          </cell>
          <cell r="E92">
            <v>40814</v>
          </cell>
          <cell r="F92" t="str">
            <v>Yekaterinbourg</v>
          </cell>
        </row>
        <row r="93">
          <cell r="A93">
            <v>90</v>
          </cell>
          <cell r="B93">
            <v>207.5</v>
          </cell>
          <cell r="C93" t="str">
            <v>Galayda Andrei/72</v>
          </cell>
          <cell r="D93" t="str">
            <v>RUS</v>
          </cell>
          <cell r="E93" t="str">
            <v>23.08.2014</v>
          </cell>
          <cell r="F93" t="str">
            <v>Moscow</v>
          </cell>
        </row>
        <row r="95">
          <cell r="A95">
            <v>110</v>
          </cell>
          <cell r="B95">
            <v>210</v>
          </cell>
          <cell r="C95" t="str">
            <v>Mantserov Sergei/70</v>
          </cell>
          <cell r="D95" t="str">
            <v>RUS</v>
          </cell>
          <cell r="E95" t="str">
            <v>23.08.2014</v>
          </cell>
          <cell r="F95" t="str">
            <v>Moscow</v>
          </cell>
        </row>
        <row r="96">
          <cell r="A96">
            <v>125</v>
          </cell>
          <cell r="B96">
            <v>222.5</v>
          </cell>
          <cell r="C96" t="str">
            <v>Stryga Olexandr/67</v>
          </cell>
          <cell r="D96" t="str">
            <v>UKR</v>
          </cell>
          <cell r="E96">
            <v>40985</v>
          </cell>
          <cell r="F96" t="str">
            <v>Kryvyi Rig</v>
          </cell>
        </row>
        <row r="97">
          <cell r="A97">
            <v>140</v>
          </cell>
          <cell r="B97">
            <v>225</v>
          </cell>
          <cell r="C97" t="str">
            <v>Pober Igor/68</v>
          </cell>
          <cell r="D97" t="str">
            <v>UKR</v>
          </cell>
          <cell r="E97">
            <v>41370</v>
          </cell>
          <cell r="F97" t="str">
            <v>Kryvyi Rig</v>
          </cell>
        </row>
        <row r="98">
          <cell r="A98" t="str">
            <v>140+</v>
          </cell>
          <cell r="B98">
            <v>220</v>
          </cell>
          <cell r="C98" t="str">
            <v>Karpov Stanislav/71</v>
          </cell>
          <cell r="D98" t="str">
            <v>RUS</v>
          </cell>
          <cell r="E98" t="str">
            <v>23.08.2014</v>
          </cell>
          <cell r="F98" t="str">
            <v>Moscow</v>
          </cell>
        </row>
        <row r="99">
          <cell r="B99" t="str">
            <v>Men's M2  (45 - 49)</v>
          </cell>
        </row>
        <row r="100">
          <cell r="A100">
            <v>52</v>
          </cell>
          <cell r="B100"/>
          <cell r="C100"/>
          <cell r="D100"/>
          <cell r="E100"/>
          <cell r="F100"/>
        </row>
        <row r="101">
          <cell r="A101">
            <v>56</v>
          </cell>
          <cell r="B101">
            <v>90</v>
          </cell>
          <cell r="C101" t="str">
            <v>Kovalenko,Volodymyr/65</v>
          </cell>
          <cell r="D101" t="str">
            <v>UKR</v>
          </cell>
          <cell r="E101">
            <v>41128</v>
          </cell>
          <cell r="F101" t="str">
            <v>Kryvyi Rig</v>
          </cell>
        </row>
        <row r="102">
          <cell r="A102">
            <v>60</v>
          </cell>
          <cell r="B102">
            <v>102.5</v>
          </cell>
          <cell r="C102" t="str">
            <v>Dvoinikov Oleg/61</v>
          </cell>
          <cell r="D102" t="str">
            <v>RUS</v>
          </cell>
          <cell r="E102">
            <v>39871</v>
          </cell>
          <cell r="F102" t="str">
            <v>Chelyabinsk</v>
          </cell>
        </row>
        <row r="103">
          <cell r="A103">
            <v>67.5</v>
          </cell>
          <cell r="B103">
            <v>130</v>
          </cell>
          <cell r="C103" t="str">
            <v>Kireev,Nikolai/63</v>
          </cell>
          <cell r="D103" t="str">
            <v>RUS</v>
          </cell>
          <cell r="E103">
            <v>40088</v>
          </cell>
          <cell r="F103" t="str">
            <v>Rostov</v>
          </cell>
        </row>
        <row r="104">
          <cell r="A104">
            <v>75</v>
          </cell>
          <cell r="B104" t="str">
            <v>162.5</v>
          </cell>
          <cell r="C104" t="str">
            <v>Reshetnikov Vladimir/60</v>
          </cell>
          <cell r="D104" t="str">
            <v>RUS</v>
          </cell>
          <cell r="E104">
            <v>39528</v>
          </cell>
          <cell r="F104" t="str">
            <v>Rostov</v>
          </cell>
        </row>
        <row r="105">
          <cell r="A105" t="str">
            <v>82.5</v>
          </cell>
          <cell r="B105">
            <v>190.5</v>
          </cell>
          <cell r="C105" t="str">
            <v>Reshetnikov Vladimir/60</v>
          </cell>
          <cell r="D105" t="str">
            <v>RUS</v>
          </cell>
          <cell r="E105">
            <v>40088</v>
          </cell>
          <cell r="F105" t="str">
            <v>Rostov</v>
          </cell>
        </row>
        <row r="106">
          <cell r="A106">
            <v>90</v>
          </cell>
          <cell r="B106">
            <v>180</v>
          </cell>
          <cell r="C106" t="str">
            <v>Sender Alexei/65</v>
          </cell>
          <cell r="D106" t="str">
            <v>BLR</v>
          </cell>
          <cell r="E106" t="str">
            <v>23.08.2014</v>
          </cell>
          <cell r="F106" t="str">
            <v>Moscow</v>
          </cell>
        </row>
        <row r="107">
          <cell r="A107">
            <v>100</v>
          </cell>
          <cell r="B107">
            <v>180</v>
          </cell>
          <cell r="C107" t="str">
            <v>Verzhanovskiy Sergei/67</v>
          </cell>
          <cell r="D107" t="str">
            <v>RUS</v>
          </cell>
          <cell r="E107" t="str">
            <v>23.08.2014</v>
          </cell>
          <cell r="F107" t="str">
            <v>Moscow</v>
          </cell>
        </row>
        <row r="108">
          <cell r="A108">
            <v>110</v>
          </cell>
          <cell r="B108">
            <v>192.5</v>
          </cell>
          <cell r="C108" t="str">
            <v>Veles Yevgeniy/68</v>
          </cell>
          <cell r="D108" t="str">
            <v>RUS</v>
          </cell>
          <cell r="E108" t="str">
            <v>23.08.2014</v>
          </cell>
          <cell r="F108" t="str">
            <v>Moscow</v>
          </cell>
        </row>
        <row r="109">
          <cell r="A109">
            <v>125</v>
          </cell>
          <cell r="B109">
            <v>227.5</v>
          </cell>
          <cell r="C109" t="str">
            <v>Stryga Olexandr/67</v>
          </cell>
          <cell r="D109" t="str">
            <v>UKR</v>
          </cell>
          <cell r="E109">
            <v>41552</v>
          </cell>
          <cell r="F109" t="str">
            <v>Kryvyi Rig</v>
          </cell>
        </row>
        <row r="110">
          <cell r="A110">
            <v>140</v>
          </cell>
          <cell r="B110">
            <v>205</v>
          </cell>
          <cell r="C110" t="str">
            <v>Khutorov Igor/63</v>
          </cell>
          <cell r="D110" t="str">
            <v>RUS</v>
          </cell>
          <cell r="E110">
            <v>41201</v>
          </cell>
          <cell r="F110" t="str">
            <v>Krasnodar</v>
          </cell>
        </row>
        <row r="111">
          <cell r="A111" t="str">
            <v>140+</v>
          </cell>
          <cell r="B111">
            <v>200</v>
          </cell>
          <cell r="C111" t="str">
            <v>Nasteka Igor/64</v>
          </cell>
          <cell r="D111" t="str">
            <v>RUS</v>
          </cell>
          <cell r="E111">
            <v>40814</v>
          </cell>
          <cell r="F111" t="str">
            <v>Yekaterinbourg</v>
          </cell>
        </row>
        <row r="112">
          <cell r="B112"/>
          <cell r="C112"/>
          <cell r="D112"/>
          <cell r="E112"/>
          <cell r="F112"/>
        </row>
        <row r="113">
          <cell r="B113" t="str">
            <v>Men's M3  (50 - 54)</v>
          </cell>
        </row>
        <row r="114">
          <cell r="A114">
            <v>52</v>
          </cell>
          <cell r="B114"/>
          <cell r="C114"/>
          <cell r="D114"/>
          <cell r="E114"/>
          <cell r="F114"/>
        </row>
        <row r="115">
          <cell r="A115">
            <v>56</v>
          </cell>
          <cell r="B115">
            <v>102.5</v>
          </cell>
          <cell r="C115" t="str">
            <v>Yershov Viktor/60</v>
          </cell>
          <cell r="D115" t="str">
            <v>RUS</v>
          </cell>
          <cell r="E115">
            <v>41586</v>
          </cell>
          <cell r="F115" t="str">
            <v>Vologda</v>
          </cell>
        </row>
        <row r="116">
          <cell r="A116">
            <v>60</v>
          </cell>
          <cell r="B116">
            <v>100</v>
          </cell>
          <cell r="C116" t="str">
            <v>Dvoynikov Oleg/60</v>
          </cell>
          <cell r="D116" t="str">
            <v>RUS</v>
          </cell>
          <cell r="E116">
            <v>41720</v>
          </cell>
          <cell r="F116" t="str">
            <v>Vologda</v>
          </cell>
        </row>
        <row r="117">
          <cell r="A117" t="str">
            <v>67.5</v>
          </cell>
          <cell r="B117">
            <v>117.5</v>
          </cell>
          <cell r="C117" t="str">
            <v>Kim Sergei/57</v>
          </cell>
          <cell r="D117" t="str">
            <v>RUS</v>
          </cell>
          <cell r="E117">
            <v>40088</v>
          </cell>
          <cell r="F117" t="str">
            <v>Rostov</v>
          </cell>
        </row>
        <row r="118">
          <cell r="A118">
            <v>75</v>
          </cell>
          <cell r="B118">
            <v>151</v>
          </cell>
          <cell r="C118" t="str">
            <v>Tatarkin Alexander/55</v>
          </cell>
          <cell r="D118" t="str">
            <v>RUS</v>
          </cell>
          <cell r="E118">
            <v>40088</v>
          </cell>
          <cell r="F118" t="str">
            <v>Rostov</v>
          </cell>
        </row>
        <row r="119">
          <cell r="A119" t="str">
            <v>82.5</v>
          </cell>
          <cell r="B119">
            <v>182.5</v>
          </cell>
          <cell r="C119" t="str">
            <v>Reshetnikov Vladimir/60</v>
          </cell>
          <cell r="D119" t="str">
            <v>RUS</v>
          </cell>
          <cell r="E119">
            <v>40409</v>
          </cell>
          <cell r="F119" t="str">
            <v>Moscow</v>
          </cell>
        </row>
        <row r="120">
          <cell r="A120">
            <v>90</v>
          </cell>
          <cell r="B120">
            <v>172.5</v>
          </cell>
          <cell r="C120" t="str">
            <v>Skvortsov Leonid/62</v>
          </cell>
          <cell r="D120" t="str">
            <v>RUS</v>
          </cell>
          <cell r="E120" t="str">
            <v>23.08.2014</v>
          </cell>
          <cell r="F120" t="str">
            <v>Moscow</v>
          </cell>
        </row>
        <row r="121">
          <cell r="A121">
            <v>100</v>
          </cell>
          <cell r="B121">
            <v>200</v>
          </cell>
          <cell r="C121" t="str">
            <v>Lebedev Igor/62</v>
          </cell>
          <cell r="D121" t="str">
            <v>RUS</v>
          </cell>
          <cell r="E121">
            <v>41619</v>
          </cell>
          <cell r="F121" t="str">
            <v>Kursk</v>
          </cell>
        </row>
        <row r="122">
          <cell r="A122">
            <v>110</v>
          </cell>
          <cell r="B122">
            <v>210</v>
          </cell>
          <cell r="C122" t="str">
            <v>Lebedev Igor/62</v>
          </cell>
          <cell r="D122" t="str">
            <v>RUS</v>
          </cell>
          <cell r="E122" t="str">
            <v>23.08.2014</v>
          </cell>
          <cell r="F122" t="str">
            <v>Moscow</v>
          </cell>
        </row>
        <row r="123">
          <cell r="A123">
            <v>125</v>
          </cell>
          <cell r="B123">
            <v>192.5</v>
          </cell>
          <cell r="C123" t="str">
            <v>Ziganshin Igor'/60</v>
          </cell>
          <cell r="D123" t="str">
            <v>RUS</v>
          </cell>
          <cell r="E123">
            <v>40769</v>
          </cell>
          <cell r="F123" t="str">
            <v>Kursk</v>
          </cell>
        </row>
        <row r="124">
          <cell r="A124">
            <v>140</v>
          </cell>
          <cell r="B124">
            <v>207.5</v>
          </cell>
          <cell r="C124" t="str">
            <v>Nevzorov Mykhaylo/61</v>
          </cell>
          <cell r="D124" t="str">
            <v>UKR</v>
          </cell>
          <cell r="E124">
            <v>41129</v>
          </cell>
          <cell r="F124" t="str">
            <v>Kryvyi Rig</v>
          </cell>
        </row>
        <row r="125">
          <cell r="A125" t="str">
            <v>140+</v>
          </cell>
          <cell r="B125">
            <v>185</v>
          </cell>
          <cell r="C125" t="str">
            <v>Nasteka Igor/64</v>
          </cell>
          <cell r="D125" t="str">
            <v>RUS</v>
          </cell>
          <cell r="E125" t="str">
            <v>23.08.2014</v>
          </cell>
          <cell r="F125" t="str">
            <v>Moscow</v>
          </cell>
        </row>
        <row r="126">
          <cell r="B126" t="str">
            <v>Men's M4  (55 - 59)</v>
          </cell>
        </row>
        <row r="127">
          <cell r="A127">
            <v>52</v>
          </cell>
          <cell r="B127">
            <v>67.5</v>
          </cell>
          <cell r="C127" t="str">
            <v>Grachev Nikolai/56</v>
          </cell>
          <cell r="D127" t="str">
            <v>RUS</v>
          </cell>
          <cell r="E127">
            <v>41201</v>
          </cell>
          <cell r="F127" t="str">
            <v>Krasnodar</v>
          </cell>
        </row>
        <row r="128">
          <cell r="A128">
            <v>56</v>
          </cell>
          <cell r="B128"/>
          <cell r="C128"/>
          <cell r="D128"/>
          <cell r="E128"/>
          <cell r="F128"/>
        </row>
        <row r="129">
          <cell r="A129">
            <v>60</v>
          </cell>
          <cell r="B129"/>
          <cell r="C129"/>
          <cell r="D129"/>
          <cell r="E129"/>
          <cell r="F129"/>
        </row>
        <row r="130">
          <cell r="A130">
            <v>67.5</v>
          </cell>
          <cell r="B130">
            <v>92.5</v>
          </cell>
          <cell r="C130" t="str">
            <v>Bochkovskyy Anatoliy/54</v>
          </cell>
          <cell r="D130" t="str">
            <v>UKR</v>
          </cell>
          <cell r="E130">
            <v>41552</v>
          </cell>
          <cell r="F130" t="str">
            <v>Kryvyi Rig</v>
          </cell>
        </row>
        <row r="131">
          <cell r="A131">
            <v>75</v>
          </cell>
          <cell r="B131">
            <v>142.5</v>
          </cell>
          <cell r="C131" t="str">
            <v>Tatarkin Alexandr/55</v>
          </cell>
          <cell r="D131" t="str">
            <v>RUS</v>
          </cell>
          <cell r="E131">
            <v>40522</v>
          </cell>
          <cell r="F131" t="str">
            <v>Kursk</v>
          </cell>
        </row>
        <row r="132">
          <cell r="A132" t="str">
            <v>82.5</v>
          </cell>
          <cell r="B132">
            <v>152.5</v>
          </cell>
          <cell r="C132" t="str">
            <v>Kovalev Igor/57</v>
          </cell>
          <cell r="D132" t="str">
            <v>RUS</v>
          </cell>
          <cell r="E132">
            <v>41439</v>
          </cell>
          <cell r="F132" t="str">
            <v>Moscow</v>
          </cell>
        </row>
        <row r="133">
          <cell r="A133">
            <v>90</v>
          </cell>
          <cell r="B133">
            <v>155</v>
          </cell>
          <cell r="C133" t="str">
            <v>Zverev Nikolai/56</v>
          </cell>
          <cell r="D133" t="str">
            <v>RUS</v>
          </cell>
          <cell r="E133">
            <v>40814</v>
          </cell>
          <cell r="F133" t="str">
            <v>Yekaterinburg</v>
          </cell>
        </row>
        <row r="134">
          <cell r="A134">
            <v>100</v>
          </cell>
          <cell r="B134">
            <v>172.5</v>
          </cell>
          <cell r="C134" t="str">
            <v>Kuzeyev Damir/52</v>
          </cell>
          <cell r="D134" t="str">
            <v>RUS</v>
          </cell>
          <cell r="E134">
            <v>40088</v>
          </cell>
          <cell r="F134" t="str">
            <v>Rostov</v>
          </cell>
        </row>
        <row r="135">
          <cell r="A135">
            <v>110</v>
          </cell>
          <cell r="B135">
            <v>180</v>
          </cell>
          <cell r="C135" t="str">
            <v>Egozaryan Grachik/52</v>
          </cell>
          <cell r="D135" t="str">
            <v>RUS</v>
          </cell>
          <cell r="E135">
            <v>40088</v>
          </cell>
          <cell r="F135" t="str">
            <v>Rostov</v>
          </cell>
        </row>
        <row r="136">
          <cell r="A136">
            <v>125</v>
          </cell>
          <cell r="B136">
            <v>150</v>
          </cell>
          <cell r="C136" t="str">
            <v>Kurochkin Dmytro/55</v>
          </cell>
          <cell r="D136" t="str">
            <v>UKR</v>
          </cell>
          <cell r="E136">
            <v>40628</v>
          </cell>
          <cell r="F136" t="str">
            <v>Kryvyi Rig</v>
          </cell>
        </row>
        <row r="137">
          <cell r="A137">
            <v>140</v>
          </cell>
          <cell r="B137"/>
          <cell r="C137"/>
          <cell r="D137"/>
          <cell r="E137"/>
          <cell r="F137"/>
        </row>
        <row r="138">
          <cell r="A138" t="str">
            <v>140+</v>
          </cell>
          <cell r="B138"/>
          <cell r="C138"/>
          <cell r="D138"/>
          <cell r="E138"/>
          <cell r="F138"/>
        </row>
        <row r="139">
          <cell r="B139"/>
          <cell r="C139"/>
          <cell r="D139"/>
          <cell r="E139"/>
          <cell r="F139"/>
        </row>
        <row r="140">
          <cell r="B140" t="str">
            <v>Men's M5  (60 - 64)</v>
          </cell>
        </row>
        <row r="141">
          <cell r="A141">
            <v>52</v>
          </cell>
          <cell r="B141"/>
          <cell r="C141"/>
          <cell r="D141"/>
          <cell r="E141"/>
          <cell r="F141"/>
        </row>
        <row r="142">
          <cell r="A142">
            <v>56</v>
          </cell>
          <cell r="B142"/>
          <cell r="C142"/>
          <cell r="D142"/>
          <cell r="E142"/>
          <cell r="F142"/>
        </row>
        <row r="143">
          <cell r="A143">
            <v>60</v>
          </cell>
          <cell r="B143"/>
          <cell r="C143"/>
          <cell r="D143"/>
          <cell r="E143"/>
          <cell r="F143"/>
        </row>
        <row r="144">
          <cell r="A144">
            <v>67.5</v>
          </cell>
          <cell r="B144">
            <v>100</v>
          </cell>
          <cell r="C144" t="str">
            <v>Baev Valeriy/51</v>
          </cell>
          <cell r="D144" t="str">
            <v>RUS</v>
          </cell>
          <cell r="E144">
            <v>41501</v>
          </cell>
          <cell r="F144" t="str">
            <v>Novosibirsk</v>
          </cell>
        </row>
        <row r="145">
          <cell r="A145">
            <v>75</v>
          </cell>
          <cell r="B145">
            <v>120</v>
          </cell>
          <cell r="C145" t="str">
            <v>Kravtsov Petro/46</v>
          </cell>
          <cell r="D145" t="str">
            <v>UKR</v>
          </cell>
          <cell r="E145">
            <v>39983</v>
          </cell>
          <cell r="F145" t="str">
            <v>Ternopil'</v>
          </cell>
        </row>
        <row r="146">
          <cell r="A146">
            <v>82.5</v>
          </cell>
          <cell r="B146">
            <v>140</v>
          </cell>
          <cell r="C146" t="str">
            <v>Tsoriyev Eldar/46</v>
          </cell>
          <cell r="D146" t="str">
            <v>RUS</v>
          </cell>
          <cell r="E146">
            <v>40088</v>
          </cell>
          <cell r="F146" t="str">
            <v>Rostov</v>
          </cell>
        </row>
        <row r="147">
          <cell r="A147">
            <v>90</v>
          </cell>
          <cell r="B147">
            <v>160</v>
          </cell>
          <cell r="C147" t="str">
            <v>Stanchak Vyacheslav/52</v>
          </cell>
          <cell r="D147" t="str">
            <v>RUS</v>
          </cell>
          <cell r="E147" t="str">
            <v>23.08.2014</v>
          </cell>
          <cell r="F147" t="str">
            <v>Moscow</v>
          </cell>
        </row>
        <row r="148">
          <cell r="A148">
            <v>100</v>
          </cell>
          <cell r="B148">
            <v>150</v>
          </cell>
          <cell r="C148" t="str">
            <v>Kalinin Grigory/50</v>
          </cell>
          <cell r="D148" t="str">
            <v>RUS</v>
          </cell>
          <cell r="E148">
            <v>41137</v>
          </cell>
          <cell r="F148" t="str">
            <v>Novosibirsk</v>
          </cell>
        </row>
        <row r="149">
          <cell r="A149">
            <v>110</v>
          </cell>
          <cell r="B149">
            <v>160</v>
          </cell>
          <cell r="C149" t="str">
            <v>Pauyesov Anatoliy/53</v>
          </cell>
          <cell r="D149" t="str">
            <v>RUS</v>
          </cell>
          <cell r="E149" t="str">
            <v>23.08.2014</v>
          </cell>
          <cell r="F149" t="str">
            <v>Moscow</v>
          </cell>
        </row>
        <row r="150">
          <cell r="A150">
            <v>125</v>
          </cell>
          <cell r="B150">
            <v>180</v>
          </cell>
          <cell r="C150" t="str">
            <v>Egozaryan Grachik/52</v>
          </cell>
          <cell r="D150" t="str">
            <v>RUS</v>
          </cell>
          <cell r="E150" t="str">
            <v>23.08.2014</v>
          </cell>
          <cell r="F150" t="str">
            <v>Moscow</v>
          </cell>
        </row>
        <row r="151">
          <cell r="A151">
            <v>140</v>
          </cell>
          <cell r="B151"/>
          <cell r="C151"/>
          <cell r="D151"/>
          <cell r="E151"/>
          <cell r="F151"/>
        </row>
        <row r="152">
          <cell r="A152" t="str">
            <v>140+</v>
          </cell>
          <cell r="B152"/>
          <cell r="C152"/>
          <cell r="D152"/>
          <cell r="E152"/>
          <cell r="F152"/>
        </row>
        <row r="153">
          <cell r="B153"/>
          <cell r="C153"/>
          <cell r="D153"/>
          <cell r="E153"/>
          <cell r="F153"/>
        </row>
        <row r="154">
          <cell r="B154" t="str">
            <v>Men's M6  (65 - 69)</v>
          </cell>
        </row>
        <row r="155">
          <cell r="A155">
            <v>52</v>
          </cell>
          <cell r="B155"/>
          <cell r="C155"/>
          <cell r="D155"/>
          <cell r="E155"/>
          <cell r="F155"/>
        </row>
        <row r="156">
          <cell r="A156">
            <v>56</v>
          </cell>
          <cell r="B156"/>
          <cell r="C156"/>
          <cell r="D156"/>
          <cell r="E156"/>
          <cell r="F156"/>
        </row>
        <row r="157">
          <cell r="A157">
            <v>60</v>
          </cell>
          <cell r="B157"/>
          <cell r="C157"/>
          <cell r="D157"/>
          <cell r="E157"/>
          <cell r="F157"/>
        </row>
        <row r="158">
          <cell r="A158">
            <v>67.5</v>
          </cell>
          <cell r="B158">
            <v>67.5</v>
          </cell>
          <cell r="C158" t="str">
            <v>Chistyakov Anatoly/40</v>
          </cell>
          <cell r="D158" t="str">
            <v>RUS</v>
          </cell>
          <cell r="E158">
            <v>40088</v>
          </cell>
          <cell r="F158" t="str">
            <v>Rostov</v>
          </cell>
        </row>
        <row r="159">
          <cell r="A159">
            <v>75</v>
          </cell>
          <cell r="B159" t="str">
            <v>127.5</v>
          </cell>
          <cell r="C159" t="str">
            <v>Petukhov Yevgeny/38</v>
          </cell>
          <cell r="D159" t="str">
            <v>RUS</v>
          </cell>
          <cell r="E159">
            <v>39123</v>
          </cell>
          <cell r="F159" t="str">
            <v>Chelyabinsk</v>
          </cell>
        </row>
        <row r="160">
          <cell r="A160" t="str">
            <v>82.5</v>
          </cell>
          <cell r="B160">
            <v>136</v>
          </cell>
          <cell r="C160" t="str">
            <v>Tsoriyev Eldar/46</v>
          </cell>
          <cell r="D160" t="str">
            <v>RUS</v>
          </cell>
          <cell r="E160">
            <v>41321</v>
          </cell>
          <cell r="F160" t="str">
            <v>Yekaterinburgh</v>
          </cell>
        </row>
        <row r="161">
          <cell r="A161">
            <v>90</v>
          </cell>
          <cell r="B161">
            <v>140</v>
          </cell>
          <cell r="C161" t="str">
            <v>Khusnetdinov Amir/48</v>
          </cell>
          <cell r="D161" t="str">
            <v>RUS</v>
          </cell>
          <cell r="E161" t="str">
            <v>23.08.2014</v>
          </cell>
          <cell r="F161" t="str">
            <v>Moscow</v>
          </cell>
        </row>
        <row r="162">
          <cell r="A162">
            <v>100</v>
          </cell>
          <cell r="B162">
            <v>137.5</v>
          </cell>
          <cell r="C162" t="str">
            <v>Korshunov Vladimir/42</v>
          </cell>
          <cell r="D162" t="str">
            <v>UKR</v>
          </cell>
          <cell r="E162">
            <v>40985</v>
          </cell>
          <cell r="F162" t="str">
            <v>Kryvyi Rig</v>
          </cell>
        </row>
        <row r="163">
          <cell r="A163">
            <v>110</v>
          </cell>
          <cell r="B163">
            <v>130</v>
          </cell>
          <cell r="C163" t="str">
            <v>Kozharinov Yevgeniy/45</v>
          </cell>
          <cell r="D163" t="str">
            <v>RUS</v>
          </cell>
          <cell r="E163" t="str">
            <v>30.05.2014</v>
          </cell>
          <cell r="F163" t="str">
            <v>Kursk</v>
          </cell>
        </row>
        <row r="164">
          <cell r="A164">
            <v>125</v>
          </cell>
          <cell r="B164">
            <v>130</v>
          </cell>
          <cell r="C164" t="str">
            <v>Chernyshov Vladimir/48</v>
          </cell>
          <cell r="D164" t="str">
            <v>RUS</v>
          </cell>
          <cell r="E164" t="str">
            <v>19.04.2014</v>
          </cell>
          <cell r="F164" t="str">
            <v>Krasnodar</v>
          </cell>
        </row>
        <row r="165">
          <cell r="A165">
            <v>140</v>
          </cell>
          <cell r="B165"/>
          <cell r="C165"/>
          <cell r="D165"/>
          <cell r="E165"/>
          <cell r="F165"/>
        </row>
        <row r="166">
          <cell r="A166" t="str">
            <v>140+</v>
          </cell>
          <cell r="B166"/>
          <cell r="C166"/>
          <cell r="D166"/>
          <cell r="E166"/>
          <cell r="F166"/>
        </row>
        <row r="167">
          <cell r="B167"/>
          <cell r="C167"/>
          <cell r="D167"/>
          <cell r="E167"/>
          <cell r="F167"/>
        </row>
        <row r="168">
          <cell r="B168" t="str">
            <v>Men's M7  (70 - 74)</v>
          </cell>
        </row>
        <row r="169">
          <cell r="A169">
            <v>52</v>
          </cell>
          <cell r="B169"/>
          <cell r="C169"/>
          <cell r="D169"/>
          <cell r="E169"/>
          <cell r="F169"/>
        </row>
        <row r="170">
          <cell r="A170">
            <v>56</v>
          </cell>
          <cell r="B170"/>
          <cell r="C170"/>
          <cell r="D170"/>
          <cell r="E170"/>
          <cell r="F170"/>
        </row>
        <row r="171">
          <cell r="A171">
            <v>60</v>
          </cell>
          <cell r="B171"/>
          <cell r="C171"/>
          <cell r="D171"/>
          <cell r="E171"/>
          <cell r="F171"/>
        </row>
        <row r="172">
          <cell r="A172">
            <v>67.5</v>
          </cell>
          <cell r="B172">
            <v>95</v>
          </cell>
          <cell r="C172" t="str">
            <v>Kim Miron/41</v>
          </cell>
          <cell r="D172" t="str">
            <v>RUS</v>
          </cell>
          <cell r="E172">
            <v>41438</v>
          </cell>
          <cell r="F172" t="str">
            <v>Moscow</v>
          </cell>
        </row>
        <row r="173">
          <cell r="A173">
            <v>75</v>
          </cell>
          <cell r="B173">
            <v>110</v>
          </cell>
          <cell r="C173" t="str">
            <v>Barabanov German/40</v>
          </cell>
          <cell r="D173" t="str">
            <v>RUS</v>
          </cell>
          <cell r="E173">
            <v>41438</v>
          </cell>
          <cell r="F173" t="str">
            <v>Moscow</v>
          </cell>
        </row>
        <row r="174">
          <cell r="A174">
            <v>82.5</v>
          </cell>
          <cell r="B174">
            <v>117.5</v>
          </cell>
          <cell r="C174" t="str">
            <v>Barabanov German/40</v>
          </cell>
          <cell r="D174" t="str">
            <v>RUS</v>
          </cell>
          <cell r="E174" t="str">
            <v>23.08.2014</v>
          </cell>
          <cell r="F174" t="str">
            <v>Moscow</v>
          </cell>
        </row>
        <row r="175">
          <cell r="A175">
            <v>90</v>
          </cell>
          <cell r="B175">
            <v>120</v>
          </cell>
          <cell r="C175" t="str">
            <v>Malyshev Vladimir/36</v>
          </cell>
          <cell r="D175" t="str">
            <v>RUS</v>
          </cell>
          <cell r="E175">
            <v>39123</v>
          </cell>
          <cell r="F175" t="str">
            <v>Chelyabinsk</v>
          </cell>
        </row>
        <row r="176">
          <cell r="A176">
            <v>100</v>
          </cell>
          <cell r="B176"/>
          <cell r="C176"/>
          <cell r="D176"/>
          <cell r="E176"/>
          <cell r="F176"/>
        </row>
        <row r="177">
          <cell r="A177">
            <v>110</v>
          </cell>
          <cell r="B177"/>
          <cell r="C177"/>
          <cell r="D177"/>
          <cell r="E177"/>
          <cell r="F177"/>
        </row>
        <row r="178">
          <cell r="A178">
            <v>125</v>
          </cell>
          <cell r="B178">
            <v>140</v>
          </cell>
          <cell r="C178" t="str">
            <v>Dmitriev Yevgeniy/40</v>
          </cell>
          <cell r="D178" t="str">
            <v>RUS</v>
          </cell>
          <cell r="E178" t="str">
            <v>23.08.2014</v>
          </cell>
          <cell r="F178" t="str">
            <v>Moscow</v>
          </cell>
        </row>
        <row r="179">
          <cell r="A179">
            <v>140</v>
          </cell>
          <cell r="B179"/>
          <cell r="C179"/>
          <cell r="D179"/>
          <cell r="E179"/>
          <cell r="F179"/>
        </row>
        <row r="180">
          <cell r="A180" t="str">
            <v>140+</v>
          </cell>
          <cell r="B180"/>
          <cell r="C180"/>
          <cell r="D180"/>
          <cell r="E180"/>
          <cell r="F180"/>
        </row>
        <row r="181">
          <cell r="B181"/>
          <cell r="C181"/>
          <cell r="D181"/>
          <cell r="E181"/>
          <cell r="F181"/>
        </row>
        <row r="182">
          <cell r="B182" t="str">
            <v>Men's M8  (75 - 79)</v>
          </cell>
        </row>
        <row r="183">
          <cell r="A183">
            <v>52</v>
          </cell>
          <cell r="B183"/>
          <cell r="C183"/>
          <cell r="D183"/>
          <cell r="E183"/>
          <cell r="F183"/>
        </row>
        <row r="184">
          <cell r="A184">
            <v>56</v>
          </cell>
          <cell r="B184"/>
          <cell r="C184"/>
          <cell r="D184"/>
          <cell r="E184"/>
          <cell r="F184"/>
        </row>
        <row r="185">
          <cell r="A185">
            <v>60</v>
          </cell>
          <cell r="B185"/>
          <cell r="C185"/>
          <cell r="D185"/>
          <cell r="E185"/>
          <cell r="F185"/>
        </row>
        <row r="186">
          <cell r="A186">
            <v>67.5</v>
          </cell>
          <cell r="B186"/>
          <cell r="C186"/>
          <cell r="D186"/>
          <cell r="E186"/>
          <cell r="F186"/>
        </row>
        <row r="187">
          <cell r="A187">
            <v>75</v>
          </cell>
          <cell r="B187">
            <v>92.5</v>
          </cell>
          <cell r="C187" t="str">
            <v>Rubin Grigori/36</v>
          </cell>
          <cell r="D187" t="str">
            <v>ISR</v>
          </cell>
          <cell r="E187" t="str">
            <v>23.08.2014</v>
          </cell>
          <cell r="F187" t="str">
            <v>Moscow</v>
          </cell>
        </row>
        <row r="188">
          <cell r="A188">
            <v>82.5</v>
          </cell>
          <cell r="B188">
            <v>100</v>
          </cell>
          <cell r="C188" t="str">
            <v>Puzhaev Nikolai/35</v>
          </cell>
          <cell r="D188" t="str">
            <v>RUS</v>
          </cell>
          <cell r="E188">
            <v>40983</v>
          </cell>
          <cell r="F188" t="str">
            <v>Yekaterinburgh</v>
          </cell>
        </row>
        <row r="189">
          <cell r="A189">
            <v>90</v>
          </cell>
          <cell r="B189">
            <v>110</v>
          </cell>
          <cell r="C189" t="str">
            <v>Novikov Nikolai/38</v>
          </cell>
          <cell r="D189" t="str">
            <v>RUS</v>
          </cell>
          <cell r="E189">
            <v>41619</v>
          </cell>
          <cell r="F189" t="str">
            <v>Kursk</v>
          </cell>
        </row>
        <row r="190">
          <cell r="A190">
            <v>100</v>
          </cell>
          <cell r="B190"/>
          <cell r="C190"/>
          <cell r="D190"/>
          <cell r="E190"/>
          <cell r="F190"/>
        </row>
        <row r="191">
          <cell r="A191">
            <v>110</v>
          </cell>
          <cell r="B191"/>
          <cell r="C191"/>
          <cell r="D191"/>
          <cell r="E191"/>
          <cell r="F191"/>
        </row>
        <row r="192">
          <cell r="A192">
            <v>125</v>
          </cell>
          <cell r="B192"/>
          <cell r="C192"/>
          <cell r="D192"/>
          <cell r="E192"/>
          <cell r="F192"/>
        </row>
        <row r="193">
          <cell r="A193">
            <v>140</v>
          </cell>
          <cell r="B193"/>
          <cell r="C193"/>
          <cell r="D193"/>
          <cell r="E193"/>
          <cell r="F193"/>
        </row>
        <row r="194">
          <cell r="A194" t="str">
            <v>140+</v>
          </cell>
          <cell r="B194"/>
          <cell r="C194"/>
          <cell r="D194"/>
          <cell r="E194"/>
          <cell r="F194"/>
        </row>
        <row r="195">
          <cell r="B195"/>
          <cell r="C195"/>
          <cell r="D195"/>
          <cell r="E195"/>
          <cell r="F195"/>
        </row>
        <row r="196">
          <cell r="B196" t="str">
            <v>Men's M9  (80 - 84)</v>
          </cell>
        </row>
        <row r="197">
          <cell r="A197">
            <v>52</v>
          </cell>
          <cell r="B197"/>
          <cell r="C197"/>
          <cell r="D197"/>
          <cell r="E197"/>
          <cell r="F197"/>
        </row>
        <row r="198">
          <cell r="A198">
            <v>56</v>
          </cell>
          <cell r="B198"/>
          <cell r="C198"/>
          <cell r="D198"/>
          <cell r="E198"/>
          <cell r="F198"/>
        </row>
        <row r="199">
          <cell r="A199">
            <v>60</v>
          </cell>
          <cell r="B199"/>
          <cell r="C199"/>
          <cell r="D199"/>
          <cell r="E199"/>
          <cell r="F199"/>
        </row>
        <row r="200">
          <cell r="A200">
            <v>67.5</v>
          </cell>
          <cell r="B200"/>
          <cell r="C200"/>
          <cell r="D200"/>
          <cell r="E200"/>
          <cell r="F200"/>
        </row>
        <row r="201">
          <cell r="A201">
            <v>75</v>
          </cell>
          <cell r="B201"/>
          <cell r="C201"/>
          <cell r="D201"/>
          <cell r="E201"/>
          <cell r="F201"/>
        </row>
        <row r="202">
          <cell r="A202">
            <v>82.5</v>
          </cell>
          <cell r="B202">
            <v>97.5</v>
          </cell>
          <cell r="C202" t="str">
            <v>Shunkin Nikolai/31</v>
          </cell>
          <cell r="D202" t="str">
            <v>RUS</v>
          </cell>
          <cell r="E202">
            <v>41067</v>
          </cell>
          <cell r="F202" t="str">
            <v>Moscow</v>
          </cell>
        </row>
        <row r="203">
          <cell r="A203">
            <v>90</v>
          </cell>
          <cell r="B203">
            <v>52.5</v>
          </cell>
          <cell r="C203" t="str">
            <v>Svirnenko Vitaliy/27</v>
          </cell>
          <cell r="D203" t="str">
            <v>UKR</v>
          </cell>
          <cell r="E203">
            <v>40409</v>
          </cell>
          <cell r="F203" t="str">
            <v>Moscow</v>
          </cell>
        </row>
        <row r="204">
          <cell r="A204">
            <v>100</v>
          </cell>
          <cell r="B204">
            <v>65</v>
          </cell>
          <cell r="C204" t="str">
            <v>Svirnenko Vitaliy/27</v>
          </cell>
          <cell r="D204" t="str">
            <v>UKR</v>
          </cell>
          <cell r="E204">
            <v>39984</v>
          </cell>
          <cell r="F204" t="str">
            <v>Ternopil'</v>
          </cell>
        </row>
        <row r="205">
          <cell r="A205">
            <v>110</v>
          </cell>
          <cell r="B205"/>
          <cell r="C205"/>
          <cell r="D205"/>
          <cell r="E205"/>
          <cell r="F205"/>
        </row>
        <row r="206">
          <cell r="A206">
            <v>125</v>
          </cell>
          <cell r="B206"/>
          <cell r="C206"/>
          <cell r="D206"/>
          <cell r="E206"/>
          <cell r="F206"/>
        </row>
        <row r="207">
          <cell r="A207">
            <v>140</v>
          </cell>
          <cell r="B207"/>
          <cell r="C207"/>
          <cell r="D207"/>
          <cell r="E207"/>
          <cell r="F207"/>
        </row>
        <row r="208">
          <cell r="A208" t="str">
            <v>140+</v>
          </cell>
          <cell r="B208"/>
          <cell r="C208"/>
          <cell r="D208"/>
          <cell r="E208"/>
          <cell r="F208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-Wom"/>
      <sheetName val="BP-Men"/>
    </sheetNames>
    <sheetDataSet>
      <sheetData sheetId="0">
        <row r="1">
          <cell r="B1" t="str">
            <v xml:space="preserve"> AWPC BP - Europe </v>
          </cell>
        </row>
        <row r="2">
          <cell r="C2" t="str">
            <v>ДЕВУШКИ (13-15)</v>
          </cell>
        </row>
        <row r="3">
          <cell r="A3">
            <v>44</v>
          </cell>
          <cell r="B3">
            <v>32.5</v>
          </cell>
          <cell r="C3" t="str">
            <v>Nazemnova Olga/97</v>
          </cell>
          <cell r="D3" t="str">
            <v>RUS</v>
          </cell>
          <cell r="E3">
            <v>40983</v>
          </cell>
          <cell r="F3" t="str">
            <v>Yekaterinbourg</v>
          </cell>
        </row>
        <row r="4">
          <cell r="A4">
            <v>48</v>
          </cell>
          <cell r="B4">
            <v>75</v>
          </cell>
          <cell r="C4" t="str">
            <v>Dluzhnevskaya Vladislava/2000</v>
          </cell>
          <cell r="D4" t="str">
            <v>RUS</v>
          </cell>
          <cell r="E4">
            <v>41216</v>
          </cell>
          <cell r="F4" t="str">
            <v>Vologda</v>
          </cell>
        </row>
        <row r="5">
          <cell r="A5">
            <v>52</v>
          </cell>
          <cell r="B5"/>
          <cell r="C5"/>
          <cell r="D5"/>
          <cell r="E5"/>
          <cell r="F5"/>
        </row>
        <row r="6">
          <cell r="A6">
            <v>56</v>
          </cell>
          <cell r="B6"/>
          <cell r="C6"/>
          <cell r="D6"/>
          <cell r="E6"/>
          <cell r="F6"/>
        </row>
        <row r="7">
          <cell r="A7">
            <v>60</v>
          </cell>
          <cell r="B7"/>
          <cell r="C7"/>
          <cell r="D7"/>
          <cell r="E7"/>
          <cell r="F7"/>
        </row>
        <row r="8">
          <cell r="A8">
            <v>67.5</v>
          </cell>
          <cell r="B8"/>
          <cell r="C8"/>
          <cell r="D8"/>
          <cell r="E8"/>
          <cell r="F8"/>
        </row>
        <row r="9">
          <cell r="A9">
            <v>75</v>
          </cell>
          <cell r="B9"/>
          <cell r="C9"/>
          <cell r="D9"/>
          <cell r="E9"/>
          <cell r="F9"/>
        </row>
        <row r="10">
          <cell r="A10">
            <v>82.5</v>
          </cell>
          <cell r="B10"/>
          <cell r="C10"/>
          <cell r="D10"/>
          <cell r="E10"/>
          <cell r="F10"/>
        </row>
        <row r="11">
          <cell r="A11">
            <v>90</v>
          </cell>
          <cell r="B11"/>
          <cell r="C11"/>
          <cell r="D11"/>
          <cell r="E11"/>
          <cell r="F11"/>
        </row>
        <row r="12">
          <cell r="A12" t="str">
            <v>90+</v>
          </cell>
          <cell r="B12"/>
          <cell r="C12"/>
          <cell r="D12"/>
          <cell r="E12"/>
          <cell r="F12"/>
        </row>
        <row r="13">
          <cell r="C13" t="str">
            <v>ДЕВУШКИ (16-17)</v>
          </cell>
        </row>
        <row r="14">
          <cell r="A14">
            <v>44</v>
          </cell>
          <cell r="B14"/>
          <cell r="C14"/>
          <cell r="D14"/>
          <cell r="E14"/>
          <cell r="F14"/>
        </row>
        <row r="15">
          <cell r="A15">
            <v>48</v>
          </cell>
          <cell r="B15"/>
          <cell r="C15"/>
          <cell r="D15"/>
          <cell r="E15"/>
          <cell r="F15"/>
        </row>
        <row r="16">
          <cell r="A16">
            <v>52</v>
          </cell>
          <cell r="B16">
            <v>55</v>
          </cell>
          <cell r="C16" t="str">
            <v>Reutova Nadezhda/93</v>
          </cell>
          <cell r="D16" t="str">
            <v>RUS</v>
          </cell>
          <cell r="E16">
            <v>39873</v>
          </cell>
          <cell r="F16" t="str">
            <v>Chelyabinsk</v>
          </cell>
        </row>
        <row r="17">
          <cell r="A17">
            <v>56</v>
          </cell>
          <cell r="B17">
            <v>77.5</v>
          </cell>
          <cell r="C17" t="str">
            <v>Blinkova Natalya/92</v>
          </cell>
          <cell r="D17" t="str">
            <v>RUS</v>
          </cell>
          <cell r="E17">
            <v>40258</v>
          </cell>
          <cell r="F17" t="str">
            <v>Kursk</v>
          </cell>
        </row>
        <row r="18">
          <cell r="A18">
            <v>60</v>
          </cell>
          <cell r="B18"/>
          <cell r="C18"/>
          <cell r="D18"/>
          <cell r="E18"/>
          <cell r="F18"/>
        </row>
        <row r="19">
          <cell r="A19">
            <v>67.5</v>
          </cell>
          <cell r="B19"/>
          <cell r="C19"/>
          <cell r="D19"/>
          <cell r="E19"/>
          <cell r="F19"/>
        </row>
        <row r="20">
          <cell r="A20">
            <v>75</v>
          </cell>
          <cell r="B20"/>
          <cell r="C20"/>
          <cell r="D20"/>
          <cell r="E20"/>
          <cell r="F20"/>
        </row>
        <row r="21">
          <cell r="A21">
            <v>82.5</v>
          </cell>
          <cell r="B21"/>
          <cell r="C21"/>
          <cell r="D21"/>
          <cell r="E21"/>
          <cell r="F21"/>
        </row>
        <row r="22">
          <cell r="A22">
            <v>90</v>
          </cell>
          <cell r="B22"/>
          <cell r="C22"/>
          <cell r="D22"/>
          <cell r="E22"/>
          <cell r="F22"/>
        </row>
        <row r="23">
          <cell r="A23" t="str">
            <v>90+</v>
          </cell>
          <cell r="B23"/>
          <cell r="C23"/>
          <cell r="D23"/>
          <cell r="E23"/>
          <cell r="F23"/>
        </row>
        <row r="24">
          <cell r="C24" t="str">
            <v>ДЕВУШКИ  (18 - 19)</v>
          </cell>
        </row>
        <row r="25">
          <cell r="A25">
            <v>44</v>
          </cell>
          <cell r="B25"/>
          <cell r="C25"/>
          <cell r="D25"/>
          <cell r="E25"/>
          <cell r="F25"/>
        </row>
        <row r="26">
          <cell r="A26">
            <v>48</v>
          </cell>
          <cell r="B26">
            <v>72.5</v>
          </cell>
          <cell r="C26" t="str">
            <v>Dudyreva Irina/90</v>
          </cell>
          <cell r="D26" t="str">
            <v>RUS</v>
          </cell>
          <cell r="E26">
            <v>40258</v>
          </cell>
          <cell r="F26" t="str">
            <v>Kursk</v>
          </cell>
        </row>
        <row r="27">
          <cell r="A27">
            <v>52</v>
          </cell>
          <cell r="B27"/>
          <cell r="C27"/>
          <cell r="D27"/>
          <cell r="E27"/>
          <cell r="F27"/>
        </row>
        <row r="28">
          <cell r="A28">
            <v>56</v>
          </cell>
          <cell r="B28">
            <v>75</v>
          </cell>
          <cell r="C28" t="str">
            <v>Blinkova Natalya/92</v>
          </cell>
          <cell r="D28" t="str">
            <v>RUS</v>
          </cell>
          <cell r="E28">
            <v>40523</v>
          </cell>
          <cell r="F28" t="str">
            <v>Kursk</v>
          </cell>
        </row>
        <row r="29">
          <cell r="A29">
            <v>60</v>
          </cell>
          <cell r="B29">
            <v>87.5</v>
          </cell>
          <cell r="C29" t="str">
            <v>Berezenko Mariya/89</v>
          </cell>
          <cell r="D29" t="str">
            <v>RUS</v>
          </cell>
          <cell r="E29">
            <v>39872</v>
          </cell>
          <cell r="F29" t="str">
            <v>Chelyabinsk</v>
          </cell>
        </row>
        <row r="30">
          <cell r="A30">
            <v>67.5</v>
          </cell>
          <cell r="B30"/>
          <cell r="C30"/>
          <cell r="D30"/>
          <cell r="E30"/>
          <cell r="F30"/>
        </row>
        <row r="31">
          <cell r="A31">
            <v>75</v>
          </cell>
          <cell r="B31"/>
          <cell r="C31"/>
          <cell r="D31"/>
          <cell r="E31"/>
          <cell r="F31"/>
        </row>
        <row r="32">
          <cell r="A32">
            <v>82.5</v>
          </cell>
          <cell r="B32"/>
          <cell r="C32"/>
          <cell r="D32"/>
          <cell r="E32"/>
          <cell r="F32"/>
        </row>
        <row r="33">
          <cell r="A33">
            <v>90</v>
          </cell>
          <cell r="B33"/>
          <cell r="C33"/>
          <cell r="D33"/>
          <cell r="E33"/>
          <cell r="F33"/>
        </row>
        <row r="34">
          <cell r="A34" t="str">
            <v>90+</v>
          </cell>
          <cell r="B34"/>
          <cell r="C34"/>
          <cell r="D34"/>
          <cell r="E34"/>
          <cell r="F34"/>
        </row>
        <row r="35">
          <cell r="C35" t="str">
            <v>ЮНИОРКИ  (20 - 23)</v>
          </cell>
        </row>
        <row r="36">
          <cell r="A36">
            <v>44</v>
          </cell>
          <cell r="B36"/>
          <cell r="C36"/>
          <cell r="D36"/>
          <cell r="E36"/>
          <cell r="F36"/>
        </row>
        <row r="37">
          <cell r="A37">
            <v>48</v>
          </cell>
          <cell r="B37">
            <v>80</v>
          </cell>
          <cell r="C37" t="str">
            <v>Dudyreva Irina/90</v>
          </cell>
          <cell r="D37" t="str">
            <v>RUS</v>
          </cell>
          <cell r="E37">
            <v>40409</v>
          </cell>
          <cell r="F37" t="str">
            <v>Moscow</v>
          </cell>
        </row>
        <row r="38">
          <cell r="A38">
            <v>52</v>
          </cell>
          <cell r="B38">
            <v>85</v>
          </cell>
          <cell r="C38" t="str">
            <v>Blinkova Natalya/92</v>
          </cell>
          <cell r="D38" t="str">
            <v>RUS</v>
          </cell>
          <cell r="E38">
            <v>41129</v>
          </cell>
          <cell r="F38" t="str">
            <v>Kryvyi Rig</v>
          </cell>
        </row>
        <row r="39">
          <cell r="A39">
            <v>56</v>
          </cell>
          <cell r="B39">
            <v>97.5</v>
          </cell>
          <cell r="C39" t="str">
            <v>Berezenko Mariya/89</v>
          </cell>
          <cell r="D39" t="str">
            <v>RUS</v>
          </cell>
          <cell r="E39">
            <v>40983</v>
          </cell>
          <cell r="F39" t="str">
            <v>Yekaterinbourg</v>
          </cell>
        </row>
        <row r="40">
          <cell r="A40">
            <v>60</v>
          </cell>
          <cell r="B40">
            <v>70</v>
          </cell>
          <cell r="C40" t="str">
            <v>Morozova Irina</v>
          </cell>
          <cell r="D40" t="str">
            <v>RUS</v>
          </cell>
          <cell r="E40">
            <v>39424</v>
          </cell>
          <cell r="F40" t="str">
            <v>Kursk</v>
          </cell>
        </row>
        <row r="41">
          <cell r="A41">
            <v>67.5</v>
          </cell>
          <cell r="B41"/>
          <cell r="C41"/>
          <cell r="D41"/>
          <cell r="E41"/>
          <cell r="F41"/>
        </row>
        <row r="42">
          <cell r="A42">
            <v>75</v>
          </cell>
          <cell r="B42"/>
          <cell r="C42"/>
          <cell r="D42"/>
          <cell r="E42"/>
          <cell r="F42"/>
        </row>
        <row r="43">
          <cell r="A43">
            <v>82.5</v>
          </cell>
          <cell r="B43"/>
          <cell r="C43"/>
          <cell r="D43"/>
          <cell r="E43"/>
          <cell r="F43"/>
        </row>
        <row r="44">
          <cell r="A44">
            <v>90</v>
          </cell>
          <cell r="B44"/>
          <cell r="C44"/>
          <cell r="D44"/>
          <cell r="E44"/>
          <cell r="F44"/>
        </row>
        <row r="45">
          <cell r="A45" t="str">
            <v>90+</v>
          </cell>
          <cell r="B45"/>
          <cell r="C45"/>
          <cell r="D45"/>
          <cell r="E45"/>
          <cell r="F45"/>
        </row>
        <row r="46">
          <cell r="C46" t="str">
            <v>ЖЕНЩИНЫ</v>
          </cell>
        </row>
        <row r="47">
          <cell r="A47">
            <v>44</v>
          </cell>
          <cell r="B47">
            <v>40</v>
          </cell>
          <cell r="C47" t="str">
            <v>Gamayunova Anna/86</v>
          </cell>
          <cell r="D47" t="str">
            <v>RUS</v>
          </cell>
          <cell r="E47">
            <v>40816</v>
          </cell>
          <cell r="F47" t="str">
            <v>Yekaterinbourg</v>
          </cell>
        </row>
        <row r="48">
          <cell r="A48">
            <v>48</v>
          </cell>
          <cell r="B48">
            <v>87.5</v>
          </cell>
          <cell r="C48" t="str">
            <v>Sergienko Anastasiya/87</v>
          </cell>
          <cell r="D48" t="str">
            <v>RUS</v>
          </cell>
          <cell r="E48" t="str">
            <v>23.08.2014</v>
          </cell>
          <cell r="F48" t="str">
            <v>Moscow</v>
          </cell>
        </row>
        <row r="49">
          <cell r="A49">
            <v>52</v>
          </cell>
          <cell r="B49">
            <v>110</v>
          </cell>
          <cell r="C49" t="str">
            <v>Antipova Agnessa/81</v>
          </cell>
          <cell r="D49" t="str">
            <v>RUS</v>
          </cell>
          <cell r="E49">
            <v>40816</v>
          </cell>
          <cell r="F49" t="str">
            <v>Yekaterinbourg</v>
          </cell>
        </row>
        <row r="50">
          <cell r="A50">
            <v>56</v>
          </cell>
          <cell r="B50">
            <v>112.5</v>
          </cell>
          <cell r="C50" t="str">
            <v>Konoval Anna/84</v>
          </cell>
          <cell r="D50" t="str">
            <v>UKR</v>
          </cell>
          <cell r="E50">
            <v>41496</v>
          </cell>
          <cell r="F50" t="str">
            <v>Kursk</v>
          </cell>
        </row>
        <row r="51">
          <cell r="A51">
            <v>60</v>
          </cell>
          <cell r="B51">
            <v>92.5</v>
          </cell>
          <cell r="C51" t="str">
            <v>Zagrebina Natalya/77</v>
          </cell>
          <cell r="D51" t="str">
            <v>RUS</v>
          </cell>
          <cell r="E51">
            <v>41619</v>
          </cell>
          <cell r="F51" t="str">
            <v>Kursk</v>
          </cell>
        </row>
        <row r="52">
          <cell r="A52">
            <v>67.5</v>
          </cell>
          <cell r="B52">
            <v>140</v>
          </cell>
          <cell r="C52" t="str">
            <v>Medvedeva Yuliya/79</v>
          </cell>
          <cell r="D52" t="str">
            <v>RUS</v>
          </cell>
          <cell r="E52">
            <v>40034</v>
          </cell>
          <cell r="F52" t="str">
            <v>Kursk</v>
          </cell>
        </row>
        <row r="53">
          <cell r="A53">
            <v>75</v>
          </cell>
          <cell r="B53">
            <v>120</v>
          </cell>
          <cell r="C53" t="str">
            <v>Sinachyova Svetlana/66</v>
          </cell>
          <cell r="D53" t="str">
            <v>RUS</v>
          </cell>
          <cell r="E53">
            <v>39724</v>
          </cell>
          <cell r="F53" t="str">
            <v>Lauchhammer</v>
          </cell>
        </row>
        <row r="54">
          <cell r="A54">
            <v>82.5</v>
          </cell>
          <cell r="B54">
            <v>130</v>
          </cell>
          <cell r="C54" t="str">
            <v>Bako Natalya/73</v>
          </cell>
          <cell r="D54" t="str">
            <v>RUS</v>
          </cell>
          <cell r="E54">
            <v>40025</v>
          </cell>
          <cell r="F54" t="str">
            <v>West Palm Beach</v>
          </cell>
        </row>
        <row r="55">
          <cell r="A55">
            <v>90</v>
          </cell>
          <cell r="B55"/>
          <cell r="C55"/>
          <cell r="D55"/>
          <cell r="E55"/>
          <cell r="F55"/>
        </row>
        <row r="56">
          <cell r="A56" t="str">
            <v>90+</v>
          </cell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 t="str">
            <v>ЖЕНЩИНЫ - САБМАСТЕРC (33 - 39)</v>
          </cell>
        </row>
        <row r="59">
          <cell r="A59">
            <v>44</v>
          </cell>
          <cell r="B59"/>
          <cell r="C59"/>
          <cell r="D59"/>
          <cell r="E59"/>
          <cell r="F59"/>
        </row>
        <row r="60">
          <cell r="A60">
            <v>48</v>
          </cell>
          <cell r="B60"/>
          <cell r="C60"/>
          <cell r="D60"/>
          <cell r="E60"/>
          <cell r="F60"/>
        </row>
        <row r="61">
          <cell r="A61">
            <v>52</v>
          </cell>
          <cell r="B61">
            <v>62.5</v>
          </cell>
          <cell r="C61" t="str">
            <v>Prots' Liliya/74</v>
          </cell>
          <cell r="D61" t="str">
            <v>UKR</v>
          </cell>
          <cell r="E61">
            <v>41129</v>
          </cell>
          <cell r="F61" t="str">
            <v>Kryvyi Rig</v>
          </cell>
        </row>
        <row r="62">
          <cell r="A62">
            <v>56</v>
          </cell>
          <cell r="B62">
            <v>88</v>
          </cell>
          <cell r="C62" t="str">
            <v>Grigoryeva,Yelena/76</v>
          </cell>
          <cell r="D62" t="str">
            <v>RUS</v>
          </cell>
          <cell r="E62" t="str">
            <v>23.08.2014</v>
          </cell>
          <cell r="F62" t="str">
            <v>Moscow</v>
          </cell>
        </row>
        <row r="63">
          <cell r="A63">
            <v>60</v>
          </cell>
          <cell r="B63">
            <v>92.5</v>
          </cell>
          <cell r="C63" t="str">
            <v xml:space="preserve">Zagrebina Yatalya/77 </v>
          </cell>
          <cell r="D63" t="str">
            <v>RUS</v>
          </cell>
          <cell r="E63">
            <v>41619</v>
          </cell>
          <cell r="F63" t="str">
            <v>Kursk</v>
          </cell>
        </row>
        <row r="64">
          <cell r="A64">
            <v>67.5</v>
          </cell>
          <cell r="B64">
            <v>102.5</v>
          </cell>
          <cell r="C64" t="str">
            <v xml:space="preserve">Zagrebina Yatalya/77 </v>
          </cell>
          <cell r="D64" t="str">
            <v>RUS</v>
          </cell>
          <cell r="E64" t="str">
            <v>23.08.2014</v>
          </cell>
          <cell r="F64" t="str">
            <v>Moscow</v>
          </cell>
        </row>
        <row r="65">
          <cell r="A65">
            <v>75</v>
          </cell>
          <cell r="B65">
            <v>80</v>
          </cell>
          <cell r="C65" t="str">
            <v>Yudina Inna/78</v>
          </cell>
          <cell r="D65" t="str">
            <v>UKR</v>
          </cell>
          <cell r="E65">
            <v>40986</v>
          </cell>
          <cell r="F65" t="str">
            <v>Kryvyi Rig</v>
          </cell>
        </row>
        <row r="66">
          <cell r="A66">
            <v>82.5</v>
          </cell>
          <cell r="B66">
            <v>130</v>
          </cell>
          <cell r="C66" t="str">
            <v>Bako Natalya/73</v>
          </cell>
          <cell r="D66" t="str">
            <v>RUS</v>
          </cell>
          <cell r="E66">
            <v>40025</v>
          </cell>
          <cell r="F66" t="str">
            <v>West Palm Beach</v>
          </cell>
        </row>
        <row r="67">
          <cell r="A67">
            <v>90</v>
          </cell>
          <cell r="B67"/>
          <cell r="C67"/>
          <cell r="D67"/>
          <cell r="E67"/>
          <cell r="F67"/>
        </row>
        <row r="68">
          <cell r="A68" t="str">
            <v>90+</v>
          </cell>
          <cell r="B68"/>
          <cell r="C68"/>
          <cell r="D68"/>
          <cell r="E68"/>
          <cell r="F68"/>
        </row>
        <row r="69">
          <cell r="B69"/>
          <cell r="C69"/>
          <cell r="D69"/>
          <cell r="E69"/>
          <cell r="F69"/>
        </row>
        <row r="70">
          <cell r="C70" t="str">
            <v>МАСТЕРС - 1(40-44)</v>
          </cell>
        </row>
        <row r="71">
          <cell r="A71">
            <v>44</v>
          </cell>
          <cell r="B71"/>
          <cell r="C71"/>
          <cell r="D71"/>
          <cell r="E71"/>
          <cell r="F71"/>
        </row>
        <row r="72">
          <cell r="A72">
            <v>48</v>
          </cell>
          <cell r="B72"/>
          <cell r="C72"/>
          <cell r="D72"/>
          <cell r="E72"/>
          <cell r="F72"/>
        </row>
        <row r="73">
          <cell r="A73">
            <v>52</v>
          </cell>
          <cell r="B73"/>
          <cell r="C73"/>
          <cell r="D73"/>
          <cell r="E73"/>
          <cell r="F73"/>
        </row>
        <row r="74">
          <cell r="A74">
            <v>56</v>
          </cell>
          <cell r="B74"/>
          <cell r="C74"/>
          <cell r="D74"/>
          <cell r="E74"/>
          <cell r="F74"/>
        </row>
        <row r="75">
          <cell r="A75">
            <v>60</v>
          </cell>
          <cell r="B75"/>
          <cell r="C75"/>
          <cell r="D75"/>
          <cell r="E75"/>
          <cell r="F75"/>
        </row>
        <row r="76">
          <cell r="A76">
            <v>67.5</v>
          </cell>
          <cell r="B76">
            <v>82.5</v>
          </cell>
          <cell r="C76" t="str">
            <v>Nikolenko Anna/70</v>
          </cell>
          <cell r="D76" t="str">
            <v>RUS</v>
          </cell>
          <cell r="E76">
            <v>41441</v>
          </cell>
          <cell r="F76" t="str">
            <v>Moscow</v>
          </cell>
        </row>
        <row r="77">
          <cell r="A77">
            <v>75</v>
          </cell>
          <cell r="B77">
            <v>120</v>
          </cell>
          <cell r="C77" t="str">
            <v>Sinachyova Svetlana/66</v>
          </cell>
          <cell r="D77" t="str">
            <v>RUS</v>
          </cell>
          <cell r="E77">
            <v>39724</v>
          </cell>
          <cell r="F77" t="str">
            <v>Lauchhammer</v>
          </cell>
        </row>
        <row r="78">
          <cell r="A78">
            <v>82.5</v>
          </cell>
          <cell r="B78">
            <v>115</v>
          </cell>
          <cell r="C78" t="str">
            <v>Sinachyova Svetlana/66</v>
          </cell>
          <cell r="D78" t="str">
            <v>RUS</v>
          </cell>
          <cell r="E78">
            <v>40257</v>
          </cell>
          <cell r="F78" t="str">
            <v>Kursk</v>
          </cell>
        </row>
        <row r="79">
          <cell r="A79">
            <v>90</v>
          </cell>
          <cell r="B79"/>
          <cell r="C79"/>
          <cell r="D79"/>
          <cell r="E79"/>
          <cell r="F79"/>
        </row>
        <row r="80">
          <cell r="A80" t="str">
            <v>90+</v>
          </cell>
          <cell r="B80"/>
          <cell r="C80"/>
          <cell r="D80"/>
          <cell r="E80"/>
          <cell r="F80"/>
        </row>
        <row r="81">
          <cell r="B81"/>
          <cell r="C81"/>
          <cell r="D81"/>
          <cell r="E81"/>
          <cell r="F81"/>
        </row>
        <row r="82">
          <cell r="C82" t="str">
            <v>МАСТЕРС -2(45-49)</v>
          </cell>
        </row>
        <row r="83">
          <cell r="A83">
            <v>44</v>
          </cell>
          <cell r="B83"/>
          <cell r="C83"/>
          <cell r="D83"/>
          <cell r="E83"/>
          <cell r="F83"/>
        </row>
        <row r="84">
          <cell r="A84">
            <v>48</v>
          </cell>
          <cell r="B84"/>
          <cell r="C84"/>
          <cell r="D84"/>
          <cell r="E84"/>
          <cell r="F84"/>
        </row>
        <row r="85">
          <cell r="A85">
            <v>52</v>
          </cell>
          <cell r="B85"/>
          <cell r="C85"/>
          <cell r="D85"/>
          <cell r="E85"/>
          <cell r="F85"/>
        </row>
        <row r="86">
          <cell r="A86">
            <v>56</v>
          </cell>
          <cell r="B86"/>
          <cell r="C86"/>
          <cell r="D86"/>
          <cell r="E86"/>
          <cell r="F86"/>
        </row>
        <row r="87">
          <cell r="A87">
            <v>60</v>
          </cell>
          <cell r="B87">
            <v>45</v>
          </cell>
          <cell r="C87" t="str">
            <v>Demidenko Irina/64</v>
          </cell>
          <cell r="D87" t="str">
            <v>UKR</v>
          </cell>
          <cell r="E87">
            <v>40467</v>
          </cell>
          <cell r="F87" t="str">
            <v>Kryvyi Rig</v>
          </cell>
        </row>
        <row r="88">
          <cell r="A88">
            <v>67.5</v>
          </cell>
          <cell r="B88"/>
          <cell r="C88"/>
          <cell r="D88"/>
          <cell r="E88"/>
          <cell r="F88"/>
        </row>
        <row r="89">
          <cell r="A89">
            <v>75</v>
          </cell>
          <cell r="B89"/>
          <cell r="C89"/>
          <cell r="D89"/>
          <cell r="E89"/>
          <cell r="F89"/>
        </row>
        <row r="90">
          <cell r="A90">
            <v>82.5</v>
          </cell>
          <cell r="B90"/>
          <cell r="C90"/>
          <cell r="D90"/>
          <cell r="E90"/>
          <cell r="F90"/>
        </row>
        <row r="91">
          <cell r="A91">
            <v>90</v>
          </cell>
          <cell r="B91"/>
          <cell r="C91"/>
          <cell r="D91"/>
          <cell r="E91"/>
          <cell r="F91"/>
        </row>
        <row r="92">
          <cell r="A92" t="str">
            <v>90+</v>
          </cell>
          <cell r="B92"/>
          <cell r="C92"/>
          <cell r="D92"/>
          <cell r="E92"/>
          <cell r="F92"/>
        </row>
        <row r="93">
          <cell r="C93" t="str">
            <v>МАСТЕРС -3(50-54)</v>
          </cell>
        </row>
        <row r="94">
          <cell r="A94">
            <v>44</v>
          </cell>
          <cell r="B94"/>
          <cell r="C94"/>
          <cell r="D94"/>
          <cell r="E94"/>
          <cell r="F94"/>
        </row>
        <row r="95">
          <cell r="A95">
            <v>48</v>
          </cell>
          <cell r="B95"/>
          <cell r="C95"/>
          <cell r="D95"/>
          <cell r="E95"/>
          <cell r="F95"/>
        </row>
        <row r="96">
          <cell r="A96">
            <v>52</v>
          </cell>
          <cell r="B96">
            <v>62.5</v>
          </cell>
          <cell r="C96" t="str">
            <v>Telegina Tatyana/61</v>
          </cell>
          <cell r="D96" t="str">
            <v>RUS</v>
          </cell>
          <cell r="E96">
            <v>41137</v>
          </cell>
          <cell r="F96" t="str">
            <v>Novosibirsk</v>
          </cell>
        </row>
        <row r="97">
          <cell r="A97">
            <v>56</v>
          </cell>
          <cell r="B97"/>
          <cell r="C97"/>
          <cell r="D97"/>
          <cell r="E97"/>
          <cell r="F97"/>
        </row>
        <row r="98">
          <cell r="A98">
            <v>60</v>
          </cell>
          <cell r="B98"/>
          <cell r="C98"/>
          <cell r="D98"/>
          <cell r="E98"/>
          <cell r="F98"/>
        </row>
        <row r="99">
          <cell r="A99">
            <v>67.5</v>
          </cell>
          <cell r="B99"/>
          <cell r="C99"/>
          <cell r="D99"/>
          <cell r="E99"/>
          <cell r="F99"/>
        </row>
        <row r="100">
          <cell r="A100">
            <v>75</v>
          </cell>
          <cell r="B100"/>
          <cell r="C100"/>
          <cell r="D100"/>
          <cell r="E100"/>
          <cell r="F100"/>
        </row>
        <row r="101">
          <cell r="A101">
            <v>82.5</v>
          </cell>
          <cell r="B101"/>
          <cell r="C101"/>
          <cell r="D101"/>
          <cell r="E101"/>
          <cell r="F101"/>
        </row>
        <row r="102">
          <cell r="A102">
            <v>90</v>
          </cell>
          <cell r="B102"/>
          <cell r="C102"/>
          <cell r="D102"/>
          <cell r="E102"/>
          <cell r="F102"/>
        </row>
        <row r="103">
          <cell r="A103" t="str">
            <v>90+</v>
          </cell>
          <cell r="B103"/>
          <cell r="C103"/>
          <cell r="D103"/>
          <cell r="E103"/>
          <cell r="F103"/>
        </row>
        <row r="104">
          <cell r="C104" t="str">
            <v>МАСТЕРС -4(55-59)</v>
          </cell>
        </row>
        <row r="105">
          <cell r="A105">
            <v>44</v>
          </cell>
          <cell r="B105"/>
          <cell r="C105"/>
          <cell r="D105"/>
          <cell r="E105"/>
          <cell r="F105"/>
        </row>
        <row r="106">
          <cell r="A106">
            <v>48</v>
          </cell>
          <cell r="B106"/>
          <cell r="C106"/>
          <cell r="D106"/>
          <cell r="E106"/>
          <cell r="F106"/>
        </row>
        <row r="107">
          <cell r="A107">
            <v>52</v>
          </cell>
          <cell r="B107"/>
          <cell r="C107"/>
          <cell r="D107"/>
          <cell r="E107"/>
          <cell r="F107"/>
        </row>
        <row r="108">
          <cell r="A108">
            <v>56</v>
          </cell>
          <cell r="B108"/>
          <cell r="C108"/>
          <cell r="D108"/>
          <cell r="E108"/>
          <cell r="F108"/>
        </row>
        <row r="109">
          <cell r="A109">
            <v>60</v>
          </cell>
          <cell r="B109"/>
          <cell r="C109"/>
          <cell r="D109"/>
          <cell r="E109"/>
          <cell r="F109"/>
        </row>
        <row r="110">
          <cell r="A110">
            <v>67.5</v>
          </cell>
          <cell r="B110"/>
          <cell r="C110"/>
          <cell r="D110"/>
          <cell r="E110"/>
          <cell r="F110"/>
        </row>
        <row r="111">
          <cell r="A111">
            <v>75</v>
          </cell>
          <cell r="B111"/>
          <cell r="C111"/>
          <cell r="D111"/>
          <cell r="E111"/>
          <cell r="F111"/>
        </row>
        <row r="112">
          <cell r="A112">
            <v>82.5</v>
          </cell>
          <cell r="B112"/>
          <cell r="C112"/>
          <cell r="D112"/>
          <cell r="E112"/>
          <cell r="F112"/>
        </row>
        <row r="113">
          <cell r="A113">
            <v>90</v>
          </cell>
          <cell r="B113"/>
          <cell r="C113"/>
          <cell r="D113"/>
          <cell r="E113"/>
          <cell r="F113"/>
        </row>
        <row r="114">
          <cell r="A114" t="str">
            <v>90+</v>
          </cell>
          <cell r="B114"/>
          <cell r="C114"/>
          <cell r="D114"/>
          <cell r="E114"/>
          <cell r="F114"/>
        </row>
        <row r="115">
          <cell r="E115"/>
        </row>
        <row r="116">
          <cell r="E116"/>
        </row>
        <row r="117">
          <cell r="E117"/>
        </row>
        <row r="118">
          <cell r="E118"/>
        </row>
        <row r="119">
          <cell r="E119"/>
        </row>
        <row r="120">
          <cell r="E120"/>
        </row>
        <row r="121">
          <cell r="E121"/>
        </row>
        <row r="122">
          <cell r="E122"/>
        </row>
        <row r="123">
          <cell r="E123"/>
        </row>
        <row r="124">
          <cell r="E124"/>
        </row>
        <row r="125">
          <cell r="E125"/>
        </row>
        <row r="126">
          <cell r="E126"/>
        </row>
        <row r="127">
          <cell r="E127"/>
        </row>
        <row r="128">
          <cell r="E128"/>
        </row>
        <row r="129">
          <cell r="E129"/>
        </row>
        <row r="130">
          <cell r="E130"/>
        </row>
        <row r="131">
          <cell r="E131"/>
        </row>
        <row r="132">
          <cell r="E132"/>
        </row>
        <row r="133">
          <cell r="E133"/>
        </row>
        <row r="134">
          <cell r="E134"/>
        </row>
        <row r="135">
          <cell r="E135"/>
        </row>
        <row r="136">
          <cell r="E136"/>
        </row>
        <row r="137">
          <cell r="E137"/>
        </row>
      </sheetData>
      <sheetData sheetId="1">
        <row r="1">
          <cell r="B1" t="str">
            <v>AWPC BP - Europe</v>
          </cell>
          <cell r="C1"/>
          <cell r="D1"/>
          <cell r="E1"/>
          <cell r="F1"/>
        </row>
        <row r="2">
          <cell r="B2" t="str">
            <v>T1  (13 - 15)</v>
          </cell>
        </row>
        <row r="3">
          <cell r="A3">
            <v>52</v>
          </cell>
          <cell r="B3">
            <v>90</v>
          </cell>
          <cell r="C3" t="str">
            <v>Telegin Nikita/95</v>
          </cell>
          <cell r="D3" t="str">
            <v>RUS</v>
          </cell>
          <cell r="E3">
            <v>39873</v>
          </cell>
          <cell r="F3" t="str">
            <v>Chelyabinsk</v>
          </cell>
        </row>
        <row r="4">
          <cell r="A4">
            <v>56</v>
          </cell>
          <cell r="B4">
            <v>90</v>
          </cell>
          <cell r="C4" t="str">
            <v>Mikhin Vitaly/93</v>
          </cell>
          <cell r="D4" t="str">
            <v>RUS</v>
          </cell>
          <cell r="E4">
            <v>39873</v>
          </cell>
          <cell r="F4" t="str">
            <v>Chelyabinsk</v>
          </cell>
        </row>
        <row r="5">
          <cell r="A5">
            <v>60</v>
          </cell>
          <cell r="B5">
            <v>105</v>
          </cell>
          <cell r="C5" t="str">
            <v>Baranov Pavel/93</v>
          </cell>
          <cell r="D5" t="str">
            <v>RUS</v>
          </cell>
          <cell r="E5">
            <v>39606</v>
          </cell>
          <cell r="F5" t="str">
            <v>Kursk</v>
          </cell>
        </row>
        <row r="6">
          <cell r="A6" t="str">
            <v>67.5</v>
          </cell>
          <cell r="B6" t="str">
            <v>117.5</v>
          </cell>
          <cell r="C6" t="str">
            <v>Tychinin Denis/91</v>
          </cell>
          <cell r="D6" t="str">
            <v>RUS</v>
          </cell>
          <cell r="E6">
            <v>39312</v>
          </cell>
          <cell r="F6" t="str">
            <v>Kursk</v>
          </cell>
        </row>
        <row r="7">
          <cell r="A7">
            <v>75</v>
          </cell>
          <cell r="B7">
            <v>112.5</v>
          </cell>
          <cell r="C7" t="str">
            <v>Rezitsky Nikita/93</v>
          </cell>
          <cell r="D7" t="str">
            <v>RUS</v>
          </cell>
          <cell r="E7">
            <v>39873</v>
          </cell>
          <cell r="F7" t="str">
            <v>Chelyabinsk</v>
          </cell>
        </row>
        <row r="8">
          <cell r="A8">
            <v>82.5</v>
          </cell>
          <cell r="B8"/>
          <cell r="C8"/>
          <cell r="D8"/>
          <cell r="E8"/>
          <cell r="F8"/>
        </row>
        <row r="9">
          <cell r="A9">
            <v>90</v>
          </cell>
          <cell r="B9">
            <v>130</v>
          </cell>
          <cell r="C9" t="str">
            <v>Panfyorov Yevgeny/91</v>
          </cell>
          <cell r="D9" t="str">
            <v>RUS</v>
          </cell>
          <cell r="E9">
            <v>39312</v>
          </cell>
          <cell r="F9" t="str">
            <v>Kursk</v>
          </cell>
        </row>
        <row r="10">
          <cell r="A10">
            <v>100</v>
          </cell>
          <cell r="B10">
            <v>135</v>
          </cell>
          <cell r="C10" t="str">
            <v>Khandzhan Yuri/92</v>
          </cell>
          <cell r="D10" t="str">
            <v>RUS</v>
          </cell>
          <cell r="E10">
            <v>39352</v>
          </cell>
          <cell r="F10" t="str">
            <v>Horn</v>
          </cell>
        </row>
        <row r="11">
          <cell r="A11">
            <v>110</v>
          </cell>
          <cell r="B11"/>
          <cell r="C11"/>
          <cell r="D11"/>
          <cell r="E11"/>
          <cell r="F11"/>
        </row>
        <row r="12">
          <cell r="A12">
            <v>125</v>
          </cell>
          <cell r="B12"/>
          <cell r="C12"/>
          <cell r="D12"/>
          <cell r="E12"/>
          <cell r="F12"/>
        </row>
        <row r="13">
          <cell r="A13">
            <v>140</v>
          </cell>
          <cell r="B13"/>
          <cell r="C13"/>
          <cell r="D13"/>
          <cell r="E13"/>
          <cell r="F13"/>
        </row>
        <row r="14">
          <cell r="A14" t="str">
            <v>140+</v>
          </cell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 t="str">
            <v>T2  (16 - 17)</v>
          </cell>
          <cell r="F16"/>
        </row>
        <row r="17">
          <cell r="A17">
            <v>52</v>
          </cell>
          <cell r="B17">
            <v>87.5</v>
          </cell>
          <cell r="C17" t="str">
            <v>Polyakov Maxim/95</v>
          </cell>
          <cell r="D17" t="str">
            <v>RUS</v>
          </cell>
          <cell r="E17">
            <v>40983</v>
          </cell>
          <cell r="F17" t="str">
            <v>Yekaterinbourgh</v>
          </cell>
        </row>
        <row r="18">
          <cell r="A18">
            <v>56</v>
          </cell>
          <cell r="B18" t="str">
            <v>112.5</v>
          </cell>
          <cell r="C18" t="str">
            <v>Guliyev Fahri/91</v>
          </cell>
          <cell r="D18" t="str">
            <v>RUS</v>
          </cell>
          <cell r="E18">
            <v>39529</v>
          </cell>
          <cell r="F18" t="str">
            <v>Rostov</v>
          </cell>
        </row>
        <row r="19">
          <cell r="A19">
            <v>60</v>
          </cell>
          <cell r="B19">
            <v>145</v>
          </cell>
          <cell r="C19" t="str">
            <v>Telegin Nikita/95</v>
          </cell>
          <cell r="D19" t="str">
            <v>RUS</v>
          </cell>
          <cell r="E19">
            <v>40983</v>
          </cell>
          <cell r="F19" t="str">
            <v>Yekaterinbourgh</v>
          </cell>
        </row>
        <row r="20">
          <cell r="A20" t="str">
            <v>67.5</v>
          </cell>
          <cell r="B20">
            <v>162.5</v>
          </cell>
          <cell r="C20" t="str">
            <v>Abdyushev Arthur/93</v>
          </cell>
          <cell r="D20" t="str">
            <v>RUS</v>
          </cell>
          <cell r="E20">
            <v>41129</v>
          </cell>
          <cell r="F20" t="str">
            <v>Kryvyi Rig</v>
          </cell>
        </row>
        <row r="21">
          <cell r="A21">
            <v>75</v>
          </cell>
          <cell r="B21" t="str">
            <v>182.5</v>
          </cell>
          <cell r="C21" t="str">
            <v>Lopatin Vladislav/90</v>
          </cell>
          <cell r="D21" t="str">
            <v>RUS</v>
          </cell>
          <cell r="E21">
            <v>39529</v>
          </cell>
          <cell r="F21" t="str">
            <v>Rostov</v>
          </cell>
        </row>
        <row r="22">
          <cell r="A22" t="str">
            <v>82.5</v>
          </cell>
          <cell r="B22">
            <v>170</v>
          </cell>
          <cell r="C22" t="str">
            <v>Karpenko Alexander/92</v>
          </cell>
          <cell r="D22" t="str">
            <v>RUS</v>
          </cell>
          <cell r="E22">
            <v>40258</v>
          </cell>
          <cell r="F22" t="str">
            <v>Kursk</v>
          </cell>
        </row>
        <row r="23">
          <cell r="A23">
            <v>90</v>
          </cell>
          <cell r="B23">
            <v>155</v>
          </cell>
          <cell r="C23" t="str">
            <v>Garkavenko Vitaliy/94</v>
          </cell>
          <cell r="D23" t="str">
            <v>UKR</v>
          </cell>
          <cell r="E23">
            <v>40628</v>
          </cell>
          <cell r="F23" t="str">
            <v>Kryvyi Rig</v>
          </cell>
        </row>
        <row r="24">
          <cell r="A24">
            <v>100</v>
          </cell>
          <cell r="B24">
            <v>160</v>
          </cell>
          <cell r="C24" t="str">
            <v>Moskalenko Stanislav/92</v>
          </cell>
          <cell r="D24" t="str">
            <v>RUS</v>
          </cell>
          <cell r="E24">
            <v>39873</v>
          </cell>
          <cell r="F24" t="str">
            <v>Chelyabinsk</v>
          </cell>
        </row>
        <row r="25">
          <cell r="A25">
            <v>110</v>
          </cell>
          <cell r="B25"/>
          <cell r="C25"/>
          <cell r="D25"/>
          <cell r="E25"/>
          <cell r="F25"/>
        </row>
        <row r="26">
          <cell r="A26">
            <v>125</v>
          </cell>
          <cell r="B26">
            <v>210</v>
          </cell>
          <cell r="C26" t="str">
            <v>Makarov Andrei/93</v>
          </cell>
          <cell r="D26" t="str">
            <v>RUS</v>
          </cell>
          <cell r="E26">
            <v>40641</v>
          </cell>
          <cell r="F26" t="str">
            <v>Chelyabinsk</v>
          </cell>
        </row>
        <row r="27">
          <cell r="A27">
            <v>140</v>
          </cell>
          <cell r="B27">
            <v>150</v>
          </cell>
          <cell r="C27" t="str">
            <v>Kurkomeli Mikhail/93</v>
          </cell>
          <cell r="D27" t="str">
            <v>RUS</v>
          </cell>
          <cell r="E27">
            <v>39873</v>
          </cell>
          <cell r="F27" t="str">
            <v>Chelyabinsk</v>
          </cell>
        </row>
        <row r="28">
          <cell r="A28" t="str">
            <v>140+</v>
          </cell>
          <cell r="B28"/>
          <cell r="C28"/>
          <cell r="D28"/>
          <cell r="E28"/>
          <cell r="F28"/>
        </row>
        <row r="29">
          <cell r="B29"/>
          <cell r="C29"/>
          <cell r="D29"/>
          <cell r="E29"/>
          <cell r="F29"/>
        </row>
        <row r="30">
          <cell r="B30" t="str">
            <v>T3 (18 - 19)</v>
          </cell>
          <cell r="F30"/>
        </row>
        <row r="31">
          <cell r="A31">
            <v>52</v>
          </cell>
          <cell r="B31">
            <v>90</v>
          </cell>
          <cell r="C31" t="str">
            <v>Рыжов Александр/93</v>
          </cell>
          <cell r="D31" t="str">
            <v>RUS</v>
          </cell>
          <cell r="E31">
            <v>41137</v>
          </cell>
          <cell r="F31" t="str">
            <v>Novosibirsk</v>
          </cell>
        </row>
        <row r="32">
          <cell r="A32">
            <v>56</v>
          </cell>
          <cell r="B32">
            <v>115</v>
          </cell>
          <cell r="C32" t="str">
            <v>Zhikan Vladimir/94</v>
          </cell>
          <cell r="D32" t="str">
            <v>RUS</v>
          </cell>
          <cell r="E32">
            <v>41137</v>
          </cell>
          <cell r="F32" t="str">
            <v>Novosibirsk</v>
          </cell>
        </row>
        <row r="33">
          <cell r="A33">
            <v>60</v>
          </cell>
          <cell r="B33">
            <v>142.5</v>
          </cell>
          <cell r="C33" t="str">
            <v>Chekalin Vladislav/95</v>
          </cell>
          <cell r="D33" t="str">
            <v>RUS</v>
          </cell>
          <cell r="E33">
            <v>41137</v>
          </cell>
          <cell r="F33" t="str">
            <v>Novosibirsk</v>
          </cell>
        </row>
        <row r="34">
          <cell r="A34" t="str">
            <v>67.5</v>
          </cell>
          <cell r="B34">
            <v>163.5</v>
          </cell>
          <cell r="C34" t="str">
            <v>Noskov Andrei/93</v>
          </cell>
          <cell r="D34" t="str">
            <v>RUS</v>
          </cell>
          <cell r="E34">
            <v>41201</v>
          </cell>
          <cell r="F34" t="str">
            <v>Krasnodar</v>
          </cell>
        </row>
        <row r="35">
          <cell r="A35">
            <v>75</v>
          </cell>
          <cell r="B35">
            <v>185</v>
          </cell>
          <cell r="C35" t="str">
            <v>Medvedev Yaroslav/93</v>
          </cell>
          <cell r="D35" t="str">
            <v>RUS</v>
          </cell>
          <cell r="E35">
            <v>41017</v>
          </cell>
          <cell r="F35" t="str">
            <v>Rostov</v>
          </cell>
        </row>
        <row r="36">
          <cell r="A36" t="str">
            <v>82.5</v>
          </cell>
          <cell r="B36">
            <v>207.5</v>
          </cell>
          <cell r="C36" t="str">
            <v>Karpenko Alexander/92</v>
          </cell>
          <cell r="D36" t="str">
            <v>RUS</v>
          </cell>
          <cell r="E36">
            <v>41018</v>
          </cell>
          <cell r="F36" t="str">
            <v>Rostov</v>
          </cell>
        </row>
        <row r="37">
          <cell r="A37">
            <v>90</v>
          </cell>
          <cell r="B37">
            <v>175</v>
          </cell>
          <cell r="C37" t="str">
            <v>Vlasov Ivan/91</v>
          </cell>
          <cell r="D37" t="str">
            <v>RUS</v>
          </cell>
          <cell r="E37">
            <v>40641</v>
          </cell>
          <cell r="F37" t="str">
            <v>Chelyabinsk</v>
          </cell>
        </row>
        <row r="38">
          <cell r="A38">
            <v>100</v>
          </cell>
          <cell r="B38">
            <v>235</v>
          </cell>
          <cell r="C38" t="str">
            <v>Boyko Ilya/94</v>
          </cell>
          <cell r="D38" t="str">
            <v>RUS</v>
          </cell>
          <cell r="E38">
            <v>41216</v>
          </cell>
          <cell r="F38" t="str">
            <v>Vologda</v>
          </cell>
        </row>
        <row r="39">
          <cell r="A39">
            <v>110</v>
          </cell>
          <cell r="B39">
            <v>195</v>
          </cell>
          <cell r="C39" t="str">
            <v>Marakhovskyi Pavlo/91</v>
          </cell>
          <cell r="D39" t="str">
            <v>UKR</v>
          </cell>
          <cell r="E39">
            <v>40257</v>
          </cell>
          <cell r="F39" t="str">
            <v>Kryvyi Rig</v>
          </cell>
        </row>
        <row r="40">
          <cell r="A40">
            <v>125</v>
          </cell>
          <cell r="B40"/>
          <cell r="C40"/>
          <cell r="D40"/>
          <cell r="E40"/>
          <cell r="F40"/>
        </row>
        <row r="41">
          <cell r="A41">
            <v>140</v>
          </cell>
          <cell r="B41"/>
          <cell r="C41"/>
          <cell r="D41"/>
          <cell r="E41"/>
          <cell r="F41"/>
        </row>
        <row r="42">
          <cell r="A42" t="str">
            <v>140+</v>
          </cell>
          <cell r="B42">
            <v>235</v>
          </cell>
          <cell r="C42" t="str">
            <v>Makarov Andrei/93</v>
          </cell>
          <cell r="D42" t="str">
            <v>RUS</v>
          </cell>
          <cell r="E42">
            <v>41201</v>
          </cell>
          <cell r="F42" t="str">
            <v>Krasnodar</v>
          </cell>
        </row>
        <row r="43">
          <cell r="B43"/>
          <cell r="C43"/>
          <cell r="D43"/>
          <cell r="E43"/>
          <cell r="F43"/>
        </row>
        <row r="44">
          <cell r="B44" t="str">
            <v>Men's Junior (20 - 23)</v>
          </cell>
          <cell r="F44"/>
        </row>
        <row r="45">
          <cell r="A45">
            <v>52</v>
          </cell>
          <cell r="B45">
            <v>120</v>
          </cell>
          <cell r="C45" t="str">
            <v>Skhalyakho Kaplan/90</v>
          </cell>
          <cell r="D45" t="str">
            <v>RUS</v>
          </cell>
          <cell r="E45">
            <v>41201</v>
          </cell>
          <cell r="F45" t="str">
            <v>Krasnodar</v>
          </cell>
        </row>
        <row r="46">
          <cell r="A46">
            <v>56</v>
          </cell>
          <cell r="B46"/>
          <cell r="C46"/>
          <cell r="D46"/>
          <cell r="E46"/>
          <cell r="F46"/>
        </row>
        <row r="47">
          <cell r="A47">
            <v>60</v>
          </cell>
          <cell r="B47">
            <v>150</v>
          </cell>
          <cell r="C47" t="str">
            <v>Boryuk Sergiy/85</v>
          </cell>
          <cell r="D47" t="str">
            <v>UKR</v>
          </cell>
          <cell r="E47">
            <v>39726</v>
          </cell>
          <cell r="F47" t="str">
            <v>Ternopil"</v>
          </cell>
        </row>
        <row r="48">
          <cell r="A48" t="str">
            <v>67.5</v>
          </cell>
          <cell r="B48">
            <v>165</v>
          </cell>
          <cell r="C48" t="str">
            <v>Zhigulin Konstantin/87</v>
          </cell>
          <cell r="D48" t="str">
            <v>RUS</v>
          </cell>
          <cell r="E48">
            <v>40769</v>
          </cell>
          <cell r="F48" t="str">
            <v>Kursk</v>
          </cell>
        </row>
        <row r="49">
          <cell r="A49">
            <v>75</v>
          </cell>
          <cell r="B49">
            <v>185</v>
          </cell>
          <cell r="C49" t="str">
            <v>Medvedev Yaroslav/93</v>
          </cell>
          <cell r="D49" t="str">
            <v>RUS</v>
          </cell>
          <cell r="E49">
            <v>41018</v>
          </cell>
          <cell r="F49" t="str">
            <v>Rostov</v>
          </cell>
        </row>
        <row r="50">
          <cell r="A50" t="str">
            <v>82.5</v>
          </cell>
          <cell r="B50">
            <v>207.5</v>
          </cell>
          <cell r="C50" t="str">
            <v>Abubekirov Rinat/86</v>
          </cell>
          <cell r="D50" t="str">
            <v>RUS</v>
          </cell>
          <cell r="E50">
            <v>40409</v>
          </cell>
          <cell r="F50" t="str">
            <v>Moscow</v>
          </cell>
        </row>
        <row r="51">
          <cell r="A51">
            <v>90</v>
          </cell>
          <cell r="B51">
            <v>237.5</v>
          </cell>
          <cell r="C51" t="str">
            <v>Onufriyenko Denys/87</v>
          </cell>
          <cell r="D51" t="str">
            <v>UKR</v>
          </cell>
          <cell r="E51">
            <v>40257</v>
          </cell>
          <cell r="F51" t="str">
            <v>Kryvyi Rig</v>
          </cell>
        </row>
        <row r="52">
          <cell r="A52">
            <v>100</v>
          </cell>
          <cell r="B52">
            <v>250</v>
          </cell>
          <cell r="C52" t="str">
            <v>Likhovitskiy Ivan/90</v>
          </cell>
          <cell r="D52" t="str">
            <v>RUS</v>
          </cell>
          <cell r="E52">
            <v>41201</v>
          </cell>
          <cell r="F52" t="str">
            <v>Krasnodar</v>
          </cell>
        </row>
        <row r="53">
          <cell r="A53">
            <v>110</v>
          </cell>
          <cell r="B53">
            <v>250</v>
          </cell>
          <cell r="C53" t="str">
            <v>Kulebyakin Ruslan/91</v>
          </cell>
          <cell r="D53" t="str">
            <v>RUS</v>
          </cell>
          <cell r="E53" t="str">
            <v>23.08.2014</v>
          </cell>
          <cell r="F53" t="str">
            <v>Moscow</v>
          </cell>
        </row>
        <row r="54">
          <cell r="A54">
            <v>125</v>
          </cell>
          <cell r="B54">
            <v>260</v>
          </cell>
          <cell r="C54" t="str">
            <v>Voronkov Alexei/89</v>
          </cell>
          <cell r="D54" t="str">
            <v>RUS</v>
          </cell>
          <cell r="E54">
            <v>41201</v>
          </cell>
          <cell r="F54" t="str">
            <v>Krasnodar</v>
          </cell>
        </row>
        <row r="55">
          <cell r="A55">
            <v>140</v>
          </cell>
          <cell r="B55">
            <v>216</v>
          </cell>
          <cell r="C55" t="str">
            <v>Kuz'min Nikita/88</v>
          </cell>
          <cell r="D55" t="str">
            <v>RUS</v>
          </cell>
          <cell r="E55">
            <v>41137</v>
          </cell>
          <cell r="F55" t="str">
            <v>Novosibirsk</v>
          </cell>
        </row>
        <row r="56">
          <cell r="A56" t="str">
            <v>140+</v>
          </cell>
          <cell r="B56">
            <v>255</v>
          </cell>
          <cell r="C56" t="str">
            <v>Lisogor Olexiy/86</v>
          </cell>
          <cell r="D56" t="str">
            <v>UKR</v>
          </cell>
          <cell r="E56">
            <v>39724</v>
          </cell>
          <cell r="F56" t="str">
            <v>Lauchhammer</v>
          </cell>
        </row>
        <row r="57">
          <cell r="B57"/>
          <cell r="C57"/>
          <cell r="D57"/>
          <cell r="E57"/>
          <cell r="F57"/>
        </row>
        <row r="58">
          <cell r="B58" t="str">
            <v>MEN Open</v>
          </cell>
          <cell r="F58"/>
        </row>
        <row r="59">
          <cell r="A59">
            <v>52</v>
          </cell>
          <cell r="B59">
            <v>120</v>
          </cell>
          <cell r="C59" t="str">
            <v>Skhalyakho Kaplan/90</v>
          </cell>
          <cell r="D59" t="str">
            <v>RUS</v>
          </cell>
          <cell r="E59">
            <v>41201</v>
          </cell>
          <cell r="F59" t="str">
            <v>Krasnodar</v>
          </cell>
        </row>
        <row r="60">
          <cell r="A60">
            <v>56</v>
          </cell>
          <cell r="B60">
            <v>140</v>
          </cell>
          <cell r="C60" t="str">
            <v>Artemyev Igor/71</v>
          </cell>
          <cell r="D60" t="str">
            <v>RUS</v>
          </cell>
          <cell r="E60">
            <v>39123</v>
          </cell>
          <cell r="F60" t="str">
            <v>Chelyabinsk</v>
          </cell>
        </row>
        <row r="61">
          <cell r="A61">
            <v>60</v>
          </cell>
          <cell r="B61">
            <v>160.5</v>
          </cell>
          <cell r="C61" t="str">
            <v>Boryuk Sergiy/85</v>
          </cell>
          <cell r="D61" t="str">
            <v>UKR</v>
          </cell>
          <cell r="E61">
            <v>40986</v>
          </cell>
          <cell r="F61" t="str">
            <v>Kryvyi Rig</v>
          </cell>
        </row>
        <row r="62">
          <cell r="A62" t="str">
            <v>67.5</v>
          </cell>
          <cell r="B62">
            <v>162.5</v>
          </cell>
          <cell r="C62" t="str">
            <v>Matosyan Dmitry/76</v>
          </cell>
          <cell r="D62" t="str">
            <v>RUS</v>
          </cell>
          <cell r="E62">
            <v>39312</v>
          </cell>
          <cell r="F62" t="str">
            <v>Kursk</v>
          </cell>
        </row>
        <row r="63">
          <cell r="A63">
            <v>75</v>
          </cell>
          <cell r="B63">
            <v>215.5</v>
          </cell>
          <cell r="C63" t="str">
            <v>Milostnoy Stanislav/79</v>
          </cell>
          <cell r="D63" t="str">
            <v>RUS</v>
          </cell>
          <cell r="E63">
            <v>40258</v>
          </cell>
          <cell r="F63" t="str">
            <v>Kursk</v>
          </cell>
        </row>
        <row r="64">
          <cell r="A64" t="str">
            <v>82.5</v>
          </cell>
          <cell r="B64">
            <v>242.5</v>
          </cell>
          <cell r="C64" t="str">
            <v>Nechayev Yevgeny/78</v>
          </cell>
          <cell r="D64" t="str">
            <v>RUS</v>
          </cell>
          <cell r="E64">
            <v>39661</v>
          </cell>
          <cell r="F64" t="str">
            <v>Chicago</v>
          </cell>
        </row>
        <row r="65">
          <cell r="A65">
            <v>90</v>
          </cell>
          <cell r="B65">
            <v>305</v>
          </cell>
          <cell r="C65" t="str">
            <v>Ahmadov Mustafa/80</v>
          </cell>
          <cell r="D65" t="str">
            <v>RUS</v>
          </cell>
          <cell r="E65" t="str">
            <v>23.08.2014</v>
          </cell>
          <cell r="F65" t="str">
            <v>Moscow</v>
          </cell>
        </row>
        <row r="66">
          <cell r="A66">
            <v>100</v>
          </cell>
          <cell r="B66">
            <v>277.5</v>
          </cell>
          <cell r="C66" t="str">
            <v>Polutin Sergei/75</v>
          </cell>
          <cell r="D66" t="str">
            <v>UKR</v>
          </cell>
          <cell r="E66">
            <v>39724</v>
          </cell>
          <cell r="F66" t="str">
            <v>Lauchhammer</v>
          </cell>
        </row>
        <row r="67">
          <cell r="A67">
            <v>110</v>
          </cell>
          <cell r="B67">
            <v>315</v>
          </cell>
          <cell r="C67" t="str">
            <v>Bobchenko Vitaliy/79</v>
          </cell>
          <cell r="D67" t="str">
            <v>UKR</v>
          </cell>
          <cell r="E67">
            <v>40628</v>
          </cell>
          <cell r="F67" t="str">
            <v>Kryvyi Rig</v>
          </cell>
        </row>
        <row r="68">
          <cell r="A68">
            <v>125</v>
          </cell>
          <cell r="B68">
            <v>300</v>
          </cell>
          <cell r="C68" t="str">
            <v>Poletaev Vladimir/72</v>
          </cell>
          <cell r="D68" t="str">
            <v>RUS</v>
          </cell>
          <cell r="E68">
            <v>40641</v>
          </cell>
          <cell r="F68" t="str">
            <v>Chelyabinsk</v>
          </cell>
        </row>
        <row r="69">
          <cell r="A69">
            <v>140</v>
          </cell>
          <cell r="B69" t="str">
            <v>282.5</v>
          </cell>
          <cell r="C69" t="str">
            <v>Smirnov Yuri/71</v>
          </cell>
          <cell r="D69" t="str">
            <v>RUS</v>
          </cell>
          <cell r="E69">
            <v>39529</v>
          </cell>
          <cell r="F69" t="str">
            <v>Rostov</v>
          </cell>
        </row>
        <row r="70">
          <cell r="A70" t="str">
            <v>140+</v>
          </cell>
          <cell r="B70">
            <v>280</v>
          </cell>
          <cell r="C70" t="str">
            <v>Kozyrev Oleg/75</v>
          </cell>
          <cell r="D70" t="str">
            <v>RUS</v>
          </cell>
          <cell r="E70">
            <v>40641</v>
          </cell>
          <cell r="F70" t="str">
            <v>Chelyabinsk</v>
          </cell>
        </row>
        <row r="71">
          <cell r="B71"/>
          <cell r="C71"/>
          <cell r="D71"/>
          <cell r="E71"/>
          <cell r="F71"/>
        </row>
        <row r="72">
          <cell r="B72" t="str">
            <v>Men's Submasters 33-39</v>
          </cell>
        </row>
        <row r="73">
          <cell r="A73">
            <v>52</v>
          </cell>
          <cell r="B73"/>
          <cell r="C73"/>
          <cell r="D73"/>
          <cell r="E73"/>
          <cell r="F73"/>
        </row>
        <row r="74">
          <cell r="A74">
            <v>56</v>
          </cell>
          <cell r="B74">
            <v>140</v>
          </cell>
          <cell r="C74" t="str">
            <v>Artemyev Igor/71</v>
          </cell>
          <cell r="D74" t="str">
            <v>RUS</v>
          </cell>
          <cell r="E74">
            <v>39123</v>
          </cell>
          <cell r="F74" t="str">
            <v>Chelyabinsk</v>
          </cell>
        </row>
        <row r="75">
          <cell r="A75">
            <v>60</v>
          </cell>
          <cell r="B75">
            <v>137.5</v>
          </cell>
          <cell r="C75" t="str">
            <v>Artemyev Oleg/71</v>
          </cell>
          <cell r="D75" t="str">
            <v>RUS</v>
          </cell>
          <cell r="E75">
            <v>39123</v>
          </cell>
          <cell r="F75" t="str">
            <v>Chelyabinsk</v>
          </cell>
        </row>
        <row r="76">
          <cell r="A76" t="str">
            <v>67.5</v>
          </cell>
          <cell r="B76">
            <v>160</v>
          </cell>
          <cell r="C76" t="str">
            <v>Matosyan Dmitry/76</v>
          </cell>
          <cell r="D76" t="str">
            <v>RUS</v>
          </cell>
          <cell r="E76">
            <v>40409</v>
          </cell>
          <cell r="F76" t="str">
            <v>Moscow</v>
          </cell>
        </row>
        <row r="77">
          <cell r="A77">
            <v>75</v>
          </cell>
          <cell r="B77">
            <v>200</v>
          </cell>
          <cell r="C77" t="str">
            <v>Larionov Artem/78</v>
          </cell>
          <cell r="D77" t="str">
            <v>RUS</v>
          </cell>
          <cell r="E77">
            <v>41439</v>
          </cell>
          <cell r="F77" t="str">
            <v>Moscow</v>
          </cell>
        </row>
        <row r="78">
          <cell r="A78" t="str">
            <v>82.5</v>
          </cell>
          <cell r="B78">
            <v>220</v>
          </cell>
          <cell r="C78" t="str">
            <v>Veber Mikhail/71</v>
          </cell>
          <cell r="D78" t="str">
            <v>RUS</v>
          </cell>
          <cell r="E78">
            <v>39424</v>
          </cell>
          <cell r="F78" t="str">
            <v>Kursk</v>
          </cell>
        </row>
        <row r="79">
          <cell r="A79">
            <v>90</v>
          </cell>
          <cell r="B79">
            <v>305</v>
          </cell>
          <cell r="C79" t="str">
            <v>Ahmadov Mustafa/80</v>
          </cell>
          <cell r="D79" t="str">
            <v>RUS</v>
          </cell>
          <cell r="E79" t="str">
            <v>23.08.2014</v>
          </cell>
          <cell r="F79" t="str">
            <v>Moscow</v>
          </cell>
        </row>
        <row r="80">
          <cell r="A80">
            <v>100</v>
          </cell>
          <cell r="B80">
            <v>277.5</v>
          </cell>
          <cell r="C80" t="str">
            <v>Polutin Sergei/75</v>
          </cell>
          <cell r="D80" t="str">
            <v>UKR</v>
          </cell>
          <cell r="E80">
            <v>39724</v>
          </cell>
          <cell r="F80" t="str">
            <v>Lauchhammer</v>
          </cell>
        </row>
        <row r="81">
          <cell r="A81">
            <v>110</v>
          </cell>
          <cell r="B81">
            <v>290</v>
          </cell>
          <cell r="C81" t="str">
            <v>Poletayev Vladimir/72</v>
          </cell>
          <cell r="D81" t="str">
            <v>RUS</v>
          </cell>
          <cell r="E81">
            <v>40034</v>
          </cell>
          <cell r="F81" t="str">
            <v>Kursk</v>
          </cell>
        </row>
        <row r="82">
          <cell r="A82">
            <v>125</v>
          </cell>
          <cell r="B82">
            <v>300</v>
          </cell>
          <cell r="C82" t="str">
            <v>Poletaev Vladimir/72</v>
          </cell>
          <cell r="D82" t="str">
            <v>RUS</v>
          </cell>
          <cell r="E82">
            <v>40641</v>
          </cell>
          <cell r="F82" t="str">
            <v>Chelyabinsk</v>
          </cell>
        </row>
        <row r="83">
          <cell r="A83">
            <v>140</v>
          </cell>
          <cell r="B83" t="str">
            <v>282.5</v>
          </cell>
          <cell r="C83" t="str">
            <v>Smirnov Yuri/71</v>
          </cell>
          <cell r="D83" t="str">
            <v>RUS</v>
          </cell>
          <cell r="E83">
            <v>39529</v>
          </cell>
          <cell r="F83" t="str">
            <v>Rostov</v>
          </cell>
        </row>
        <row r="84">
          <cell r="A84" t="str">
            <v>140+</v>
          </cell>
          <cell r="B84">
            <v>280</v>
          </cell>
          <cell r="C84" t="str">
            <v>Kozyrev Oleg/75</v>
          </cell>
          <cell r="D84" t="str">
            <v>RUS</v>
          </cell>
          <cell r="E84">
            <v>40641</v>
          </cell>
          <cell r="F84" t="str">
            <v>Chelyabinsk</v>
          </cell>
        </row>
        <row r="85">
          <cell r="B85"/>
          <cell r="C85"/>
          <cell r="D85"/>
          <cell r="E85"/>
          <cell r="F85"/>
        </row>
        <row r="86">
          <cell r="B86" t="str">
            <v>Men's M1  (40 - 44)</v>
          </cell>
        </row>
        <row r="87">
          <cell r="A87">
            <v>52</v>
          </cell>
          <cell r="B87"/>
          <cell r="C87"/>
          <cell r="D87"/>
          <cell r="E87"/>
          <cell r="F87"/>
        </row>
        <row r="88">
          <cell r="A88">
            <v>56</v>
          </cell>
          <cell r="B88">
            <v>135</v>
          </cell>
          <cell r="C88" t="str">
            <v>Artemyev Igor/71</v>
          </cell>
          <cell r="D88" t="str">
            <v>RUS</v>
          </cell>
          <cell r="E88" t="str">
            <v>23.08.2014</v>
          </cell>
          <cell r="F88" t="str">
            <v>Moscow</v>
          </cell>
        </row>
        <row r="89">
          <cell r="A89">
            <v>60</v>
          </cell>
          <cell r="B89">
            <v>150</v>
          </cell>
          <cell r="C89" t="str">
            <v>Artemyev Oleg/71</v>
          </cell>
          <cell r="D89" t="str">
            <v>RUS</v>
          </cell>
          <cell r="E89" t="str">
            <v>23.08.2014</v>
          </cell>
          <cell r="F89" t="str">
            <v>Moscow</v>
          </cell>
        </row>
        <row r="90">
          <cell r="A90" t="str">
            <v>67.5</v>
          </cell>
          <cell r="B90">
            <v>115</v>
          </cell>
          <cell r="C90" t="str">
            <v>Ganeev Alik/70</v>
          </cell>
          <cell r="D90" t="str">
            <v>RUS</v>
          </cell>
          <cell r="E90">
            <v>40640</v>
          </cell>
          <cell r="F90" t="str">
            <v>Chelyabinsk</v>
          </cell>
        </row>
        <row r="91">
          <cell r="A91">
            <v>75</v>
          </cell>
          <cell r="B91">
            <v>160</v>
          </cell>
          <cell r="C91" t="str">
            <v>Trubin Valery/68</v>
          </cell>
          <cell r="D91" t="str">
            <v>RUS</v>
          </cell>
          <cell r="E91">
            <v>40409</v>
          </cell>
          <cell r="F91" t="str">
            <v>Moscow</v>
          </cell>
        </row>
        <row r="92">
          <cell r="A92" t="str">
            <v>82.5</v>
          </cell>
          <cell r="B92">
            <v>225</v>
          </cell>
          <cell r="C92" t="str">
            <v>Veber Mikhail/71</v>
          </cell>
          <cell r="D92" t="str">
            <v>RUS</v>
          </cell>
          <cell r="E92">
            <v>41018</v>
          </cell>
          <cell r="F92" t="str">
            <v>Rostov</v>
          </cell>
        </row>
        <row r="93">
          <cell r="A93">
            <v>90</v>
          </cell>
          <cell r="B93">
            <v>260</v>
          </cell>
          <cell r="C93" t="str">
            <v>Veber Mikhail/71</v>
          </cell>
          <cell r="D93" t="str">
            <v>RUS</v>
          </cell>
          <cell r="E93">
            <v>40769</v>
          </cell>
          <cell r="F93" t="str">
            <v>Kursk</v>
          </cell>
        </row>
        <row r="94">
          <cell r="A94">
            <v>100</v>
          </cell>
          <cell r="B94">
            <v>251</v>
          </cell>
          <cell r="C94" t="str">
            <v>Veber Mikhail/71</v>
          </cell>
          <cell r="D94" t="str">
            <v>RUS</v>
          </cell>
          <cell r="E94">
            <v>41201</v>
          </cell>
          <cell r="F94" t="str">
            <v>Krasnodar</v>
          </cell>
        </row>
        <row r="95">
          <cell r="A95">
            <v>110</v>
          </cell>
          <cell r="B95">
            <v>282.5</v>
          </cell>
          <cell r="C95" t="str">
            <v>Kuznetsov Konstantin/7</v>
          </cell>
          <cell r="D95" t="str">
            <v>RUS</v>
          </cell>
          <cell r="E95">
            <v>41608</v>
          </cell>
          <cell r="F95" t="str">
            <v>Yekaterinburg</v>
          </cell>
        </row>
        <row r="96">
          <cell r="A96">
            <v>125</v>
          </cell>
          <cell r="B96">
            <v>250</v>
          </cell>
          <cell r="C96" t="str">
            <v>Formin Yevgeny/68</v>
          </cell>
          <cell r="D96" t="str">
            <v>RUS</v>
          </cell>
          <cell r="E96">
            <v>40816</v>
          </cell>
          <cell r="F96" t="str">
            <v>Yekaterinbourg</v>
          </cell>
        </row>
        <row r="97">
          <cell r="A97">
            <v>140</v>
          </cell>
          <cell r="B97">
            <v>245</v>
          </cell>
          <cell r="C97" t="str">
            <v>Nekrasov Mikhail/69</v>
          </cell>
          <cell r="D97" t="str">
            <v>RUS</v>
          </cell>
          <cell r="E97">
            <v>40641</v>
          </cell>
          <cell r="F97" t="str">
            <v>Chelyabinsk</v>
          </cell>
        </row>
        <row r="98">
          <cell r="A98" t="str">
            <v>140+</v>
          </cell>
          <cell r="B98"/>
          <cell r="C98"/>
          <cell r="D98"/>
          <cell r="E98"/>
          <cell r="F98"/>
        </row>
        <row r="99">
          <cell r="B99"/>
          <cell r="C99"/>
          <cell r="D99"/>
          <cell r="E99"/>
          <cell r="F99"/>
        </row>
        <row r="100">
          <cell r="B100" t="str">
            <v>Men's M2  (45 - 49)</v>
          </cell>
        </row>
        <row r="101">
          <cell r="A101">
            <v>52</v>
          </cell>
          <cell r="B101"/>
          <cell r="C101"/>
          <cell r="D101"/>
          <cell r="E101"/>
          <cell r="F101"/>
        </row>
        <row r="102">
          <cell r="A102">
            <v>56</v>
          </cell>
          <cell r="B102"/>
          <cell r="C102"/>
          <cell r="D102"/>
          <cell r="E102"/>
          <cell r="F102"/>
        </row>
        <row r="103">
          <cell r="A103">
            <v>60</v>
          </cell>
          <cell r="B103">
            <v>112.5</v>
          </cell>
          <cell r="C103" t="str">
            <v>Kovalenko Volodymyr/65</v>
          </cell>
          <cell r="D103" t="str">
            <v>UKR</v>
          </cell>
          <cell r="E103">
            <v>41129</v>
          </cell>
          <cell r="F103" t="str">
            <v>Kryvyi Rig</v>
          </cell>
        </row>
        <row r="104">
          <cell r="A104">
            <v>67.5</v>
          </cell>
          <cell r="B104">
            <v>115</v>
          </cell>
          <cell r="C104" t="str">
            <v>Bashtanov Igor/67</v>
          </cell>
          <cell r="D104" t="str">
            <v>RUS</v>
          </cell>
          <cell r="E104">
            <v>41137</v>
          </cell>
          <cell r="F104" t="str">
            <v>Novosibirsk</v>
          </cell>
        </row>
        <row r="105">
          <cell r="A105">
            <v>75</v>
          </cell>
          <cell r="B105">
            <v>120</v>
          </cell>
          <cell r="C105" t="str">
            <v>Lopatin Sergei/60</v>
          </cell>
          <cell r="D105" t="str">
            <v>RUS</v>
          </cell>
          <cell r="E105">
            <v>39352</v>
          </cell>
          <cell r="F105" t="str">
            <v>Horn</v>
          </cell>
        </row>
        <row r="106">
          <cell r="A106" t="str">
            <v>82.5</v>
          </cell>
          <cell r="B106">
            <v>187.5</v>
          </cell>
          <cell r="C106" t="str">
            <v>Dremenkov Konstantin/66</v>
          </cell>
          <cell r="D106" t="str">
            <v>BLR</v>
          </cell>
          <cell r="E106">
            <v>41067</v>
          </cell>
          <cell r="F106" t="str">
            <v>Moscow</v>
          </cell>
        </row>
        <row r="107">
          <cell r="A107">
            <v>90</v>
          </cell>
          <cell r="B107">
            <v>220</v>
          </cell>
          <cell r="C107" t="str">
            <v>Petrov,Alexandr/60</v>
          </cell>
          <cell r="D107" t="str">
            <v>RUS</v>
          </cell>
          <cell r="E107">
            <v>40034</v>
          </cell>
          <cell r="F107" t="str">
            <v>Kursk</v>
          </cell>
        </row>
        <row r="108">
          <cell r="A108">
            <v>100</v>
          </cell>
          <cell r="B108">
            <v>230</v>
          </cell>
          <cell r="C108" t="str">
            <v>Petrov Alexandr/60</v>
          </cell>
          <cell r="D108" t="str">
            <v>RUS</v>
          </cell>
          <cell r="E108">
            <v>40258</v>
          </cell>
          <cell r="F108" t="str">
            <v>Kursk</v>
          </cell>
        </row>
        <row r="109">
          <cell r="A109">
            <v>110</v>
          </cell>
          <cell r="B109">
            <v>242.5</v>
          </cell>
          <cell r="C109" t="str">
            <v>Guzev Pavel/66</v>
          </cell>
          <cell r="D109" t="str">
            <v>RUS</v>
          </cell>
          <cell r="E109">
            <v>41201</v>
          </cell>
          <cell r="F109" t="str">
            <v>Krasnodar</v>
          </cell>
        </row>
        <row r="110">
          <cell r="A110">
            <v>125</v>
          </cell>
          <cell r="B110">
            <v>285</v>
          </cell>
          <cell r="C110" t="str">
            <v>Guzev Pavel/66</v>
          </cell>
          <cell r="D110" t="str">
            <v>RUS</v>
          </cell>
          <cell r="E110" t="str">
            <v>23.08.2014</v>
          </cell>
          <cell r="F110" t="str">
            <v>Moscow</v>
          </cell>
        </row>
        <row r="111">
          <cell r="A111">
            <v>140</v>
          </cell>
          <cell r="B111">
            <v>230</v>
          </cell>
          <cell r="C111" t="str">
            <v>Golubev Kostyantyn/62</v>
          </cell>
          <cell r="D111" t="str">
            <v>UKR</v>
          </cell>
          <cell r="E111">
            <v>40091</v>
          </cell>
          <cell r="F111" t="str">
            <v>Ternopil'</v>
          </cell>
        </row>
        <row r="112">
          <cell r="A112" t="str">
            <v>140+</v>
          </cell>
          <cell r="B112"/>
          <cell r="C112"/>
          <cell r="D112"/>
          <cell r="E112"/>
          <cell r="F112"/>
        </row>
        <row r="113">
          <cell r="B113"/>
          <cell r="C113"/>
          <cell r="D113"/>
          <cell r="E113"/>
          <cell r="F113"/>
        </row>
        <row r="114">
          <cell r="B114" t="str">
            <v>Men's M3  (50 - 54)</v>
          </cell>
        </row>
        <row r="115">
          <cell r="A115">
            <v>52</v>
          </cell>
          <cell r="B115"/>
          <cell r="C115"/>
          <cell r="D115"/>
          <cell r="E115"/>
          <cell r="F115"/>
        </row>
        <row r="116">
          <cell r="A116">
            <v>56</v>
          </cell>
          <cell r="B116"/>
          <cell r="C116"/>
          <cell r="D116"/>
          <cell r="E116"/>
          <cell r="F116"/>
        </row>
        <row r="117">
          <cell r="A117">
            <v>60</v>
          </cell>
          <cell r="B117"/>
          <cell r="C117"/>
          <cell r="D117"/>
          <cell r="E117"/>
          <cell r="F117"/>
        </row>
        <row r="118">
          <cell r="A118" t="str">
            <v>67.5</v>
          </cell>
          <cell r="B118">
            <v>130</v>
          </cell>
          <cell r="C118" t="str">
            <v>Alampiyev Sergei/57</v>
          </cell>
          <cell r="D118" t="str">
            <v>RUS</v>
          </cell>
          <cell r="E118">
            <v>40257</v>
          </cell>
          <cell r="F118" t="str">
            <v>Kursk</v>
          </cell>
        </row>
        <row r="119">
          <cell r="A119">
            <v>75</v>
          </cell>
          <cell r="B119">
            <v>125</v>
          </cell>
          <cell r="C119" t="str">
            <v>Alampiyev Sergei/57</v>
          </cell>
          <cell r="D119" t="str">
            <v>RUS</v>
          </cell>
          <cell r="E119">
            <v>39873</v>
          </cell>
          <cell r="F119" t="str">
            <v>Chelyabinsk</v>
          </cell>
        </row>
        <row r="120">
          <cell r="A120" t="str">
            <v>82.5</v>
          </cell>
          <cell r="B120">
            <v>195.5</v>
          </cell>
          <cell r="C120" t="str">
            <v>Reshetnikov Vladimir/60</v>
          </cell>
          <cell r="D120" t="str">
            <v>RUS</v>
          </cell>
          <cell r="E120">
            <v>40409</v>
          </cell>
          <cell r="F120" t="str">
            <v>Moscow</v>
          </cell>
        </row>
        <row r="121">
          <cell r="A121">
            <v>90</v>
          </cell>
          <cell r="B121">
            <v>207.5</v>
          </cell>
          <cell r="C121" t="str">
            <v>Gadzhiev Elman/59</v>
          </cell>
          <cell r="D121" t="str">
            <v>UKR</v>
          </cell>
          <cell r="E121">
            <v>41370</v>
          </cell>
          <cell r="F121" t="str">
            <v>Kryvyi Rig</v>
          </cell>
        </row>
        <row r="122">
          <cell r="A122">
            <v>100</v>
          </cell>
          <cell r="B122">
            <v>205</v>
          </cell>
          <cell r="C122" t="str">
            <v>Akentyev Valery/58</v>
          </cell>
          <cell r="D122" t="str">
            <v>RUS</v>
          </cell>
          <cell r="E122">
            <v>41067</v>
          </cell>
          <cell r="F122" t="str">
            <v>Moscow</v>
          </cell>
        </row>
        <row r="123">
          <cell r="A123">
            <v>110</v>
          </cell>
          <cell r="B123">
            <v>250</v>
          </cell>
          <cell r="C123" t="str">
            <v>Yagovkin Pavel/59</v>
          </cell>
          <cell r="D123" t="str">
            <v>RUS</v>
          </cell>
          <cell r="E123">
            <v>40258</v>
          </cell>
          <cell r="F123" t="str">
            <v>Kursk</v>
          </cell>
        </row>
        <row r="124">
          <cell r="A124">
            <v>125</v>
          </cell>
          <cell r="B124">
            <v>265</v>
          </cell>
          <cell r="C124" t="str">
            <v>Yagovkin Pavel/59</v>
          </cell>
          <cell r="D124" t="str">
            <v>RUS</v>
          </cell>
          <cell r="E124">
            <v>41321</v>
          </cell>
          <cell r="F124" t="str">
            <v>Yekaterinburg</v>
          </cell>
        </row>
        <row r="125">
          <cell r="A125">
            <v>140</v>
          </cell>
          <cell r="B125"/>
          <cell r="C125"/>
          <cell r="D125"/>
          <cell r="E125"/>
          <cell r="F125"/>
        </row>
        <row r="126">
          <cell r="A126" t="str">
            <v>140+</v>
          </cell>
          <cell r="B126"/>
          <cell r="C126"/>
          <cell r="D126"/>
          <cell r="E126"/>
          <cell r="F126"/>
        </row>
        <row r="127">
          <cell r="B127"/>
          <cell r="C127"/>
          <cell r="D127"/>
          <cell r="E127"/>
          <cell r="F127"/>
        </row>
        <row r="128">
          <cell r="B128" t="str">
            <v>Men's M4  (55 - 59)</v>
          </cell>
        </row>
        <row r="129">
          <cell r="A129">
            <v>52</v>
          </cell>
          <cell r="B129"/>
          <cell r="C129"/>
          <cell r="D129"/>
          <cell r="E129"/>
          <cell r="F129"/>
        </row>
        <row r="130">
          <cell r="A130">
            <v>56</v>
          </cell>
          <cell r="B130"/>
          <cell r="C130"/>
          <cell r="D130"/>
          <cell r="E130"/>
          <cell r="F130"/>
        </row>
        <row r="131">
          <cell r="A131">
            <v>60</v>
          </cell>
          <cell r="B131"/>
          <cell r="C131"/>
          <cell r="D131"/>
          <cell r="E131"/>
          <cell r="F131"/>
        </row>
        <row r="132">
          <cell r="A132">
            <v>75</v>
          </cell>
          <cell r="B132"/>
          <cell r="C132"/>
          <cell r="D132"/>
          <cell r="E132"/>
          <cell r="F132"/>
        </row>
        <row r="133">
          <cell r="A133" t="str">
            <v>82.5</v>
          </cell>
          <cell r="B133"/>
          <cell r="C133"/>
          <cell r="D133"/>
          <cell r="E133"/>
          <cell r="F133"/>
        </row>
        <row r="134">
          <cell r="A134">
            <v>90</v>
          </cell>
          <cell r="B134"/>
          <cell r="C134"/>
          <cell r="D134"/>
          <cell r="E134"/>
          <cell r="F134"/>
        </row>
        <row r="135">
          <cell r="A135">
            <v>100</v>
          </cell>
          <cell r="B135"/>
          <cell r="C135"/>
          <cell r="D135"/>
          <cell r="E135"/>
          <cell r="F135"/>
        </row>
        <row r="136">
          <cell r="A136">
            <v>110</v>
          </cell>
          <cell r="B136">
            <v>215</v>
          </cell>
          <cell r="C136" t="str">
            <v>Egozaryan,Grachik/52</v>
          </cell>
          <cell r="D136" t="str">
            <v>RUS</v>
          </cell>
          <cell r="E136">
            <v>40409</v>
          </cell>
          <cell r="F136" t="str">
            <v>Moscow</v>
          </cell>
        </row>
        <row r="137">
          <cell r="A137">
            <v>125</v>
          </cell>
          <cell r="B137"/>
          <cell r="C137"/>
          <cell r="D137"/>
          <cell r="E137"/>
          <cell r="F137"/>
        </row>
        <row r="138">
          <cell r="A138">
            <v>140</v>
          </cell>
          <cell r="B138"/>
          <cell r="C138"/>
          <cell r="D138"/>
          <cell r="E138"/>
          <cell r="F138"/>
        </row>
        <row r="139">
          <cell r="A139" t="str">
            <v>140+</v>
          </cell>
          <cell r="B139"/>
          <cell r="C139"/>
          <cell r="D139"/>
          <cell r="E139"/>
          <cell r="F139"/>
        </row>
        <row r="140">
          <cell r="B140"/>
          <cell r="C140"/>
          <cell r="D140"/>
          <cell r="E140"/>
          <cell r="F140"/>
        </row>
        <row r="141">
          <cell r="B141" t="str">
            <v>Men's M5  (60 - 64)</v>
          </cell>
        </row>
        <row r="142">
          <cell r="A142">
            <v>52</v>
          </cell>
          <cell r="B142"/>
          <cell r="C142"/>
          <cell r="D142"/>
          <cell r="E142"/>
          <cell r="F142"/>
        </row>
        <row r="143">
          <cell r="A143">
            <v>56</v>
          </cell>
          <cell r="B143"/>
          <cell r="C143"/>
          <cell r="D143"/>
          <cell r="E143"/>
          <cell r="F143"/>
        </row>
        <row r="144">
          <cell r="A144">
            <v>60</v>
          </cell>
          <cell r="B144"/>
          <cell r="C144"/>
          <cell r="D144"/>
          <cell r="E144"/>
          <cell r="F144"/>
        </row>
        <row r="145">
          <cell r="A145">
            <v>67.5</v>
          </cell>
          <cell r="B145"/>
          <cell r="C145"/>
          <cell r="D145"/>
          <cell r="E145"/>
          <cell r="F145"/>
        </row>
        <row r="146">
          <cell r="A146">
            <v>75</v>
          </cell>
          <cell r="B146">
            <v>120</v>
          </cell>
          <cell r="C146" t="str">
            <v>Kravtsov Petro/46</v>
          </cell>
          <cell r="D146" t="str">
            <v>UKR</v>
          </cell>
          <cell r="E146">
            <v>39983</v>
          </cell>
          <cell r="F146" t="str">
            <v>Ternopil'</v>
          </cell>
        </row>
        <row r="147">
          <cell r="A147">
            <v>82.5</v>
          </cell>
          <cell r="B147"/>
          <cell r="C147"/>
          <cell r="D147"/>
          <cell r="E147"/>
          <cell r="F147"/>
        </row>
        <row r="148">
          <cell r="A148">
            <v>90</v>
          </cell>
          <cell r="B148"/>
          <cell r="C148"/>
          <cell r="D148"/>
          <cell r="E148"/>
          <cell r="F148"/>
        </row>
        <row r="149">
          <cell r="A149">
            <v>100</v>
          </cell>
          <cell r="B149"/>
          <cell r="C149"/>
          <cell r="D149"/>
          <cell r="E149"/>
          <cell r="F149"/>
        </row>
        <row r="150">
          <cell r="A150">
            <v>110</v>
          </cell>
          <cell r="B150">
            <v>160</v>
          </cell>
          <cell r="C150" t="str">
            <v>Golovchenko Yevgen/46</v>
          </cell>
          <cell r="D150" t="str">
            <v>UKR</v>
          </cell>
          <cell r="E150">
            <v>40103</v>
          </cell>
          <cell r="F150" t="str">
            <v>Kryvyi Rig</v>
          </cell>
        </row>
        <row r="151">
          <cell r="A151">
            <v>125</v>
          </cell>
          <cell r="B151">
            <v>200</v>
          </cell>
          <cell r="C151" t="str">
            <v>Maximushkin Alexander/60</v>
          </cell>
          <cell r="D151" t="str">
            <v>RUS</v>
          </cell>
          <cell r="E151" t="str">
            <v>23.08.2014</v>
          </cell>
          <cell r="F151" t="str">
            <v>Moscow</v>
          </cell>
        </row>
        <row r="152">
          <cell r="A152">
            <v>140</v>
          </cell>
          <cell r="B152"/>
          <cell r="C152"/>
          <cell r="D152"/>
          <cell r="E152"/>
          <cell r="F152"/>
        </row>
        <row r="153">
          <cell r="A153" t="str">
            <v>140+</v>
          </cell>
          <cell r="B153"/>
          <cell r="C153"/>
          <cell r="D153"/>
          <cell r="E153"/>
          <cell r="F153"/>
        </row>
        <row r="154">
          <cell r="B154"/>
          <cell r="C154"/>
          <cell r="D154"/>
          <cell r="E154"/>
          <cell r="F154"/>
        </row>
        <row r="155">
          <cell r="B155" t="str">
            <v>Men's M6  (65 - 69)</v>
          </cell>
        </row>
        <row r="156">
          <cell r="A156">
            <v>52</v>
          </cell>
          <cell r="B156"/>
          <cell r="C156"/>
          <cell r="D156"/>
          <cell r="E156"/>
          <cell r="F156"/>
        </row>
        <row r="157">
          <cell r="A157">
            <v>56</v>
          </cell>
          <cell r="B157"/>
          <cell r="C157"/>
          <cell r="D157"/>
          <cell r="E157"/>
          <cell r="F157"/>
        </row>
        <row r="158">
          <cell r="A158">
            <v>60</v>
          </cell>
          <cell r="B158"/>
          <cell r="C158"/>
          <cell r="D158"/>
          <cell r="E158"/>
          <cell r="F158"/>
        </row>
        <row r="159">
          <cell r="A159">
            <v>67.5</v>
          </cell>
          <cell r="B159"/>
          <cell r="C159"/>
          <cell r="D159"/>
          <cell r="E159"/>
          <cell r="F159"/>
        </row>
        <row r="160">
          <cell r="A160">
            <v>75</v>
          </cell>
          <cell r="B160">
            <v>145</v>
          </cell>
          <cell r="C160" t="str">
            <v>Petukhov Yevgeny/38</v>
          </cell>
          <cell r="D160" t="str">
            <v>RUS</v>
          </cell>
          <cell r="E160">
            <v>39123</v>
          </cell>
          <cell r="F160" t="str">
            <v>Chelyabinsk</v>
          </cell>
        </row>
        <row r="161">
          <cell r="A161" t="str">
            <v>82.5</v>
          </cell>
          <cell r="B161">
            <v>110</v>
          </cell>
          <cell r="C161" t="str">
            <v>Yakushov Vyacheslav/41</v>
          </cell>
          <cell r="D161" t="str">
            <v>RUS</v>
          </cell>
          <cell r="E161">
            <v>40409</v>
          </cell>
          <cell r="F161" t="str">
            <v>Moscow</v>
          </cell>
        </row>
        <row r="162">
          <cell r="A162">
            <v>90</v>
          </cell>
          <cell r="B162">
            <v>150</v>
          </cell>
          <cell r="C162" t="str">
            <v>Andrianov Alexander/44</v>
          </cell>
          <cell r="D162" t="str">
            <v>RUS</v>
          </cell>
          <cell r="E162">
            <v>41137</v>
          </cell>
          <cell r="F162" t="str">
            <v>Novosibirsk</v>
          </cell>
        </row>
        <row r="163">
          <cell r="A163">
            <v>100</v>
          </cell>
          <cell r="B163"/>
          <cell r="C163"/>
          <cell r="D163"/>
          <cell r="E163"/>
          <cell r="F163"/>
        </row>
        <row r="164">
          <cell r="A164">
            <v>110</v>
          </cell>
          <cell r="B164">
            <v>140</v>
          </cell>
          <cell r="C164" t="str">
            <v>Golovchenko Yevgen/46</v>
          </cell>
          <cell r="D164" t="str">
            <v>UKR</v>
          </cell>
          <cell r="E164">
            <v>40628</v>
          </cell>
          <cell r="F164" t="str">
            <v>Kryvyi Rig</v>
          </cell>
        </row>
        <row r="165">
          <cell r="A165">
            <v>125</v>
          </cell>
          <cell r="B165"/>
          <cell r="C165"/>
          <cell r="D165"/>
          <cell r="E165"/>
          <cell r="F165"/>
        </row>
        <row r="166">
          <cell r="A166">
            <v>140</v>
          </cell>
          <cell r="B166"/>
          <cell r="C166"/>
          <cell r="D166"/>
          <cell r="E166"/>
          <cell r="F166"/>
        </row>
        <row r="167">
          <cell r="A167" t="str">
            <v>140+</v>
          </cell>
          <cell r="B167"/>
          <cell r="C167"/>
          <cell r="D167"/>
          <cell r="E167"/>
          <cell r="F167"/>
        </row>
        <row r="168">
          <cell r="B168"/>
          <cell r="C168"/>
          <cell r="D168"/>
          <cell r="E168"/>
          <cell r="F168"/>
        </row>
        <row r="169">
          <cell r="B169" t="str">
            <v>Men's M7  (70-74)</v>
          </cell>
        </row>
        <row r="170">
          <cell r="A170">
            <v>52</v>
          </cell>
          <cell r="B170"/>
          <cell r="C170"/>
          <cell r="D170"/>
          <cell r="E170"/>
          <cell r="F170"/>
        </row>
        <row r="171">
          <cell r="A171">
            <v>56</v>
          </cell>
          <cell r="B171"/>
          <cell r="C171"/>
          <cell r="D171"/>
          <cell r="E171"/>
          <cell r="F171"/>
        </row>
        <row r="172">
          <cell r="A172">
            <v>60</v>
          </cell>
          <cell r="B172"/>
          <cell r="C172"/>
          <cell r="D172"/>
          <cell r="E172"/>
          <cell r="F172"/>
        </row>
        <row r="173">
          <cell r="A173" t="str">
            <v>67.5</v>
          </cell>
          <cell r="B173">
            <v>100</v>
          </cell>
          <cell r="C173" t="str">
            <v>Kim Miron/41</v>
          </cell>
          <cell r="D173" t="str">
            <v>RUS</v>
          </cell>
          <cell r="E173">
            <v>41067</v>
          </cell>
          <cell r="F173" t="str">
            <v>Moscow</v>
          </cell>
        </row>
        <row r="174">
          <cell r="A174">
            <v>75</v>
          </cell>
          <cell r="B174"/>
          <cell r="C174"/>
          <cell r="D174"/>
          <cell r="E174"/>
          <cell r="F174"/>
        </row>
        <row r="175">
          <cell r="A175" t="str">
            <v>82.5</v>
          </cell>
          <cell r="B175">
            <v>97.5</v>
          </cell>
          <cell r="C175" t="str">
            <v>Sannikov Vladimir/38</v>
          </cell>
          <cell r="D175" t="str">
            <v>RUS</v>
          </cell>
          <cell r="E175">
            <v>41067</v>
          </cell>
          <cell r="F175" t="str">
            <v>Moscow</v>
          </cell>
        </row>
        <row r="176">
          <cell r="A176">
            <v>90</v>
          </cell>
          <cell r="B176"/>
          <cell r="C176"/>
          <cell r="D176"/>
          <cell r="E176"/>
          <cell r="F176"/>
        </row>
        <row r="177">
          <cell r="A177">
            <v>100</v>
          </cell>
          <cell r="B177"/>
          <cell r="C177"/>
          <cell r="D177"/>
          <cell r="E177"/>
          <cell r="F177"/>
        </row>
        <row r="178">
          <cell r="A178">
            <v>110</v>
          </cell>
          <cell r="B178"/>
          <cell r="C178"/>
          <cell r="D178"/>
          <cell r="E178"/>
          <cell r="F178"/>
        </row>
        <row r="179">
          <cell r="A179">
            <v>125</v>
          </cell>
          <cell r="B179"/>
          <cell r="C179"/>
          <cell r="D179"/>
          <cell r="E179"/>
          <cell r="F179"/>
        </row>
        <row r="180">
          <cell r="A180">
            <v>140</v>
          </cell>
          <cell r="B180"/>
          <cell r="C180"/>
          <cell r="D180"/>
          <cell r="E180"/>
          <cell r="F180"/>
        </row>
        <row r="181">
          <cell r="A181" t="str">
            <v>140+</v>
          </cell>
          <cell r="B181"/>
          <cell r="C181"/>
          <cell r="D181"/>
          <cell r="E181"/>
          <cell r="F181"/>
        </row>
        <row r="182">
          <cell r="B182" t="str">
            <v>Men's M8  (75-79)</v>
          </cell>
        </row>
        <row r="183">
          <cell r="A183">
            <v>52</v>
          </cell>
          <cell r="B183"/>
          <cell r="C183"/>
          <cell r="D183"/>
          <cell r="E183"/>
          <cell r="F183"/>
        </row>
        <row r="184">
          <cell r="A184">
            <v>56</v>
          </cell>
          <cell r="B184"/>
          <cell r="C184"/>
          <cell r="D184"/>
          <cell r="E184"/>
          <cell r="F184"/>
        </row>
        <row r="185">
          <cell r="A185">
            <v>60</v>
          </cell>
          <cell r="B185"/>
          <cell r="C185"/>
          <cell r="D185"/>
          <cell r="E185"/>
          <cell r="F185"/>
        </row>
        <row r="186">
          <cell r="A186">
            <v>67.5</v>
          </cell>
          <cell r="B186"/>
          <cell r="C186"/>
          <cell r="D186"/>
          <cell r="E186"/>
          <cell r="F186"/>
        </row>
        <row r="187">
          <cell r="A187">
            <v>75</v>
          </cell>
          <cell r="B187">
            <v>112.5</v>
          </cell>
          <cell r="C187" t="str">
            <v>Rubin Grigori/36</v>
          </cell>
          <cell r="D187" t="str">
            <v>ISR</v>
          </cell>
          <cell r="E187" t="str">
            <v>23.08.2014</v>
          </cell>
          <cell r="F187" t="str">
            <v>Moscow</v>
          </cell>
        </row>
        <row r="188">
          <cell r="A188">
            <v>82.5</v>
          </cell>
          <cell r="B188"/>
          <cell r="C188"/>
          <cell r="D188"/>
          <cell r="E188"/>
          <cell r="F188"/>
        </row>
        <row r="189">
          <cell r="A189">
            <v>90</v>
          </cell>
          <cell r="B189"/>
          <cell r="C189"/>
          <cell r="D189"/>
          <cell r="E189"/>
          <cell r="F189"/>
        </row>
        <row r="190">
          <cell r="A190">
            <v>100</v>
          </cell>
          <cell r="B190"/>
          <cell r="C190"/>
          <cell r="D190"/>
          <cell r="E190"/>
          <cell r="F190"/>
        </row>
        <row r="191">
          <cell r="A191">
            <v>110</v>
          </cell>
          <cell r="B191"/>
          <cell r="C191"/>
          <cell r="D191"/>
          <cell r="E191"/>
          <cell r="F191"/>
        </row>
        <row r="192">
          <cell r="A192">
            <v>125</v>
          </cell>
          <cell r="B192"/>
          <cell r="C192"/>
          <cell r="D192"/>
          <cell r="E192"/>
          <cell r="F192"/>
        </row>
        <row r="193">
          <cell r="A193">
            <v>140</v>
          </cell>
          <cell r="B193"/>
          <cell r="C193"/>
          <cell r="D193"/>
          <cell r="E193"/>
          <cell r="F193"/>
        </row>
        <row r="194">
          <cell r="A194" t="str">
            <v>140+</v>
          </cell>
          <cell r="B194"/>
          <cell r="C194"/>
          <cell r="D194"/>
          <cell r="E194"/>
          <cell r="F194"/>
        </row>
        <row r="195">
          <cell r="E195"/>
        </row>
        <row r="196">
          <cell r="E196"/>
        </row>
        <row r="197">
          <cell r="E197"/>
        </row>
        <row r="198">
          <cell r="E198"/>
        </row>
        <row r="199">
          <cell r="E199"/>
        </row>
        <row r="200">
          <cell r="E200"/>
        </row>
        <row r="201">
          <cell r="E201"/>
        </row>
        <row r="202">
          <cell r="E202"/>
        </row>
        <row r="203">
          <cell r="E203"/>
        </row>
        <row r="204">
          <cell r="E204"/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-sp-Wom"/>
      <sheetName val="bp-sp-Men"/>
      <sheetName val="bp1pl-Wom"/>
      <sheetName val="bp1pl-Men"/>
    </sheetNames>
    <sheetDataSet>
      <sheetData sheetId="0">
        <row r="1">
          <cell r="A1"/>
          <cell r="B1" t="str">
            <v xml:space="preserve"> AWPC BP-SP Europe </v>
          </cell>
        </row>
        <row r="2">
          <cell r="C2" t="str">
            <v>ДЕВУШКИ (13-15)</v>
          </cell>
        </row>
        <row r="3">
          <cell r="A3">
            <v>44</v>
          </cell>
          <cell r="B3"/>
          <cell r="C3"/>
          <cell r="D3"/>
          <cell r="E3"/>
          <cell r="F3"/>
        </row>
        <row r="4">
          <cell r="A4">
            <v>48</v>
          </cell>
          <cell r="B4"/>
          <cell r="C4"/>
          <cell r="D4"/>
          <cell r="E4"/>
          <cell r="F4"/>
        </row>
        <row r="5">
          <cell r="A5">
            <v>52</v>
          </cell>
          <cell r="B5">
            <v>65</v>
          </cell>
          <cell r="C5" t="str">
            <v>Shuklina Anna/99</v>
          </cell>
          <cell r="D5" t="str">
            <v>RUS</v>
          </cell>
          <cell r="E5">
            <v>41321</v>
          </cell>
          <cell r="F5" t="str">
            <v>Yekaterinburg</v>
          </cell>
        </row>
        <row r="6">
          <cell r="A6">
            <v>56</v>
          </cell>
          <cell r="B6"/>
          <cell r="C6"/>
          <cell r="D6"/>
          <cell r="E6"/>
          <cell r="F6"/>
        </row>
        <row r="7">
          <cell r="A7">
            <v>60</v>
          </cell>
          <cell r="B7"/>
          <cell r="C7"/>
          <cell r="D7"/>
          <cell r="E7"/>
          <cell r="F7"/>
        </row>
        <row r="8">
          <cell r="A8">
            <v>67.5</v>
          </cell>
          <cell r="B8"/>
          <cell r="C8"/>
          <cell r="D8"/>
          <cell r="E8"/>
          <cell r="F8"/>
        </row>
        <row r="9">
          <cell r="A9">
            <v>75</v>
          </cell>
          <cell r="B9"/>
          <cell r="C9"/>
          <cell r="D9"/>
          <cell r="E9"/>
          <cell r="F9"/>
        </row>
        <row r="10">
          <cell r="A10">
            <v>82.5</v>
          </cell>
          <cell r="B10"/>
          <cell r="C10"/>
          <cell r="D10"/>
          <cell r="E10"/>
          <cell r="F10"/>
        </row>
        <row r="11">
          <cell r="A11">
            <v>90</v>
          </cell>
          <cell r="B11"/>
          <cell r="C11"/>
          <cell r="D11"/>
          <cell r="E11"/>
          <cell r="F11"/>
        </row>
        <row r="12">
          <cell r="A12" t="str">
            <v>90+</v>
          </cell>
          <cell r="B12"/>
          <cell r="C12"/>
          <cell r="D12"/>
          <cell r="E12"/>
          <cell r="F12"/>
        </row>
        <row r="13">
          <cell r="C13" t="str">
            <v>ДЕВУШКИ (16-17)</v>
          </cell>
        </row>
        <row r="14">
          <cell r="A14">
            <v>44</v>
          </cell>
          <cell r="B14">
            <v>45</v>
          </cell>
          <cell r="C14" t="str">
            <v>Nazemnova Olga/99</v>
          </cell>
          <cell r="D14" t="str">
            <v>RUS</v>
          </cell>
          <cell r="E14">
            <v>41321</v>
          </cell>
          <cell r="F14" t="str">
            <v>Yekaterinburg</v>
          </cell>
        </row>
        <row r="15">
          <cell r="A15">
            <v>48</v>
          </cell>
          <cell r="B15"/>
          <cell r="C15"/>
          <cell r="D15"/>
          <cell r="E15"/>
          <cell r="F15"/>
        </row>
        <row r="16">
          <cell r="A16">
            <v>52</v>
          </cell>
          <cell r="B16">
            <v>55</v>
          </cell>
          <cell r="C16" t="str">
            <v>Lukina Alena/96</v>
          </cell>
          <cell r="D16" t="str">
            <v>RUS</v>
          </cell>
          <cell r="E16" t="str">
            <v>30.05.2014</v>
          </cell>
          <cell r="F16" t="str">
            <v>Kursk</v>
          </cell>
        </row>
        <row r="17">
          <cell r="A17">
            <v>56</v>
          </cell>
          <cell r="B17"/>
          <cell r="C17"/>
          <cell r="D17"/>
          <cell r="E17"/>
          <cell r="F17"/>
        </row>
        <row r="18">
          <cell r="A18">
            <v>60</v>
          </cell>
          <cell r="B18"/>
          <cell r="C18"/>
          <cell r="D18"/>
          <cell r="E18"/>
          <cell r="F18"/>
        </row>
        <row r="19">
          <cell r="A19" t="str">
            <v>67.5</v>
          </cell>
          <cell r="B19">
            <v>95</v>
          </cell>
          <cell r="C19" t="str">
            <v>Safronova Marina/98</v>
          </cell>
          <cell r="D19" t="str">
            <v>RUS</v>
          </cell>
          <cell r="E19" t="str">
            <v>30.05.2014</v>
          </cell>
          <cell r="F19" t="str">
            <v>Kursk</v>
          </cell>
        </row>
        <row r="20">
          <cell r="A20">
            <v>75</v>
          </cell>
          <cell r="B20"/>
          <cell r="C20"/>
          <cell r="D20"/>
          <cell r="E20"/>
          <cell r="F20"/>
        </row>
        <row r="21">
          <cell r="A21" t="str">
            <v>82.5</v>
          </cell>
          <cell r="B21"/>
          <cell r="C21"/>
          <cell r="D21"/>
          <cell r="E21"/>
          <cell r="F21"/>
        </row>
        <row r="22">
          <cell r="A22">
            <v>90</v>
          </cell>
          <cell r="B22"/>
          <cell r="C22"/>
          <cell r="D22"/>
          <cell r="E22"/>
          <cell r="F22"/>
        </row>
        <row r="23">
          <cell r="A23" t="str">
            <v>90+</v>
          </cell>
          <cell r="B23"/>
          <cell r="C23"/>
          <cell r="D23"/>
          <cell r="E23"/>
          <cell r="F23"/>
        </row>
        <row r="24">
          <cell r="C24" t="str">
            <v>ДЕВУШКИ  (18 - 19)</v>
          </cell>
        </row>
        <row r="25">
          <cell r="A25">
            <v>44</v>
          </cell>
          <cell r="B25"/>
          <cell r="C25"/>
          <cell r="D25"/>
          <cell r="E25"/>
          <cell r="F25"/>
        </row>
        <row r="26">
          <cell r="A26">
            <v>48</v>
          </cell>
          <cell r="B26"/>
          <cell r="C26"/>
          <cell r="D26"/>
          <cell r="E26"/>
          <cell r="F26"/>
        </row>
        <row r="27">
          <cell r="A27">
            <v>52</v>
          </cell>
          <cell r="B27"/>
          <cell r="C27"/>
          <cell r="D27"/>
          <cell r="E27"/>
          <cell r="F27"/>
        </row>
        <row r="28">
          <cell r="A28">
            <v>56</v>
          </cell>
          <cell r="B28">
            <v>67.5</v>
          </cell>
          <cell r="C28" t="str">
            <v>Nasyrova Dilyara/96</v>
          </cell>
          <cell r="D28" t="str">
            <v>RUS</v>
          </cell>
          <cell r="E28" t="str">
            <v>24.08.2014</v>
          </cell>
          <cell r="F28" t="str">
            <v>Moscow</v>
          </cell>
        </row>
        <row r="29">
          <cell r="A29">
            <v>60</v>
          </cell>
          <cell r="B29"/>
          <cell r="C29"/>
          <cell r="D29"/>
          <cell r="E29"/>
          <cell r="F29"/>
        </row>
        <row r="30">
          <cell r="A30">
            <v>67.5</v>
          </cell>
          <cell r="B30"/>
          <cell r="C30"/>
          <cell r="D30"/>
          <cell r="E30"/>
          <cell r="F30"/>
        </row>
        <row r="31">
          <cell r="A31">
            <v>75</v>
          </cell>
          <cell r="B31"/>
          <cell r="C31"/>
          <cell r="D31"/>
          <cell r="E31"/>
          <cell r="F31"/>
        </row>
        <row r="32">
          <cell r="A32">
            <v>82.5</v>
          </cell>
          <cell r="B32"/>
          <cell r="C32"/>
          <cell r="D32"/>
          <cell r="E32"/>
          <cell r="F32"/>
        </row>
        <row r="33">
          <cell r="A33">
            <v>90</v>
          </cell>
          <cell r="B33"/>
          <cell r="C33"/>
          <cell r="D33"/>
          <cell r="E33"/>
          <cell r="F33"/>
        </row>
        <row r="34">
          <cell r="A34" t="str">
            <v>90+</v>
          </cell>
          <cell r="B34"/>
          <cell r="C34"/>
          <cell r="D34"/>
          <cell r="E34"/>
          <cell r="F34"/>
        </row>
        <row r="35">
          <cell r="C35" t="str">
            <v>ЮНИОРКИ  (20 - 23)</v>
          </cell>
        </row>
        <row r="36">
          <cell r="A36">
            <v>44</v>
          </cell>
          <cell r="B36"/>
          <cell r="C36"/>
          <cell r="D36"/>
          <cell r="E36"/>
          <cell r="F36"/>
        </row>
        <row r="37">
          <cell r="A37">
            <v>48</v>
          </cell>
          <cell r="B37">
            <v>65</v>
          </cell>
          <cell r="C37" t="str">
            <v>Ogurtsova Yuliya/90</v>
          </cell>
          <cell r="D37" t="str">
            <v>RUS</v>
          </cell>
          <cell r="E37">
            <v>41496</v>
          </cell>
          <cell r="F37" t="str">
            <v>Kursk</v>
          </cell>
        </row>
        <row r="38">
          <cell r="A38">
            <v>52</v>
          </cell>
          <cell r="B38">
            <v>90</v>
          </cell>
          <cell r="C38" t="str">
            <v>Blinkova Natalya/91</v>
          </cell>
          <cell r="D38" t="str">
            <v>RUS</v>
          </cell>
          <cell r="E38">
            <v>41496</v>
          </cell>
          <cell r="F38" t="str">
            <v>Kursk</v>
          </cell>
        </row>
        <row r="39">
          <cell r="A39">
            <v>56</v>
          </cell>
          <cell r="B39">
            <v>100</v>
          </cell>
          <cell r="C39" t="str">
            <v>Blinkova Natalya/91</v>
          </cell>
          <cell r="D39" t="str">
            <v>RUS</v>
          </cell>
          <cell r="E39">
            <v>41619</v>
          </cell>
          <cell r="F39" t="str">
            <v>Kursk</v>
          </cell>
        </row>
        <row r="40">
          <cell r="A40">
            <v>60</v>
          </cell>
          <cell r="B40"/>
          <cell r="C40"/>
          <cell r="D40"/>
          <cell r="E40"/>
          <cell r="F40"/>
        </row>
        <row r="41">
          <cell r="A41">
            <v>67.5</v>
          </cell>
          <cell r="B41"/>
          <cell r="C41"/>
          <cell r="D41"/>
          <cell r="E41"/>
          <cell r="F41"/>
        </row>
        <row r="42">
          <cell r="A42">
            <v>75</v>
          </cell>
          <cell r="B42"/>
          <cell r="C42"/>
          <cell r="D42"/>
          <cell r="E42"/>
          <cell r="F42"/>
        </row>
        <row r="43">
          <cell r="A43">
            <v>82.5</v>
          </cell>
          <cell r="B43"/>
          <cell r="C43"/>
          <cell r="D43"/>
          <cell r="E43"/>
          <cell r="F43"/>
        </row>
        <row r="44">
          <cell r="A44">
            <v>90</v>
          </cell>
          <cell r="B44"/>
          <cell r="C44"/>
          <cell r="D44"/>
          <cell r="E44"/>
          <cell r="F44"/>
        </row>
        <row r="45">
          <cell r="A45" t="str">
            <v>90+</v>
          </cell>
          <cell r="B45"/>
          <cell r="C45"/>
          <cell r="D45"/>
          <cell r="E45"/>
          <cell r="F45"/>
        </row>
        <row r="46">
          <cell r="C46" t="str">
            <v>ЖЕНЩИНЫ</v>
          </cell>
        </row>
        <row r="47">
          <cell r="A47">
            <v>44</v>
          </cell>
          <cell r="B47">
            <v>45</v>
          </cell>
          <cell r="C47" t="str">
            <v>Nazemnova Olga/97</v>
          </cell>
          <cell r="D47" t="str">
            <v>RUS</v>
          </cell>
          <cell r="E47">
            <v>41321</v>
          </cell>
          <cell r="F47" t="str">
            <v>Yekaterinburg</v>
          </cell>
        </row>
        <row r="48">
          <cell r="A48">
            <v>48</v>
          </cell>
          <cell r="B48">
            <v>72.5</v>
          </cell>
          <cell r="C48" t="str">
            <v>Vakhterova Yuliya/80</v>
          </cell>
          <cell r="D48" t="str">
            <v>RUS</v>
          </cell>
          <cell r="E48" t="str">
            <v>24.08.2014</v>
          </cell>
          <cell r="F48" t="str">
            <v>Moscow</v>
          </cell>
        </row>
        <row r="49">
          <cell r="A49">
            <v>52</v>
          </cell>
          <cell r="B49">
            <v>90</v>
          </cell>
          <cell r="C49" t="str">
            <v>Blinkova Natalya/91</v>
          </cell>
          <cell r="D49" t="str">
            <v>RUS</v>
          </cell>
          <cell r="E49">
            <v>41496</v>
          </cell>
          <cell r="F49" t="str">
            <v>Kursk</v>
          </cell>
        </row>
        <row r="50">
          <cell r="A50">
            <v>56</v>
          </cell>
          <cell r="B50">
            <v>100</v>
          </cell>
          <cell r="C50" t="str">
            <v>Blinkova Natalya/91</v>
          </cell>
          <cell r="D50" t="str">
            <v>RUS</v>
          </cell>
          <cell r="E50">
            <v>41619</v>
          </cell>
          <cell r="F50" t="str">
            <v>Kursk</v>
          </cell>
        </row>
        <row r="51">
          <cell r="A51">
            <v>60</v>
          </cell>
          <cell r="B51">
            <v>105</v>
          </cell>
          <cell r="C51" t="str">
            <v>Baranova Kristina/88</v>
          </cell>
          <cell r="D51" t="str">
            <v>RUS</v>
          </cell>
          <cell r="E51" t="str">
            <v>04.07.2014</v>
          </cell>
          <cell r="F51" t="str">
            <v>Novosibirsk</v>
          </cell>
        </row>
        <row r="52">
          <cell r="A52">
            <v>67.5</v>
          </cell>
          <cell r="B52">
            <v>95</v>
          </cell>
          <cell r="C52" t="str">
            <v>Safronova Marina/98</v>
          </cell>
          <cell r="D52" t="str">
            <v>RUS</v>
          </cell>
          <cell r="E52" t="str">
            <v>30.05.2014</v>
          </cell>
          <cell r="F52" t="str">
            <v>Kursk</v>
          </cell>
        </row>
        <row r="53">
          <cell r="A53">
            <v>75</v>
          </cell>
          <cell r="B53">
            <v>55</v>
          </cell>
          <cell r="C53" t="str">
            <v>Mimonova Olga/89</v>
          </cell>
          <cell r="D53" t="str">
            <v>RUS</v>
          </cell>
          <cell r="E53" t="str">
            <v>30.05.2014</v>
          </cell>
          <cell r="F53" t="str">
            <v>Kursk</v>
          </cell>
        </row>
        <row r="54">
          <cell r="A54">
            <v>82.5</v>
          </cell>
          <cell r="B54">
            <v>132.5</v>
          </cell>
          <cell r="C54" t="str">
            <v>Pugovkina Alla/75</v>
          </cell>
          <cell r="D54" t="str">
            <v>RUS</v>
          </cell>
          <cell r="E54" t="str">
            <v>24.08.2014</v>
          </cell>
          <cell r="F54" t="str">
            <v>Moscow</v>
          </cell>
        </row>
        <row r="55">
          <cell r="A55">
            <v>90</v>
          </cell>
          <cell r="B55"/>
          <cell r="C55"/>
          <cell r="D55"/>
          <cell r="E55"/>
          <cell r="F55"/>
        </row>
        <row r="56">
          <cell r="A56" t="str">
            <v>90+</v>
          </cell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 t="str">
            <v>ЖЕНЩИНЫ - САБМАСТЕРC (33 - 39)</v>
          </cell>
        </row>
        <row r="59">
          <cell r="A59">
            <v>44</v>
          </cell>
          <cell r="B59"/>
          <cell r="C59"/>
          <cell r="D59"/>
          <cell r="E59"/>
          <cell r="F59"/>
        </row>
        <row r="60">
          <cell r="A60">
            <v>48</v>
          </cell>
          <cell r="B60"/>
          <cell r="C60"/>
          <cell r="D60"/>
          <cell r="E60"/>
          <cell r="F60"/>
        </row>
        <row r="61">
          <cell r="A61">
            <v>52</v>
          </cell>
          <cell r="B61"/>
          <cell r="C61"/>
          <cell r="D61"/>
          <cell r="E61"/>
          <cell r="F61"/>
        </row>
        <row r="62">
          <cell r="A62">
            <v>56</v>
          </cell>
          <cell r="B62">
            <v>65</v>
          </cell>
          <cell r="C62" t="str">
            <v>Ryzhikh Olga/79</v>
          </cell>
          <cell r="D62" t="str">
            <v>RUS</v>
          </cell>
          <cell r="E62" t="str">
            <v>30.05.2014</v>
          </cell>
          <cell r="F62" t="str">
            <v>Kursk</v>
          </cell>
        </row>
        <row r="63">
          <cell r="A63">
            <v>60</v>
          </cell>
          <cell r="B63"/>
          <cell r="C63"/>
          <cell r="D63"/>
          <cell r="E63"/>
          <cell r="F63"/>
        </row>
        <row r="64">
          <cell r="A64">
            <v>67.5</v>
          </cell>
          <cell r="B64"/>
          <cell r="C64"/>
          <cell r="D64"/>
          <cell r="E64"/>
          <cell r="F64"/>
        </row>
        <row r="65">
          <cell r="A65">
            <v>75</v>
          </cell>
          <cell r="B65"/>
          <cell r="C65"/>
          <cell r="D65"/>
          <cell r="E65"/>
          <cell r="F65"/>
        </row>
        <row r="66">
          <cell r="A66">
            <v>82.5</v>
          </cell>
          <cell r="B66">
            <v>132.5</v>
          </cell>
          <cell r="C66" t="str">
            <v>Pugovkina Alla/75</v>
          </cell>
          <cell r="D66" t="str">
            <v>RUS</v>
          </cell>
          <cell r="E66" t="str">
            <v>24.08.2014</v>
          </cell>
          <cell r="F66" t="str">
            <v>Moscow</v>
          </cell>
        </row>
        <row r="67">
          <cell r="A67">
            <v>90</v>
          </cell>
          <cell r="B67"/>
          <cell r="C67"/>
          <cell r="D67"/>
          <cell r="E67"/>
          <cell r="F67"/>
        </row>
        <row r="68">
          <cell r="A68" t="str">
            <v>90+</v>
          </cell>
          <cell r="B68"/>
          <cell r="C68"/>
          <cell r="D68"/>
          <cell r="E68"/>
          <cell r="F68"/>
        </row>
        <row r="69">
          <cell r="B69"/>
          <cell r="C69"/>
          <cell r="D69"/>
          <cell r="E69"/>
          <cell r="F69"/>
        </row>
        <row r="70">
          <cell r="C70" t="str">
            <v>МАСТЕРС - 1(40-44)</v>
          </cell>
        </row>
        <row r="71">
          <cell r="A71">
            <v>44</v>
          </cell>
          <cell r="B71"/>
          <cell r="C71"/>
          <cell r="D71"/>
          <cell r="E71"/>
          <cell r="F71"/>
        </row>
        <row r="72">
          <cell r="A72">
            <v>48</v>
          </cell>
          <cell r="B72"/>
          <cell r="C72"/>
          <cell r="D72"/>
          <cell r="E72"/>
          <cell r="F72"/>
        </row>
        <row r="73">
          <cell r="A73">
            <v>52</v>
          </cell>
          <cell r="B73"/>
          <cell r="C73"/>
          <cell r="D73"/>
          <cell r="E73"/>
          <cell r="F73"/>
        </row>
        <row r="74">
          <cell r="A74">
            <v>56</v>
          </cell>
          <cell r="B74"/>
          <cell r="C74"/>
          <cell r="D74"/>
          <cell r="E74"/>
          <cell r="F74"/>
        </row>
        <row r="75">
          <cell r="A75">
            <v>60</v>
          </cell>
          <cell r="B75"/>
          <cell r="C75"/>
          <cell r="D75"/>
          <cell r="E75"/>
          <cell r="F75"/>
        </row>
        <row r="76">
          <cell r="A76" t="str">
            <v>67.5</v>
          </cell>
          <cell r="B76">
            <v>82.5</v>
          </cell>
          <cell r="C76" t="str">
            <v>Nikolenko Anna/70</v>
          </cell>
          <cell r="D76" t="str">
            <v>RUS</v>
          </cell>
          <cell r="E76">
            <v>41439</v>
          </cell>
          <cell r="F76" t="str">
            <v>Moscow</v>
          </cell>
        </row>
        <row r="77">
          <cell r="A77">
            <v>75</v>
          </cell>
          <cell r="B77"/>
          <cell r="C77"/>
          <cell r="D77"/>
          <cell r="E77"/>
          <cell r="F77"/>
        </row>
        <row r="78">
          <cell r="A78">
            <v>82.5</v>
          </cell>
          <cell r="B78"/>
          <cell r="C78"/>
          <cell r="D78"/>
          <cell r="E78"/>
          <cell r="F78"/>
        </row>
        <row r="79">
          <cell r="A79">
            <v>90</v>
          </cell>
          <cell r="B79"/>
          <cell r="C79"/>
          <cell r="D79"/>
          <cell r="E79"/>
          <cell r="F79"/>
        </row>
        <row r="80">
          <cell r="A80" t="str">
            <v>90+</v>
          </cell>
          <cell r="B80"/>
          <cell r="C80"/>
          <cell r="D80"/>
          <cell r="E80"/>
          <cell r="F80"/>
        </row>
        <row r="81">
          <cell r="B81"/>
          <cell r="C81"/>
          <cell r="D81"/>
          <cell r="E81"/>
          <cell r="F81"/>
        </row>
        <row r="82">
          <cell r="C82" t="str">
            <v>МАСТЕРС -2(45-49)</v>
          </cell>
        </row>
        <row r="83">
          <cell r="A83">
            <v>44</v>
          </cell>
          <cell r="B83"/>
          <cell r="C83"/>
          <cell r="D83"/>
          <cell r="E83"/>
          <cell r="F83"/>
        </row>
        <row r="84">
          <cell r="A84">
            <v>48</v>
          </cell>
          <cell r="B84">
            <v>65</v>
          </cell>
          <cell r="C84" t="str">
            <v>Marieva Natalya/68</v>
          </cell>
          <cell r="D84" t="str">
            <v>RUS</v>
          </cell>
          <cell r="E84" t="str">
            <v>30.05.2014</v>
          </cell>
          <cell r="F84" t="str">
            <v>Kursk</v>
          </cell>
        </row>
        <row r="85">
          <cell r="A85">
            <v>52</v>
          </cell>
          <cell r="B85"/>
          <cell r="C85"/>
          <cell r="D85"/>
          <cell r="E85"/>
          <cell r="F85"/>
        </row>
        <row r="86">
          <cell r="A86">
            <v>56</v>
          </cell>
          <cell r="B86"/>
          <cell r="C86"/>
          <cell r="D86"/>
          <cell r="E86"/>
          <cell r="F86"/>
        </row>
        <row r="87">
          <cell r="A87">
            <v>60</v>
          </cell>
          <cell r="B87"/>
          <cell r="C87"/>
          <cell r="D87"/>
          <cell r="E87"/>
          <cell r="F87"/>
        </row>
        <row r="88">
          <cell r="A88" t="str">
            <v>67.5</v>
          </cell>
          <cell r="B88"/>
          <cell r="C88"/>
          <cell r="D88"/>
          <cell r="E88"/>
          <cell r="F88"/>
        </row>
        <row r="89">
          <cell r="A89">
            <v>75</v>
          </cell>
          <cell r="B89"/>
          <cell r="C89"/>
          <cell r="D89"/>
          <cell r="E89"/>
          <cell r="F89"/>
        </row>
        <row r="90">
          <cell r="A90">
            <v>82.5</v>
          </cell>
          <cell r="B90"/>
          <cell r="C90"/>
          <cell r="D90"/>
          <cell r="E90"/>
          <cell r="F90"/>
        </row>
        <row r="91">
          <cell r="A91">
            <v>90</v>
          </cell>
          <cell r="B91"/>
          <cell r="C91"/>
          <cell r="D91"/>
          <cell r="E91"/>
          <cell r="F91"/>
        </row>
        <row r="92">
          <cell r="A92" t="str">
            <v>90+</v>
          </cell>
          <cell r="B92"/>
          <cell r="C92"/>
          <cell r="D92"/>
          <cell r="E92"/>
          <cell r="F92"/>
        </row>
        <row r="93">
          <cell r="C93" t="str">
            <v>МАСТЕРС -3(50-54)</v>
          </cell>
        </row>
        <row r="94">
          <cell r="A94">
            <v>44</v>
          </cell>
          <cell r="B94"/>
          <cell r="C94"/>
          <cell r="D94"/>
          <cell r="E94"/>
          <cell r="F94"/>
        </row>
        <row r="95">
          <cell r="A95">
            <v>48</v>
          </cell>
          <cell r="B95"/>
          <cell r="C95"/>
          <cell r="D95"/>
          <cell r="E95"/>
          <cell r="F95"/>
        </row>
        <row r="96">
          <cell r="A96">
            <v>52</v>
          </cell>
          <cell r="B96"/>
          <cell r="C96"/>
          <cell r="D96"/>
          <cell r="E96"/>
          <cell r="F96"/>
        </row>
        <row r="97">
          <cell r="A97">
            <v>56</v>
          </cell>
          <cell r="B97"/>
          <cell r="C97"/>
          <cell r="D97"/>
          <cell r="E97"/>
          <cell r="F97"/>
        </row>
        <row r="98">
          <cell r="A98">
            <v>60</v>
          </cell>
          <cell r="B98"/>
          <cell r="C98"/>
          <cell r="D98"/>
          <cell r="E98"/>
          <cell r="F98"/>
        </row>
        <row r="99">
          <cell r="A99" t="str">
            <v>67.5</v>
          </cell>
          <cell r="B99"/>
          <cell r="C99"/>
          <cell r="D99"/>
          <cell r="E99"/>
          <cell r="F99"/>
        </row>
        <row r="100">
          <cell r="A100">
            <v>75</v>
          </cell>
          <cell r="B100"/>
          <cell r="C100"/>
          <cell r="D100"/>
          <cell r="E100"/>
          <cell r="F100"/>
        </row>
        <row r="101">
          <cell r="A101">
            <v>82.5</v>
          </cell>
          <cell r="B101"/>
          <cell r="C101"/>
          <cell r="D101"/>
          <cell r="E101"/>
          <cell r="F101"/>
        </row>
        <row r="102">
          <cell r="A102">
            <v>90</v>
          </cell>
          <cell r="B102"/>
          <cell r="C102"/>
          <cell r="D102"/>
          <cell r="E102"/>
          <cell r="F102"/>
        </row>
        <row r="103">
          <cell r="A103" t="str">
            <v>90+</v>
          </cell>
          <cell r="B103"/>
          <cell r="C103"/>
          <cell r="D103"/>
          <cell r="E103"/>
          <cell r="F103"/>
        </row>
        <row r="104">
          <cell r="C104" t="str">
            <v>МАСТЕРС -4(55-59)</v>
          </cell>
        </row>
        <row r="105">
          <cell r="A105">
            <v>44</v>
          </cell>
          <cell r="B105"/>
          <cell r="C105"/>
          <cell r="D105"/>
          <cell r="E105"/>
          <cell r="F105"/>
        </row>
        <row r="106">
          <cell r="A106">
            <v>48</v>
          </cell>
          <cell r="B106"/>
          <cell r="C106"/>
          <cell r="D106"/>
          <cell r="E106"/>
          <cell r="F106"/>
        </row>
        <row r="107">
          <cell r="A107">
            <v>52</v>
          </cell>
          <cell r="B107"/>
          <cell r="C107"/>
          <cell r="D107"/>
          <cell r="E107"/>
          <cell r="F107"/>
        </row>
        <row r="108">
          <cell r="A108">
            <v>56</v>
          </cell>
          <cell r="B108"/>
          <cell r="C108"/>
          <cell r="D108"/>
          <cell r="E108"/>
          <cell r="F108"/>
        </row>
        <row r="109">
          <cell r="A109">
            <v>60</v>
          </cell>
          <cell r="B109"/>
          <cell r="C109"/>
          <cell r="D109"/>
          <cell r="E109"/>
          <cell r="F109"/>
        </row>
        <row r="110">
          <cell r="A110" t="str">
            <v>67.5</v>
          </cell>
          <cell r="B110"/>
          <cell r="C110"/>
          <cell r="D110"/>
          <cell r="E110"/>
          <cell r="F110"/>
        </row>
        <row r="111">
          <cell r="A111">
            <v>75</v>
          </cell>
          <cell r="B111"/>
          <cell r="C111"/>
          <cell r="D111"/>
          <cell r="E111"/>
          <cell r="F111"/>
        </row>
        <row r="112">
          <cell r="A112">
            <v>82.5</v>
          </cell>
          <cell r="B112"/>
          <cell r="C112"/>
          <cell r="D112"/>
          <cell r="E112"/>
          <cell r="F112"/>
        </row>
        <row r="113">
          <cell r="A113">
            <v>90</v>
          </cell>
          <cell r="B113"/>
          <cell r="C113"/>
          <cell r="D113"/>
          <cell r="E113"/>
          <cell r="F113"/>
        </row>
        <row r="114">
          <cell r="A114" t="str">
            <v>90+</v>
          </cell>
          <cell r="B114"/>
          <cell r="C114"/>
          <cell r="D114"/>
          <cell r="E114"/>
          <cell r="F114"/>
        </row>
      </sheetData>
      <sheetData sheetId="1">
        <row r="1">
          <cell r="B1" t="str">
            <v xml:space="preserve"> AWPC BP-SP- Europe</v>
          </cell>
        </row>
        <row r="2">
          <cell r="B2" t="str">
            <v>Teens1  (13 - 15)</v>
          </cell>
        </row>
        <row r="3">
          <cell r="A3">
            <v>52</v>
          </cell>
          <cell r="B3">
            <v>70</v>
          </cell>
          <cell r="C3" t="str">
            <v>Mamayev Maxim/97</v>
          </cell>
          <cell r="D3" t="str">
            <v>RUS</v>
          </cell>
          <cell r="E3">
            <v>41496</v>
          </cell>
          <cell r="F3" t="str">
            <v>Kursk</v>
          </cell>
        </row>
        <row r="4">
          <cell r="A4">
            <v>56</v>
          </cell>
          <cell r="B4"/>
          <cell r="C4"/>
          <cell r="D4"/>
          <cell r="E4"/>
          <cell r="F4"/>
        </row>
        <row r="5">
          <cell r="A5">
            <v>60</v>
          </cell>
          <cell r="B5">
            <v>100</v>
          </cell>
          <cell r="C5" t="str">
            <v>Kusochkin Vyacheslav/97</v>
          </cell>
          <cell r="D5" t="str">
            <v>RUS</v>
          </cell>
          <cell r="E5">
            <v>41321</v>
          </cell>
          <cell r="F5" t="str">
            <v>Yekaterinburg</v>
          </cell>
        </row>
        <row r="6">
          <cell r="A6" t="str">
            <v>67.5</v>
          </cell>
          <cell r="B6">
            <v>132.5</v>
          </cell>
          <cell r="C6" t="str">
            <v>Mandzhavidze Boris/97</v>
          </cell>
          <cell r="D6" t="str">
            <v>RUS</v>
          </cell>
          <cell r="E6">
            <v>41439</v>
          </cell>
          <cell r="F6" t="str">
            <v>Moscow</v>
          </cell>
        </row>
        <row r="7">
          <cell r="A7">
            <v>75</v>
          </cell>
          <cell r="B7">
            <v>120</v>
          </cell>
          <cell r="C7" t="str">
            <v>Kuvshinov Ilya/99</v>
          </cell>
          <cell r="D7" t="str">
            <v>RUS</v>
          </cell>
          <cell r="E7" t="str">
            <v>24.08.2014</v>
          </cell>
          <cell r="F7" t="str">
            <v>Moscow</v>
          </cell>
        </row>
        <row r="8">
          <cell r="A8">
            <v>82.5</v>
          </cell>
          <cell r="B8">
            <v>130</v>
          </cell>
          <cell r="C8" t="str">
            <v>Zazulin Nikita/98</v>
          </cell>
          <cell r="D8" t="str">
            <v>RUS</v>
          </cell>
          <cell r="E8" t="str">
            <v>08.02.2014</v>
          </cell>
          <cell r="F8" t="str">
            <v>Yekaterinburg</v>
          </cell>
        </row>
        <row r="9">
          <cell r="A9">
            <v>90</v>
          </cell>
          <cell r="B9"/>
          <cell r="C9"/>
          <cell r="D9"/>
          <cell r="E9"/>
          <cell r="F9"/>
        </row>
        <row r="10">
          <cell r="A10">
            <v>100</v>
          </cell>
          <cell r="B10"/>
          <cell r="C10"/>
          <cell r="D10"/>
          <cell r="E10"/>
          <cell r="F10"/>
        </row>
        <row r="11">
          <cell r="A11">
            <v>110</v>
          </cell>
          <cell r="B11"/>
          <cell r="C11"/>
          <cell r="D11"/>
          <cell r="E11"/>
          <cell r="F11"/>
        </row>
        <row r="12">
          <cell r="A12">
            <v>125</v>
          </cell>
          <cell r="B12"/>
          <cell r="C12"/>
          <cell r="D12"/>
          <cell r="E12"/>
          <cell r="F12"/>
        </row>
        <row r="13">
          <cell r="A13">
            <v>140</v>
          </cell>
          <cell r="B13"/>
          <cell r="C13"/>
          <cell r="D13"/>
          <cell r="E13"/>
          <cell r="F13"/>
        </row>
        <row r="14">
          <cell r="A14" t="str">
            <v>140+</v>
          </cell>
          <cell r="B14"/>
          <cell r="C14"/>
          <cell r="D14"/>
          <cell r="E14"/>
          <cell r="F14"/>
        </row>
        <row r="15">
          <cell r="A15"/>
          <cell r="B15"/>
          <cell r="C15"/>
          <cell r="D15"/>
          <cell r="E15"/>
          <cell r="F15"/>
        </row>
        <row r="16">
          <cell r="B16" t="str">
            <v>Teens2  (16 - 17)</v>
          </cell>
        </row>
        <row r="17">
          <cell r="A17">
            <v>52</v>
          </cell>
          <cell r="B17"/>
          <cell r="C17"/>
          <cell r="D17"/>
          <cell r="E17"/>
          <cell r="F17"/>
        </row>
        <row r="18">
          <cell r="A18">
            <v>56</v>
          </cell>
          <cell r="B18">
            <v>100</v>
          </cell>
          <cell r="C18" t="str">
            <v>Borzenkov Maxim/96</v>
          </cell>
          <cell r="D18" t="str">
            <v>RUS</v>
          </cell>
          <cell r="E18" t="str">
            <v>30.05.2014</v>
          </cell>
          <cell r="F18" t="str">
            <v>Kursk</v>
          </cell>
        </row>
        <row r="19">
          <cell r="A19">
            <v>60</v>
          </cell>
          <cell r="B19">
            <v>97.5</v>
          </cell>
          <cell r="C19" t="str">
            <v>Morozov Yevgeniy/97</v>
          </cell>
          <cell r="D19" t="str">
            <v>RUS</v>
          </cell>
          <cell r="E19">
            <v>41608</v>
          </cell>
          <cell r="F19" t="str">
            <v>Yekaterinburg</v>
          </cell>
        </row>
        <row r="20">
          <cell r="A20" t="str">
            <v>67.5</v>
          </cell>
          <cell r="B20">
            <v>137.5</v>
          </cell>
          <cell r="C20" t="str">
            <v>Tonkoglaz Vladimir/96</v>
          </cell>
          <cell r="D20" t="str">
            <v>RUS</v>
          </cell>
          <cell r="E20">
            <v>41439</v>
          </cell>
          <cell r="F20" t="str">
            <v>Moscow</v>
          </cell>
        </row>
        <row r="21">
          <cell r="A21">
            <v>75</v>
          </cell>
          <cell r="B21">
            <v>147.5</v>
          </cell>
          <cell r="C21" t="str">
            <v>Kusochkin Vyacheslav/97</v>
          </cell>
          <cell r="D21" t="str">
            <v>RUS</v>
          </cell>
          <cell r="E21" t="str">
            <v>08.02.2014</v>
          </cell>
          <cell r="F21" t="str">
            <v>Yekaterinburg</v>
          </cell>
        </row>
        <row r="22">
          <cell r="A22" t="str">
            <v>82.5</v>
          </cell>
          <cell r="B22">
            <v>127.5</v>
          </cell>
          <cell r="C22" t="str">
            <v>Kopytov Alexandr/96</v>
          </cell>
          <cell r="D22" t="str">
            <v>RUS</v>
          </cell>
          <cell r="E22">
            <v>41321</v>
          </cell>
          <cell r="F22" t="str">
            <v>Yekaterinburg</v>
          </cell>
        </row>
        <row r="23">
          <cell r="A23">
            <v>90</v>
          </cell>
          <cell r="B23"/>
          <cell r="C23"/>
          <cell r="D23"/>
          <cell r="E23"/>
          <cell r="F23"/>
        </row>
        <row r="24">
          <cell r="A24">
            <v>100</v>
          </cell>
          <cell r="B24"/>
          <cell r="C24"/>
          <cell r="D24"/>
          <cell r="E24"/>
          <cell r="F24"/>
        </row>
        <row r="25">
          <cell r="A25">
            <v>110</v>
          </cell>
          <cell r="B25"/>
          <cell r="C25"/>
          <cell r="D25"/>
          <cell r="E25"/>
          <cell r="F25"/>
        </row>
        <row r="26">
          <cell r="A26">
            <v>125</v>
          </cell>
          <cell r="B26"/>
          <cell r="C26"/>
          <cell r="D26"/>
          <cell r="E26"/>
          <cell r="F26"/>
        </row>
        <row r="27">
          <cell r="A27">
            <v>140</v>
          </cell>
          <cell r="B27"/>
          <cell r="C27"/>
          <cell r="D27"/>
          <cell r="E27"/>
          <cell r="F27"/>
        </row>
        <row r="28">
          <cell r="A28" t="str">
            <v>140+</v>
          </cell>
          <cell r="B28"/>
          <cell r="C28"/>
          <cell r="D28"/>
          <cell r="E28"/>
          <cell r="F28"/>
        </row>
        <row r="29">
          <cell r="B29"/>
          <cell r="C29"/>
          <cell r="D29"/>
          <cell r="E29"/>
          <cell r="F29"/>
        </row>
        <row r="30">
          <cell r="B30" t="str">
            <v>Teens3 (18 - 19)</v>
          </cell>
          <cell r="F30"/>
        </row>
        <row r="31">
          <cell r="A31">
            <v>52</v>
          </cell>
          <cell r="B31"/>
          <cell r="C31"/>
          <cell r="D31"/>
          <cell r="E31"/>
          <cell r="F31"/>
        </row>
        <row r="32">
          <cell r="A32">
            <v>56</v>
          </cell>
          <cell r="B32"/>
          <cell r="C32"/>
          <cell r="D32"/>
          <cell r="E32"/>
          <cell r="F32"/>
        </row>
        <row r="33">
          <cell r="A33">
            <v>60</v>
          </cell>
          <cell r="B33"/>
          <cell r="C33"/>
          <cell r="D33"/>
          <cell r="E33"/>
          <cell r="F33"/>
        </row>
        <row r="34">
          <cell r="A34" t="str">
            <v>67.5</v>
          </cell>
          <cell r="B34">
            <v>132.5</v>
          </cell>
          <cell r="C34" t="str">
            <v>Savenkov Nikolai/93</v>
          </cell>
          <cell r="D34" t="str">
            <v>RUS</v>
          </cell>
          <cell r="E34">
            <v>41439</v>
          </cell>
          <cell r="F34" t="str">
            <v>Moscow</v>
          </cell>
        </row>
        <row r="35">
          <cell r="A35">
            <v>75</v>
          </cell>
          <cell r="B35">
            <v>160</v>
          </cell>
          <cell r="C35" t="str">
            <v>Zabelin Nikolai/94</v>
          </cell>
          <cell r="D35" t="str">
            <v>RUS</v>
          </cell>
          <cell r="E35">
            <v>41496</v>
          </cell>
          <cell r="F35" t="str">
            <v>Kursk</v>
          </cell>
        </row>
        <row r="36">
          <cell r="A36" t="str">
            <v>82.5</v>
          </cell>
          <cell r="B36"/>
          <cell r="C36"/>
          <cell r="D36"/>
          <cell r="E36"/>
          <cell r="F36"/>
        </row>
        <row r="37">
          <cell r="A37">
            <v>90</v>
          </cell>
          <cell r="B37">
            <v>190</v>
          </cell>
          <cell r="C37" t="str">
            <v>Khizev Nikita/94</v>
          </cell>
          <cell r="D37" t="str">
            <v>RUS</v>
          </cell>
          <cell r="E37">
            <v>41608</v>
          </cell>
          <cell r="F37" t="str">
            <v>Yekaterinburg</v>
          </cell>
        </row>
        <row r="38">
          <cell r="A38">
            <v>100</v>
          </cell>
          <cell r="B38">
            <v>170</v>
          </cell>
          <cell r="C38" t="str">
            <v>Shatnyy Kirill/94</v>
          </cell>
          <cell r="D38" t="str">
            <v>RUS</v>
          </cell>
          <cell r="E38" t="str">
            <v>08.02.2014</v>
          </cell>
          <cell r="F38" t="str">
            <v>Yekaterinburg</v>
          </cell>
        </row>
        <row r="39">
          <cell r="A39">
            <v>110</v>
          </cell>
          <cell r="B39">
            <v>210</v>
          </cell>
          <cell r="C39" t="str">
            <v>Kiselev Sergei/95</v>
          </cell>
          <cell r="D39" t="str">
            <v>RUS</v>
          </cell>
          <cell r="E39" t="str">
            <v>30.05.2014</v>
          </cell>
          <cell r="F39" t="str">
            <v>Kursk</v>
          </cell>
        </row>
        <row r="40">
          <cell r="A40">
            <v>125</v>
          </cell>
          <cell r="B40"/>
          <cell r="C40"/>
          <cell r="D40"/>
          <cell r="E40"/>
          <cell r="F40"/>
        </row>
        <row r="41">
          <cell r="A41">
            <v>140</v>
          </cell>
          <cell r="B41"/>
          <cell r="C41"/>
          <cell r="D41"/>
          <cell r="E41"/>
          <cell r="F41"/>
        </row>
        <row r="42">
          <cell r="A42" t="str">
            <v>140+</v>
          </cell>
          <cell r="B42"/>
          <cell r="C42"/>
          <cell r="D42"/>
          <cell r="E42"/>
          <cell r="F42"/>
        </row>
        <row r="43">
          <cell r="B43"/>
          <cell r="C43"/>
          <cell r="D43"/>
          <cell r="E43"/>
          <cell r="F43"/>
        </row>
        <row r="44">
          <cell r="B44" t="str">
            <v>Men's Junior (20 - 23)</v>
          </cell>
          <cell r="F44"/>
        </row>
        <row r="45">
          <cell r="A45">
            <v>52</v>
          </cell>
          <cell r="E45"/>
        </row>
        <row r="46">
          <cell r="A46">
            <v>56</v>
          </cell>
          <cell r="B46"/>
          <cell r="C46"/>
          <cell r="D46"/>
          <cell r="E46"/>
          <cell r="F46"/>
        </row>
        <row r="47">
          <cell r="A47">
            <v>60</v>
          </cell>
          <cell r="B47"/>
          <cell r="C47"/>
          <cell r="D47"/>
          <cell r="E47"/>
          <cell r="F47"/>
        </row>
        <row r="48">
          <cell r="A48" t="str">
            <v>67.5</v>
          </cell>
          <cell r="B48">
            <v>152.5</v>
          </cell>
          <cell r="C48" t="str">
            <v>Izmestyev Alexander/90</v>
          </cell>
          <cell r="D48" t="str">
            <v>RUS</v>
          </cell>
          <cell r="E48" t="str">
            <v>24.08.2014</v>
          </cell>
          <cell r="F48" t="str">
            <v>Moscow</v>
          </cell>
        </row>
        <row r="49">
          <cell r="A49">
            <v>75</v>
          </cell>
          <cell r="B49">
            <v>197.5</v>
          </cell>
          <cell r="C49" t="str">
            <v>Berezov Vadim/90</v>
          </cell>
          <cell r="D49" t="str">
            <v>RUS</v>
          </cell>
          <cell r="E49">
            <v>41502</v>
          </cell>
          <cell r="F49" t="str">
            <v>Novosibirsk</v>
          </cell>
        </row>
        <row r="50">
          <cell r="A50" t="str">
            <v>82.5</v>
          </cell>
          <cell r="B50">
            <v>170</v>
          </cell>
          <cell r="C50" t="str">
            <v>Sharonov Sergei/89</v>
          </cell>
          <cell r="D50" t="str">
            <v>RUS</v>
          </cell>
          <cell r="E50">
            <v>41321</v>
          </cell>
          <cell r="F50" t="str">
            <v>Yekaterinburg</v>
          </cell>
        </row>
        <row r="51">
          <cell r="A51">
            <v>90</v>
          </cell>
          <cell r="B51">
            <v>225</v>
          </cell>
          <cell r="C51" t="str">
            <v>Yakushevich Alexei/91</v>
          </cell>
          <cell r="D51" t="str">
            <v>RUS</v>
          </cell>
          <cell r="E51">
            <v>41496</v>
          </cell>
          <cell r="F51" t="str">
            <v>Kursk</v>
          </cell>
        </row>
        <row r="52">
          <cell r="A52">
            <v>100</v>
          </cell>
          <cell r="B52">
            <v>202.5</v>
          </cell>
          <cell r="C52" t="str">
            <v>Legchilin Roman/91</v>
          </cell>
          <cell r="D52" t="str">
            <v>RUS</v>
          </cell>
          <cell r="E52">
            <v>41720</v>
          </cell>
          <cell r="F52" t="str">
            <v>Vologda</v>
          </cell>
        </row>
        <row r="53">
          <cell r="A53">
            <v>110</v>
          </cell>
          <cell r="B53">
            <v>227.5</v>
          </cell>
          <cell r="C53" t="str">
            <v>Fedoseev Kirill/92</v>
          </cell>
          <cell r="D53" t="str">
            <v>RUS</v>
          </cell>
          <cell r="E53">
            <v>41608</v>
          </cell>
          <cell r="F53" t="str">
            <v>Yekaterinburg</v>
          </cell>
        </row>
        <row r="54">
          <cell r="A54">
            <v>125</v>
          </cell>
          <cell r="B54">
            <v>210</v>
          </cell>
          <cell r="C54" t="str">
            <v>Lavrov Sergei/91</v>
          </cell>
          <cell r="D54" t="str">
            <v>RUS</v>
          </cell>
          <cell r="E54" t="str">
            <v>24.08.2014</v>
          </cell>
          <cell r="F54" t="str">
            <v>Moscow</v>
          </cell>
        </row>
        <row r="55">
          <cell r="A55">
            <v>140</v>
          </cell>
          <cell r="B55"/>
          <cell r="C55"/>
          <cell r="D55"/>
          <cell r="E55"/>
          <cell r="F55"/>
        </row>
        <row r="56">
          <cell r="A56" t="str">
            <v>140+</v>
          </cell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 t="str">
            <v>MEN</v>
          </cell>
          <cell r="F58"/>
        </row>
        <row r="59">
          <cell r="A59">
            <v>52</v>
          </cell>
          <cell r="B59">
            <v>130</v>
          </cell>
          <cell r="C59" t="str">
            <v>Sokushev Vadim/90</v>
          </cell>
          <cell r="D59" t="str">
            <v>RUS</v>
          </cell>
          <cell r="E59" t="str">
            <v>04.07.2014</v>
          </cell>
          <cell r="F59" t="str">
            <v>Novosibirsk</v>
          </cell>
        </row>
        <row r="60">
          <cell r="A60">
            <v>56</v>
          </cell>
          <cell r="B60">
            <v>100</v>
          </cell>
          <cell r="C60" t="str">
            <v>Borzenkov Maxim/96</v>
          </cell>
          <cell r="D60" t="str">
            <v>RUS</v>
          </cell>
          <cell r="E60" t="str">
            <v>30.05.2014</v>
          </cell>
          <cell r="F60" t="str">
            <v>Kursk</v>
          </cell>
        </row>
        <row r="61">
          <cell r="A61">
            <v>60</v>
          </cell>
          <cell r="B61">
            <v>100</v>
          </cell>
          <cell r="C61" t="str">
            <v>Kusochkin Vyacheslav/97</v>
          </cell>
          <cell r="D61" t="str">
            <v>RUS</v>
          </cell>
          <cell r="E61">
            <v>41321</v>
          </cell>
          <cell r="F61" t="str">
            <v>Yekaterinburg</v>
          </cell>
        </row>
        <row r="62">
          <cell r="A62" t="str">
            <v>67.5</v>
          </cell>
          <cell r="B62">
            <v>200.5</v>
          </cell>
          <cell r="C62" t="str">
            <v>Sufiyanov Ayrat/84</v>
          </cell>
          <cell r="D62" t="str">
            <v>RUS</v>
          </cell>
          <cell r="E62" t="str">
            <v>24.08.2014</v>
          </cell>
          <cell r="F62" t="str">
            <v>Moscow</v>
          </cell>
        </row>
        <row r="63">
          <cell r="A63">
            <v>75</v>
          </cell>
          <cell r="B63">
            <v>232.5</v>
          </cell>
          <cell r="C63" t="str">
            <v>Sokolov Nikolai/79</v>
          </cell>
          <cell r="D63" t="str">
            <v>RUS</v>
          </cell>
          <cell r="E63" t="str">
            <v>24.08.2014</v>
          </cell>
          <cell r="F63" t="str">
            <v>Moscow</v>
          </cell>
        </row>
        <row r="64">
          <cell r="A64" t="str">
            <v>82.5</v>
          </cell>
          <cell r="B64">
            <v>222.5</v>
          </cell>
          <cell r="C64" t="str">
            <v>Tishkovskiy Vladimir/86</v>
          </cell>
          <cell r="D64" t="str">
            <v>RUS</v>
          </cell>
          <cell r="E64" t="str">
            <v>24.08.2014</v>
          </cell>
          <cell r="F64" t="str">
            <v>Moscow</v>
          </cell>
        </row>
        <row r="65">
          <cell r="A65">
            <v>90</v>
          </cell>
          <cell r="B65">
            <v>245</v>
          </cell>
          <cell r="C65" t="str">
            <v>Vinnichenko Sergei/74</v>
          </cell>
          <cell r="D65" t="str">
            <v>RUS</v>
          </cell>
          <cell r="E65" t="str">
            <v>24.08.2014</v>
          </cell>
          <cell r="F65" t="str">
            <v>Moscow</v>
          </cell>
        </row>
        <row r="66">
          <cell r="A66">
            <v>100</v>
          </cell>
          <cell r="B66">
            <v>292.5</v>
          </cell>
          <cell r="C66" t="str">
            <v>Abdullin Marat/85</v>
          </cell>
          <cell r="D66" t="str">
            <v>RUS</v>
          </cell>
          <cell r="E66" t="str">
            <v>24.08.2014</v>
          </cell>
          <cell r="F66" t="str">
            <v>Moscow</v>
          </cell>
        </row>
        <row r="67">
          <cell r="A67">
            <v>110</v>
          </cell>
          <cell r="B67">
            <v>282.5</v>
          </cell>
          <cell r="C67" t="str">
            <v>Kuznetsov Konstantin/7</v>
          </cell>
          <cell r="D67" t="str">
            <v>RUS</v>
          </cell>
          <cell r="E67">
            <v>41608</v>
          </cell>
          <cell r="F67" t="str">
            <v>Yekaterinburg</v>
          </cell>
        </row>
        <row r="68">
          <cell r="A68">
            <v>125</v>
          </cell>
          <cell r="B68">
            <v>245</v>
          </cell>
          <cell r="C68" t="str">
            <v>Kryzhanovskiy Konstantin/75</v>
          </cell>
          <cell r="D68" t="str">
            <v>RUS</v>
          </cell>
          <cell r="E68" t="str">
            <v>24.08.2014</v>
          </cell>
          <cell r="F68" t="str">
            <v>Moscow</v>
          </cell>
        </row>
        <row r="69">
          <cell r="A69">
            <v>140</v>
          </cell>
          <cell r="B69">
            <v>300</v>
          </cell>
          <cell r="C69" t="str">
            <v>Kolesnichenko Sergei/79</v>
          </cell>
          <cell r="D69" t="str">
            <v>RUS</v>
          </cell>
          <cell r="E69" t="str">
            <v>09.08.2014</v>
          </cell>
          <cell r="F69" t="str">
            <v>Yekaterinburg</v>
          </cell>
        </row>
        <row r="70">
          <cell r="A70" t="str">
            <v>140+</v>
          </cell>
          <cell r="B70">
            <v>270</v>
          </cell>
          <cell r="C70" t="str">
            <v>Bergert Lev/66</v>
          </cell>
          <cell r="D70" t="str">
            <v>RUS</v>
          </cell>
          <cell r="E70" t="str">
            <v>24.08.2014</v>
          </cell>
          <cell r="F70" t="str">
            <v>Moscow</v>
          </cell>
        </row>
        <row r="71">
          <cell r="B71"/>
          <cell r="C71"/>
          <cell r="D71"/>
          <cell r="E71"/>
          <cell r="F71"/>
        </row>
        <row r="72">
          <cell r="B72" t="str">
            <v>Men's Submasters 33-39</v>
          </cell>
          <cell r="F72"/>
        </row>
        <row r="73">
          <cell r="A73">
            <v>52</v>
          </cell>
          <cell r="B73"/>
          <cell r="C73"/>
          <cell r="D73"/>
          <cell r="E73"/>
          <cell r="F73"/>
        </row>
        <row r="74">
          <cell r="A74">
            <v>56</v>
          </cell>
          <cell r="B74"/>
          <cell r="C74"/>
          <cell r="D74"/>
          <cell r="E74"/>
          <cell r="F74"/>
        </row>
        <row r="75">
          <cell r="A75">
            <v>60</v>
          </cell>
          <cell r="B75"/>
          <cell r="C75"/>
          <cell r="D75"/>
          <cell r="E75"/>
          <cell r="F75"/>
        </row>
        <row r="76">
          <cell r="A76" t="str">
            <v>67.5</v>
          </cell>
          <cell r="B76">
            <v>157.5</v>
          </cell>
          <cell r="C76" t="str">
            <v>Lusyakov Sergei/80</v>
          </cell>
          <cell r="D76" t="str">
            <v>RUS</v>
          </cell>
          <cell r="E76" t="str">
            <v>09.08.2014</v>
          </cell>
          <cell r="F76" t="str">
            <v>Yekaterinburg</v>
          </cell>
        </row>
        <row r="77">
          <cell r="A77">
            <v>75</v>
          </cell>
          <cell r="B77">
            <v>232.5</v>
          </cell>
          <cell r="C77" t="str">
            <v>Sokolov Nikolai/79</v>
          </cell>
          <cell r="D77" t="str">
            <v>RUS</v>
          </cell>
          <cell r="E77" t="str">
            <v>24.08.2014</v>
          </cell>
          <cell r="F77" t="str">
            <v>Moscow</v>
          </cell>
        </row>
        <row r="78">
          <cell r="A78" t="str">
            <v>82.5</v>
          </cell>
          <cell r="B78">
            <v>220</v>
          </cell>
          <cell r="C78" t="str">
            <v>Khachaturyan Armen/78</v>
          </cell>
          <cell r="D78" t="str">
            <v>RUS</v>
          </cell>
          <cell r="E78" t="str">
            <v>24.08.2014</v>
          </cell>
          <cell r="F78" t="str">
            <v>Moscow</v>
          </cell>
        </row>
        <row r="79">
          <cell r="A79">
            <v>90</v>
          </cell>
          <cell r="B79">
            <v>245</v>
          </cell>
          <cell r="C79" t="str">
            <v>Vinnichenko Sergei/74</v>
          </cell>
          <cell r="D79" t="str">
            <v>RUS</v>
          </cell>
          <cell r="E79" t="str">
            <v>24.08.2014</v>
          </cell>
          <cell r="F79" t="str">
            <v>Moscow</v>
          </cell>
        </row>
        <row r="80">
          <cell r="A80">
            <v>100</v>
          </cell>
          <cell r="B80">
            <v>265</v>
          </cell>
          <cell r="C80" t="str">
            <v>Kashirin Alexei/73</v>
          </cell>
          <cell r="D80" t="str">
            <v>RUS</v>
          </cell>
          <cell r="E80">
            <v>41439</v>
          </cell>
          <cell r="F80" t="str">
            <v>Moscow</v>
          </cell>
        </row>
        <row r="81">
          <cell r="A81">
            <v>110</v>
          </cell>
          <cell r="B81">
            <v>262.5</v>
          </cell>
          <cell r="C81" t="str">
            <v>Evstigneev Mikhail/76</v>
          </cell>
          <cell r="D81" t="str">
            <v>RUS</v>
          </cell>
          <cell r="E81" t="str">
            <v>24.08.2014</v>
          </cell>
          <cell r="F81" t="str">
            <v>Moscow</v>
          </cell>
        </row>
        <row r="82">
          <cell r="A82">
            <v>125</v>
          </cell>
          <cell r="B82">
            <v>245</v>
          </cell>
          <cell r="C82" t="str">
            <v>Kryzhanovskiy Konstantin/75</v>
          </cell>
          <cell r="D82" t="str">
            <v>RUS</v>
          </cell>
          <cell r="E82" t="str">
            <v>24.08.2014</v>
          </cell>
          <cell r="F82" t="str">
            <v>Moscow</v>
          </cell>
        </row>
        <row r="83">
          <cell r="A83">
            <v>140</v>
          </cell>
          <cell r="B83">
            <v>300</v>
          </cell>
          <cell r="C83" t="str">
            <v>Kolesnichenko Sergei/79</v>
          </cell>
          <cell r="D83" t="str">
            <v>RUS</v>
          </cell>
          <cell r="E83" t="str">
            <v>09.08.2014</v>
          </cell>
          <cell r="F83" t="str">
            <v>Yekaterinburg</v>
          </cell>
        </row>
        <row r="84">
          <cell r="A84" t="str">
            <v>140+</v>
          </cell>
          <cell r="B84"/>
          <cell r="C84"/>
          <cell r="D84"/>
          <cell r="E84"/>
          <cell r="F84"/>
        </row>
        <row r="85">
          <cell r="B85"/>
          <cell r="C85"/>
          <cell r="D85"/>
          <cell r="E85"/>
          <cell r="F85"/>
        </row>
        <row r="86">
          <cell r="B86" t="str">
            <v>Men's Master1  (40 - 44)</v>
          </cell>
          <cell r="F86"/>
        </row>
        <row r="87">
          <cell r="A87">
            <v>52</v>
          </cell>
          <cell r="B87"/>
          <cell r="C87"/>
          <cell r="D87"/>
          <cell r="E87"/>
          <cell r="F87"/>
        </row>
        <row r="88">
          <cell r="A88">
            <v>56</v>
          </cell>
          <cell r="B88"/>
          <cell r="C88"/>
          <cell r="D88"/>
          <cell r="E88"/>
          <cell r="F88"/>
        </row>
        <row r="89">
          <cell r="A89">
            <v>60</v>
          </cell>
          <cell r="B89"/>
          <cell r="C89"/>
          <cell r="D89"/>
          <cell r="E89"/>
          <cell r="F89"/>
        </row>
        <row r="90">
          <cell r="A90" t="str">
            <v>67.5</v>
          </cell>
          <cell r="B90">
            <v>160</v>
          </cell>
          <cell r="C90" t="str">
            <v>Mironov Oleg/70</v>
          </cell>
          <cell r="D90" t="str">
            <v>RUS</v>
          </cell>
          <cell r="E90">
            <v>41608</v>
          </cell>
          <cell r="F90" t="str">
            <v>Yekaterinburg</v>
          </cell>
        </row>
        <row r="91">
          <cell r="A91">
            <v>75</v>
          </cell>
          <cell r="B91">
            <v>155</v>
          </cell>
          <cell r="C91" t="str">
            <v>Lapynin Vladimir/70</v>
          </cell>
          <cell r="D91" t="str">
            <v>RUS</v>
          </cell>
          <cell r="E91" t="str">
            <v>24.08.2014</v>
          </cell>
          <cell r="F91" t="str">
            <v>Moscow</v>
          </cell>
        </row>
        <row r="92">
          <cell r="A92" t="str">
            <v>82.5</v>
          </cell>
          <cell r="B92">
            <v>190</v>
          </cell>
          <cell r="C92" t="str">
            <v>Bryazgunov Alexei/70</v>
          </cell>
          <cell r="D92" t="str">
            <v>RUS</v>
          </cell>
          <cell r="E92">
            <v>41496</v>
          </cell>
          <cell r="F92" t="str">
            <v>Kursk</v>
          </cell>
        </row>
        <row r="93">
          <cell r="A93">
            <v>90</v>
          </cell>
          <cell r="B93">
            <v>240</v>
          </cell>
          <cell r="C93" t="str">
            <v>Konchakov Vladimir/73</v>
          </cell>
          <cell r="D93" t="str">
            <v>RUS</v>
          </cell>
          <cell r="E93" t="str">
            <v>04.07.2014</v>
          </cell>
          <cell r="F93" t="str">
            <v>Novosibirsk</v>
          </cell>
        </row>
        <row r="94">
          <cell r="A94">
            <v>100</v>
          </cell>
          <cell r="B94">
            <v>260</v>
          </cell>
          <cell r="C94" t="str">
            <v>Synkov Vasiliy/72</v>
          </cell>
          <cell r="D94" t="str">
            <v>RUS</v>
          </cell>
          <cell r="E94">
            <v>41502</v>
          </cell>
          <cell r="F94" t="str">
            <v>Novosibirsk</v>
          </cell>
        </row>
        <row r="95">
          <cell r="A95">
            <v>110</v>
          </cell>
          <cell r="B95">
            <v>225</v>
          </cell>
          <cell r="C95" t="str">
            <v>Dedevshin Stanislav/69</v>
          </cell>
          <cell r="D95" t="str">
            <v>RUS</v>
          </cell>
          <cell r="E95" t="str">
            <v>24.08.2014</v>
          </cell>
          <cell r="F95" t="str">
            <v>Moscow</v>
          </cell>
        </row>
        <row r="96">
          <cell r="A96">
            <v>125</v>
          </cell>
          <cell r="B96">
            <v>212.5</v>
          </cell>
          <cell r="C96" t="str">
            <v>Sibilev Yevgeniy/70</v>
          </cell>
          <cell r="D96" t="str">
            <v>RUS</v>
          </cell>
          <cell r="E96" t="str">
            <v>24.08.2014</v>
          </cell>
          <cell r="F96" t="str">
            <v>Moscow</v>
          </cell>
        </row>
        <row r="97">
          <cell r="A97">
            <v>140</v>
          </cell>
          <cell r="B97"/>
          <cell r="C97"/>
          <cell r="D97"/>
          <cell r="E97"/>
          <cell r="F97"/>
        </row>
        <row r="98">
          <cell r="A98" t="str">
            <v>140+</v>
          </cell>
          <cell r="B98">
            <v>197.5</v>
          </cell>
          <cell r="C98" t="str">
            <v>Smirnov Yuriy/71</v>
          </cell>
          <cell r="D98" t="str">
            <v>RUS</v>
          </cell>
          <cell r="E98" t="str">
            <v>24.08.2014</v>
          </cell>
          <cell r="F98" t="str">
            <v>Moscow</v>
          </cell>
        </row>
        <row r="99">
          <cell r="B99"/>
          <cell r="C99"/>
          <cell r="D99"/>
          <cell r="E99"/>
          <cell r="F99"/>
        </row>
        <row r="100">
          <cell r="B100" t="str">
            <v>Men's Master2  (45 - 49)</v>
          </cell>
          <cell r="F100"/>
        </row>
        <row r="101">
          <cell r="A101">
            <v>52</v>
          </cell>
          <cell r="B101"/>
          <cell r="C101"/>
          <cell r="D101"/>
          <cell r="E101"/>
          <cell r="F101"/>
        </row>
        <row r="102">
          <cell r="A102">
            <v>56</v>
          </cell>
          <cell r="B102"/>
          <cell r="C102"/>
          <cell r="D102"/>
          <cell r="E102"/>
          <cell r="F102"/>
        </row>
        <row r="103">
          <cell r="A103">
            <v>60</v>
          </cell>
          <cell r="B103"/>
          <cell r="C103"/>
          <cell r="D103"/>
          <cell r="E103"/>
          <cell r="F103"/>
        </row>
        <row r="104">
          <cell r="A104">
            <v>67.5</v>
          </cell>
          <cell r="B104"/>
          <cell r="C104"/>
          <cell r="D104"/>
          <cell r="E104"/>
          <cell r="F104"/>
        </row>
        <row r="105">
          <cell r="A105">
            <v>75</v>
          </cell>
          <cell r="B105">
            <v>147.5</v>
          </cell>
          <cell r="C105" t="str">
            <v>Bashtanov Igor/67</v>
          </cell>
          <cell r="D105" t="str">
            <v>RUS</v>
          </cell>
          <cell r="E105" t="str">
            <v>04.07.2014</v>
          </cell>
          <cell r="F105" t="str">
            <v>Novosibirsk</v>
          </cell>
        </row>
        <row r="106">
          <cell r="A106" t="str">
            <v>82.5</v>
          </cell>
          <cell r="B106">
            <v>187.5</v>
          </cell>
          <cell r="C106" t="str">
            <v>Dremenkov Konstantin/66</v>
          </cell>
          <cell r="D106" t="str">
            <v>BLR</v>
          </cell>
          <cell r="E106" t="str">
            <v>24.08.2014</v>
          </cell>
          <cell r="F106" t="str">
            <v>Moscow</v>
          </cell>
        </row>
        <row r="107">
          <cell r="A107">
            <v>90</v>
          </cell>
          <cell r="B107">
            <v>215</v>
          </cell>
          <cell r="C107" t="str">
            <v>Sender Alexei/65</v>
          </cell>
          <cell r="D107" t="str">
            <v>BLR</v>
          </cell>
          <cell r="E107" t="str">
            <v>24.08.2014</v>
          </cell>
          <cell r="F107" t="str">
            <v>Moscow</v>
          </cell>
        </row>
        <row r="108">
          <cell r="A108">
            <v>100</v>
          </cell>
          <cell r="B108">
            <v>207.5</v>
          </cell>
          <cell r="C108" t="str">
            <v>Solomichev Igor/67</v>
          </cell>
          <cell r="D108" t="str">
            <v>RUS</v>
          </cell>
          <cell r="E108" t="str">
            <v>24.08.2014</v>
          </cell>
          <cell r="F108" t="str">
            <v>Moscow</v>
          </cell>
        </row>
        <row r="109">
          <cell r="A109">
            <v>110</v>
          </cell>
          <cell r="B109">
            <v>202.5</v>
          </cell>
          <cell r="C109" t="str">
            <v>Terentyev Alexander/69</v>
          </cell>
          <cell r="D109" t="str">
            <v>RUS</v>
          </cell>
          <cell r="E109" t="str">
            <v>24.08.2014</v>
          </cell>
          <cell r="F109" t="str">
            <v>Moscow</v>
          </cell>
        </row>
        <row r="110">
          <cell r="A110">
            <v>125</v>
          </cell>
          <cell r="B110">
            <v>190</v>
          </cell>
          <cell r="C110" t="str">
            <v>Lukyanchik Yuriy/67</v>
          </cell>
          <cell r="D110" t="str">
            <v>RUS</v>
          </cell>
          <cell r="E110" t="str">
            <v>24.08.2014</v>
          </cell>
          <cell r="F110" t="str">
            <v>Moscow</v>
          </cell>
        </row>
        <row r="111">
          <cell r="A111">
            <v>140</v>
          </cell>
          <cell r="B111"/>
          <cell r="C111"/>
          <cell r="D111"/>
          <cell r="E111"/>
          <cell r="F111"/>
        </row>
        <row r="112">
          <cell r="A112" t="str">
            <v>140+</v>
          </cell>
          <cell r="B112">
            <v>270</v>
          </cell>
          <cell r="C112" t="str">
            <v>Bergert Lev/66</v>
          </cell>
          <cell r="D112" t="str">
            <v>RUS</v>
          </cell>
          <cell r="E112" t="str">
            <v>24.08.2014</v>
          </cell>
          <cell r="F112" t="str">
            <v>Moscow</v>
          </cell>
        </row>
        <row r="113">
          <cell r="B113"/>
          <cell r="C113"/>
          <cell r="D113"/>
          <cell r="E113"/>
          <cell r="F113"/>
        </row>
        <row r="114">
          <cell r="B114" t="str">
            <v>Men's Master3  (50 - 54)</v>
          </cell>
          <cell r="F114"/>
        </row>
        <row r="115">
          <cell r="A115">
            <v>52</v>
          </cell>
          <cell r="B115"/>
          <cell r="C115"/>
          <cell r="D115"/>
          <cell r="E115"/>
          <cell r="F115"/>
        </row>
        <row r="116">
          <cell r="A116">
            <v>56</v>
          </cell>
          <cell r="B116"/>
          <cell r="C116"/>
          <cell r="D116"/>
          <cell r="E116"/>
          <cell r="F116"/>
        </row>
        <row r="117">
          <cell r="A117">
            <v>60</v>
          </cell>
          <cell r="B117"/>
          <cell r="C117"/>
          <cell r="D117"/>
          <cell r="E117"/>
          <cell r="F117"/>
        </row>
        <row r="118">
          <cell r="A118" t="str">
            <v>67.5</v>
          </cell>
          <cell r="B118"/>
          <cell r="C118"/>
          <cell r="D118"/>
          <cell r="E118"/>
          <cell r="F118"/>
        </row>
        <row r="119">
          <cell r="A119">
            <v>75</v>
          </cell>
          <cell r="B119"/>
          <cell r="C119"/>
          <cell r="D119"/>
          <cell r="E119"/>
          <cell r="F119"/>
        </row>
        <row r="120">
          <cell r="A120" t="str">
            <v>82.5</v>
          </cell>
          <cell r="B120"/>
          <cell r="C120"/>
          <cell r="D120"/>
          <cell r="E120"/>
          <cell r="F120"/>
        </row>
        <row r="121">
          <cell r="A121">
            <v>90</v>
          </cell>
          <cell r="B121">
            <v>150</v>
          </cell>
          <cell r="C121" t="str">
            <v>Levchenko Mikhail/60</v>
          </cell>
          <cell r="D121" t="str">
            <v>RUS</v>
          </cell>
          <cell r="E121">
            <v>41502</v>
          </cell>
          <cell r="F121" t="str">
            <v>Novosibirsk</v>
          </cell>
        </row>
        <row r="122">
          <cell r="A122">
            <v>100</v>
          </cell>
          <cell r="B122">
            <v>162.5</v>
          </cell>
          <cell r="C122" t="str">
            <v>Frank Vyacheslav/62</v>
          </cell>
          <cell r="D122" t="str">
            <v>RUS</v>
          </cell>
          <cell r="E122" t="str">
            <v>24.08.2014</v>
          </cell>
          <cell r="F122" t="str">
            <v xml:space="preserve">Moscow </v>
          </cell>
        </row>
        <row r="123">
          <cell r="A123">
            <v>110</v>
          </cell>
          <cell r="B123">
            <v>200</v>
          </cell>
          <cell r="C123" t="str">
            <v>Pivovarov Oleg/63</v>
          </cell>
          <cell r="D123" t="str">
            <v>RUS</v>
          </cell>
          <cell r="E123" t="str">
            <v>24.08.2014</v>
          </cell>
          <cell r="F123" t="str">
            <v xml:space="preserve">Moscow </v>
          </cell>
        </row>
        <row r="124">
          <cell r="A124">
            <v>125</v>
          </cell>
          <cell r="B124">
            <v>195</v>
          </cell>
          <cell r="C124" t="str">
            <v>Fakhrutdinov Ravil/62</v>
          </cell>
          <cell r="D124" t="str">
            <v>RUS</v>
          </cell>
          <cell r="E124" t="str">
            <v>24.08.2014</v>
          </cell>
          <cell r="F124" t="str">
            <v xml:space="preserve">Moscow </v>
          </cell>
        </row>
        <row r="125">
          <cell r="A125">
            <v>140</v>
          </cell>
          <cell r="B125"/>
          <cell r="C125"/>
          <cell r="D125"/>
          <cell r="E125"/>
          <cell r="F125"/>
        </row>
        <row r="126">
          <cell r="A126" t="str">
            <v>140+</v>
          </cell>
          <cell r="B126"/>
          <cell r="C126"/>
          <cell r="D126"/>
          <cell r="E126"/>
          <cell r="F126"/>
        </row>
        <row r="127">
          <cell r="B127"/>
          <cell r="C127"/>
          <cell r="D127"/>
          <cell r="E127"/>
          <cell r="F127"/>
        </row>
        <row r="128">
          <cell r="B128" t="str">
            <v>Men's Master4  (55 - 59)</v>
          </cell>
          <cell r="F128"/>
        </row>
        <row r="129">
          <cell r="A129">
            <v>52</v>
          </cell>
          <cell r="B129"/>
          <cell r="C129"/>
          <cell r="D129"/>
          <cell r="E129"/>
          <cell r="F129"/>
        </row>
        <row r="130">
          <cell r="A130">
            <v>56</v>
          </cell>
          <cell r="B130"/>
          <cell r="C130"/>
          <cell r="D130"/>
          <cell r="E130"/>
          <cell r="F130"/>
        </row>
        <row r="131">
          <cell r="A131">
            <v>60</v>
          </cell>
          <cell r="B131"/>
          <cell r="C131"/>
          <cell r="D131"/>
          <cell r="E131"/>
          <cell r="F131"/>
        </row>
        <row r="132">
          <cell r="A132">
            <v>75</v>
          </cell>
          <cell r="B132"/>
          <cell r="C132"/>
          <cell r="D132"/>
          <cell r="E132"/>
          <cell r="F132"/>
        </row>
        <row r="133">
          <cell r="A133" t="str">
            <v>82.5</v>
          </cell>
          <cell r="B133"/>
          <cell r="C133"/>
          <cell r="D133"/>
          <cell r="E133"/>
          <cell r="F133"/>
        </row>
        <row r="134">
          <cell r="A134">
            <v>90</v>
          </cell>
          <cell r="B134">
            <v>190</v>
          </cell>
          <cell r="C134" t="str">
            <v>Makarov Alexander/57</v>
          </cell>
          <cell r="D134" t="str">
            <v>RUS</v>
          </cell>
          <cell r="E134">
            <v>41619</v>
          </cell>
          <cell r="F134" t="str">
            <v>Kursk</v>
          </cell>
        </row>
        <row r="135">
          <cell r="A135">
            <v>100</v>
          </cell>
          <cell r="B135">
            <v>165</v>
          </cell>
          <cell r="C135" t="str">
            <v>Chernozipunnikov Yevgeniy/56</v>
          </cell>
          <cell r="D135" t="str">
            <v>RUS</v>
          </cell>
          <cell r="E135" t="str">
            <v>09.08.2014</v>
          </cell>
          <cell r="F135" t="str">
            <v>Yekaterinburg</v>
          </cell>
        </row>
        <row r="136">
          <cell r="A136">
            <v>110</v>
          </cell>
          <cell r="B136"/>
          <cell r="C136"/>
          <cell r="D136"/>
          <cell r="E136"/>
          <cell r="F136"/>
        </row>
        <row r="137">
          <cell r="A137">
            <v>125</v>
          </cell>
          <cell r="B137"/>
          <cell r="C137"/>
          <cell r="D137"/>
          <cell r="E137"/>
          <cell r="F137"/>
        </row>
        <row r="138">
          <cell r="A138">
            <v>140</v>
          </cell>
          <cell r="B138"/>
          <cell r="C138"/>
          <cell r="D138"/>
          <cell r="E138"/>
          <cell r="F138"/>
        </row>
        <row r="139">
          <cell r="A139" t="str">
            <v>140+</v>
          </cell>
          <cell r="B139"/>
          <cell r="C139"/>
          <cell r="D139"/>
          <cell r="E139"/>
          <cell r="F139"/>
        </row>
        <row r="140">
          <cell r="B140"/>
          <cell r="C140"/>
          <cell r="D140"/>
          <cell r="E140"/>
          <cell r="F140"/>
        </row>
        <row r="141">
          <cell r="B141" t="str">
            <v>Men's Master5  (60 - 64)</v>
          </cell>
          <cell r="F141"/>
        </row>
        <row r="142">
          <cell r="A142">
            <v>52</v>
          </cell>
          <cell r="B142"/>
          <cell r="C142"/>
          <cell r="D142"/>
          <cell r="E142"/>
          <cell r="F142"/>
        </row>
        <row r="143">
          <cell r="A143">
            <v>56</v>
          </cell>
          <cell r="B143"/>
          <cell r="C143"/>
          <cell r="D143"/>
          <cell r="E143"/>
          <cell r="F143"/>
        </row>
        <row r="144">
          <cell r="A144">
            <v>60</v>
          </cell>
          <cell r="B144"/>
          <cell r="C144"/>
          <cell r="D144"/>
          <cell r="E144"/>
          <cell r="F144"/>
        </row>
        <row r="145">
          <cell r="A145">
            <v>67.5</v>
          </cell>
          <cell r="B145"/>
          <cell r="C145"/>
          <cell r="D145"/>
          <cell r="E145"/>
          <cell r="F145"/>
        </row>
        <row r="146">
          <cell r="A146">
            <v>75</v>
          </cell>
          <cell r="B146"/>
          <cell r="C146"/>
          <cell r="D146"/>
          <cell r="E146"/>
          <cell r="F146"/>
        </row>
        <row r="147">
          <cell r="A147">
            <v>82.5</v>
          </cell>
          <cell r="B147">
            <v>150</v>
          </cell>
          <cell r="C147" t="str">
            <v>Goncharov Sergei/52</v>
          </cell>
          <cell r="D147" t="str">
            <v>RUS</v>
          </cell>
          <cell r="E147" t="str">
            <v>24.08.2014</v>
          </cell>
          <cell r="F147" t="str">
            <v>Moscow</v>
          </cell>
        </row>
        <row r="148">
          <cell r="A148">
            <v>90</v>
          </cell>
          <cell r="B148"/>
          <cell r="C148"/>
          <cell r="D148"/>
          <cell r="E148"/>
          <cell r="F148"/>
        </row>
        <row r="149">
          <cell r="A149">
            <v>100</v>
          </cell>
          <cell r="B149">
            <v>145</v>
          </cell>
          <cell r="C149" t="str">
            <v>Verkholantsev Valeriy/53</v>
          </cell>
          <cell r="D149" t="str">
            <v>RUS</v>
          </cell>
          <cell r="E149" t="str">
            <v>04.07.2014</v>
          </cell>
          <cell r="F149" t="str">
            <v>Novosibirsk</v>
          </cell>
        </row>
        <row r="150">
          <cell r="A150">
            <v>110</v>
          </cell>
          <cell r="B150"/>
          <cell r="C150"/>
          <cell r="D150"/>
          <cell r="E150"/>
          <cell r="F150"/>
        </row>
        <row r="151">
          <cell r="A151">
            <v>125</v>
          </cell>
          <cell r="B151"/>
          <cell r="C151"/>
          <cell r="D151"/>
          <cell r="E151"/>
          <cell r="F151"/>
        </row>
        <row r="152">
          <cell r="A152">
            <v>140</v>
          </cell>
          <cell r="B152"/>
          <cell r="C152"/>
          <cell r="D152"/>
          <cell r="E152"/>
          <cell r="F152"/>
        </row>
        <row r="153">
          <cell r="A153" t="str">
            <v>140+</v>
          </cell>
          <cell r="B153"/>
          <cell r="C153"/>
          <cell r="D153"/>
          <cell r="E153"/>
          <cell r="F153"/>
        </row>
        <row r="154">
          <cell r="B154"/>
          <cell r="C154"/>
          <cell r="D154"/>
          <cell r="E154"/>
          <cell r="F154"/>
        </row>
        <row r="155">
          <cell r="B155" t="str">
            <v>Men's Master6  (65 - 69)</v>
          </cell>
          <cell r="F155"/>
        </row>
        <row r="156">
          <cell r="A156">
            <v>52</v>
          </cell>
          <cell r="B156"/>
          <cell r="C156"/>
          <cell r="D156"/>
          <cell r="E156"/>
          <cell r="F156"/>
        </row>
        <row r="157">
          <cell r="A157">
            <v>56</v>
          </cell>
          <cell r="B157"/>
          <cell r="C157"/>
          <cell r="D157"/>
          <cell r="E157"/>
          <cell r="F157"/>
        </row>
        <row r="158">
          <cell r="A158">
            <v>60</v>
          </cell>
          <cell r="B158"/>
          <cell r="C158"/>
          <cell r="D158"/>
          <cell r="E158"/>
          <cell r="F158"/>
        </row>
        <row r="159">
          <cell r="A159">
            <v>67.5</v>
          </cell>
          <cell r="B159"/>
          <cell r="C159"/>
          <cell r="D159"/>
          <cell r="E159"/>
          <cell r="F159"/>
        </row>
        <row r="160">
          <cell r="A160">
            <v>75</v>
          </cell>
          <cell r="B160"/>
          <cell r="C160"/>
          <cell r="D160"/>
          <cell r="E160"/>
          <cell r="F160"/>
        </row>
        <row r="161">
          <cell r="A161" t="str">
            <v>82.5</v>
          </cell>
          <cell r="B161">
            <v>97.5</v>
          </cell>
          <cell r="C161" t="str">
            <v>Zhurkin Yevgeniy/45</v>
          </cell>
          <cell r="D161" t="str">
            <v>RUS</v>
          </cell>
          <cell r="E161" t="str">
            <v>24.08.2014</v>
          </cell>
          <cell r="F161" t="str">
            <v>Moscow</v>
          </cell>
        </row>
        <row r="162">
          <cell r="A162">
            <v>90</v>
          </cell>
          <cell r="B162"/>
          <cell r="C162"/>
          <cell r="D162"/>
          <cell r="E162"/>
          <cell r="F162"/>
        </row>
        <row r="163">
          <cell r="A163">
            <v>100</v>
          </cell>
          <cell r="B163">
            <v>135</v>
          </cell>
          <cell r="C163" t="str">
            <v>Obmelyukhin Gennadiy/48</v>
          </cell>
          <cell r="D163" t="str">
            <v>RUS</v>
          </cell>
          <cell r="E163" t="str">
            <v>24.08.2014</v>
          </cell>
          <cell r="F163" t="str">
            <v>Moscow</v>
          </cell>
        </row>
        <row r="164">
          <cell r="A164">
            <v>110</v>
          </cell>
          <cell r="B164"/>
          <cell r="C164"/>
          <cell r="D164"/>
          <cell r="E164"/>
          <cell r="F164"/>
        </row>
        <row r="165">
          <cell r="A165">
            <v>125</v>
          </cell>
          <cell r="B165"/>
          <cell r="C165"/>
          <cell r="D165"/>
          <cell r="E165"/>
          <cell r="F165"/>
        </row>
        <row r="166">
          <cell r="A166">
            <v>140</v>
          </cell>
          <cell r="B166"/>
          <cell r="C166"/>
          <cell r="D166"/>
          <cell r="E166"/>
          <cell r="F166"/>
        </row>
        <row r="167">
          <cell r="A167" t="str">
            <v>140+</v>
          </cell>
          <cell r="B167"/>
          <cell r="C167"/>
          <cell r="D167"/>
          <cell r="E167"/>
          <cell r="F167"/>
        </row>
        <row r="168">
          <cell r="B168"/>
          <cell r="C168"/>
          <cell r="D168"/>
          <cell r="E168"/>
          <cell r="F168"/>
        </row>
        <row r="169">
          <cell r="B169" t="str">
            <v>Men's Master7  (70-74)</v>
          </cell>
          <cell r="F169"/>
        </row>
        <row r="170">
          <cell r="A170">
            <v>52</v>
          </cell>
          <cell r="B170"/>
          <cell r="C170"/>
          <cell r="D170"/>
          <cell r="E170"/>
          <cell r="F170"/>
        </row>
        <row r="171">
          <cell r="A171">
            <v>56</v>
          </cell>
          <cell r="B171"/>
          <cell r="C171"/>
          <cell r="D171"/>
          <cell r="E171"/>
          <cell r="F171"/>
        </row>
        <row r="172">
          <cell r="A172">
            <v>60</v>
          </cell>
          <cell r="B172"/>
          <cell r="C172"/>
          <cell r="D172"/>
          <cell r="E172"/>
          <cell r="F172"/>
        </row>
        <row r="173">
          <cell r="A173" t="str">
            <v>67.5</v>
          </cell>
          <cell r="B173">
            <v>102.5</v>
          </cell>
          <cell r="C173" t="str">
            <v>Kim Miron/41</v>
          </cell>
          <cell r="D173" t="str">
            <v>RUS</v>
          </cell>
          <cell r="E173" t="str">
            <v>24.08.2014</v>
          </cell>
          <cell r="F173" t="str">
            <v>Moscow</v>
          </cell>
        </row>
        <row r="174">
          <cell r="A174">
            <v>75</v>
          </cell>
          <cell r="B174"/>
          <cell r="C174"/>
          <cell r="D174"/>
          <cell r="E174"/>
          <cell r="F174"/>
        </row>
        <row r="175">
          <cell r="A175" t="str">
            <v>82.5</v>
          </cell>
          <cell r="B175">
            <v>95</v>
          </cell>
          <cell r="C175" t="str">
            <v>Sannikov Vladislav/38</v>
          </cell>
          <cell r="D175" t="str">
            <v>RUS</v>
          </cell>
          <cell r="E175">
            <v>41439</v>
          </cell>
          <cell r="F175" t="str">
            <v>Moscow</v>
          </cell>
        </row>
        <row r="176">
          <cell r="A176">
            <v>90</v>
          </cell>
          <cell r="B176"/>
          <cell r="C176"/>
          <cell r="D176"/>
          <cell r="E176"/>
          <cell r="F176"/>
        </row>
        <row r="177">
          <cell r="A177">
            <v>100</v>
          </cell>
          <cell r="B177"/>
          <cell r="C177"/>
          <cell r="D177"/>
          <cell r="E177"/>
          <cell r="F177"/>
        </row>
        <row r="178">
          <cell r="A178">
            <v>110</v>
          </cell>
          <cell r="B178"/>
          <cell r="C178"/>
          <cell r="D178"/>
          <cell r="E178"/>
          <cell r="F178"/>
        </row>
        <row r="179">
          <cell r="A179">
            <v>125</v>
          </cell>
          <cell r="B179"/>
          <cell r="C179"/>
          <cell r="D179"/>
          <cell r="E179"/>
          <cell r="F179"/>
        </row>
        <row r="180">
          <cell r="A180">
            <v>140</v>
          </cell>
          <cell r="B180"/>
          <cell r="C180"/>
          <cell r="D180"/>
          <cell r="E180"/>
          <cell r="F180"/>
        </row>
        <row r="181">
          <cell r="A181" t="str">
            <v>140+</v>
          </cell>
          <cell r="B181"/>
          <cell r="C181"/>
          <cell r="D181"/>
          <cell r="E181"/>
          <cell r="F181"/>
        </row>
        <row r="182">
          <cell r="B182" t="str">
            <v>Men's Master8  (75-79)</v>
          </cell>
        </row>
        <row r="183">
          <cell r="A183">
            <v>52</v>
          </cell>
          <cell r="B183"/>
          <cell r="C183"/>
          <cell r="D183"/>
          <cell r="E183"/>
          <cell r="F183"/>
        </row>
        <row r="184">
          <cell r="A184">
            <v>56</v>
          </cell>
          <cell r="B184"/>
          <cell r="C184"/>
          <cell r="D184"/>
          <cell r="E184"/>
          <cell r="F184"/>
        </row>
        <row r="185">
          <cell r="A185">
            <v>60</v>
          </cell>
          <cell r="B185"/>
          <cell r="C185"/>
          <cell r="D185"/>
          <cell r="E185"/>
          <cell r="F185"/>
        </row>
        <row r="186">
          <cell r="A186">
            <v>67.5</v>
          </cell>
          <cell r="B186"/>
          <cell r="C186"/>
          <cell r="D186"/>
          <cell r="E186"/>
          <cell r="F186"/>
        </row>
        <row r="187">
          <cell r="A187">
            <v>75</v>
          </cell>
          <cell r="B187"/>
          <cell r="C187"/>
          <cell r="D187"/>
          <cell r="E187"/>
          <cell r="F187"/>
        </row>
        <row r="188">
          <cell r="A188">
            <v>82.5</v>
          </cell>
          <cell r="B188">
            <v>95</v>
          </cell>
          <cell r="C188" t="str">
            <v>Sannikov Vladislav/38</v>
          </cell>
          <cell r="D188" t="str">
            <v>RUS</v>
          </cell>
          <cell r="E188" t="str">
            <v>24.08.2014</v>
          </cell>
          <cell r="F188" t="str">
            <v>Moscow</v>
          </cell>
        </row>
        <row r="189">
          <cell r="A189">
            <v>90</v>
          </cell>
          <cell r="B189"/>
          <cell r="C189"/>
          <cell r="D189"/>
          <cell r="E189"/>
          <cell r="F189"/>
        </row>
        <row r="190">
          <cell r="A190">
            <v>100</v>
          </cell>
          <cell r="B190"/>
          <cell r="C190"/>
          <cell r="D190"/>
          <cell r="E190"/>
          <cell r="F190"/>
        </row>
        <row r="191">
          <cell r="A191">
            <v>110</v>
          </cell>
          <cell r="B191"/>
          <cell r="C191"/>
          <cell r="D191"/>
          <cell r="E191"/>
          <cell r="F191"/>
        </row>
        <row r="192">
          <cell r="A192">
            <v>125</v>
          </cell>
          <cell r="B192"/>
          <cell r="C192"/>
          <cell r="D192"/>
          <cell r="E192"/>
          <cell r="F192"/>
        </row>
        <row r="193">
          <cell r="A193">
            <v>140</v>
          </cell>
          <cell r="B193"/>
          <cell r="C193"/>
          <cell r="D193"/>
          <cell r="E193"/>
          <cell r="F193"/>
        </row>
        <row r="194">
          <cell r="A194" t="str">
            <v>140+</v>
          </cell>
          <cell r="B194"/>
          <cell r="C194"/>
          <cell r="D194"/>
          <cell r="E194"/>
          <cell r="F194"/>
        </row>
      </sheetData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-Wom"/>
      <sheetName val="BP-Men"/>
    </sheetNames>
    <sheetDataSet>
      <sheetData sheetId="0">
        <row r="1">
          <cell r="B1" t="str">
            <v>Рекорды AWPC- Россия</v>
          </cell>
          <cell r="D1"/>
          <cell r="F1"/>
        </row>
        <row r="2">
          <cell r="B2" t="str">
            <v>ДЕВУШКИ  (13 - 15)</v>
          </cell>
        </row>
        <row r="3">
          <cell r="A3">
            <v>44</v>
          </cell>
          <cell r="B3">
            <v>32.5</v>
          </cell>
          <cell r="C3" t="str">
            <v>Наземнова Ольга/97</v>
          </cell>
          <cell r="D3" t="str">
            <v>Алапаевск</v>
          </cell>
          <cell r="E3">
            <v>40983</v>
          </cell>
          <cell r="F3" t="str">
            <v>Екатеринбург</v>
          </cell>
        </row>
        <row r="4">
          <cell r="A4">
            <v>48</v>
          </cell>
          <cell r="B4">
            <v>75</v>
          </cell>
          <cell r="C4" t="str">
            <v>Длужневская Владислава/2000</v>
          </cell>
          <cell r="D4" t="str">
            <v>Вологда</v>
          </cell>
          <cell r="E4">
            <v>41216</v>
          </cell>
          <cell r="F4" t="str">
            <v>Вологда</v>
          </cell>
        </row>
        <row r="5">
          <cell r="A5">
            <v>52</v>
          </cell>
          <cell r="B5"/>
          <cell r="C5"/>
          <cell r="D5"/>
          <cell r="E5"/>
          <cell r="F5"/>
        </row>
        <row r="6">
          <cell r="A6">
            <v>56</v>
          </cell>
          <cell r="B6"/>
          <cell r="C6"/>
          <cell r="D6"/>
          <cell r="E6"/>
          <cell r="F6"/>
        </row>
        <row r="7">
          <cell r="A7">
            <v>60</v>
          </cell>
          <cell r="B7"/>
          <cell r="C7"/>
          <cell r="D7"/>
          <cell r="E7"/>
          <cell r="F7"/>
        </row>
        <row r="8">
          <cell r="A8">
            <v>67.5</v>
          </cell>
          <cell r="B8"/>
          <cell r="C8"/>
          <cell r="D8"/>
          <cell r="E8"/>
          <cell r="F8"/>
        </row>
        <row r="9">
          <cell r="A9">
            <v>75</v>
          </cell>
          <cell r="B9"/>
          <cell r="C9"/>
          <cell r="D9"/>
          <cell r="E9"/>
          <cell r="F9"/>
        </row>
        <row r="10">
          <cell r="A10">
            <v>82.5</v>
          </cell>
          <cell r="B10"/>
          <cell r="C10"/>
          <cell r="D10"/>
          <cell r="E10"/>
          <cell r="F10"/>
        </row>
        <row r="11">
          <cell r="A11">
            <v>90</v>
          </cell>
          <cell r="B11"/>
          <cell r="C11"/>
          <cell r="D11"/>
          <cell r="E11"/>
          <cell r="F11"/>
        </row>
        <row r="12">
          <cell r="A12" t="str">
            <v>90+</v>
          </cell>
          <cell r="B12"/>
          <cell r="C12"/>
          <cell r="D12"/>
          <cell r="E12"/>
          <cell r="F12"/>
        </row>
        <row r="13">
          <cell r="B13"/>
          <cell r="C13"/>
          <cell r="D13"/>
          <cell r="E13"/>
          <cell r="F13"/>
        </row>
        <row r="14">
          <cell r="B14" t="str">
            <v>ДЕВУШКИ  (16 - 17)</v>
          </cell>
        </row>
        <row r="15">
          <cell r="A15">
            <v>44</v>
          </cell>
          <cell r="B15"/>
          <cell r="C15"/>
          <cell r="D15"/>
          <cell r="E15"/>
          <cell r="F15"/>
        </row>
        <row r="16">
          <cell r="A16">
            <v>48</v>
          </cell>
          <cell r="B16"/>
          <cell r="C16"/>
          <cell r="D16"/>
          <cell r="E16"/>
          <cell r="F16"/>
        </row>
        <row r="17">
          <cell r="A17">
            <v>52</v>
          </cell>
          <cell r="B17">
            <v>57.5</v>
          </cell>
          <cell r="C17" t="str">
            <v>Реутова Надежда/93</v>
          </cell>
          <cell r="D17" t="str">
            <v>Лесной</v>
          </cell>
          <cell r="E17">
            <v>40454</v>
          </cell>
          <cell r="F17" t="str">
            <v>Екатеринбург</v>
          </cell>
        </row>
        <row r="18">
          <cell r="A18">
            <v>56</v>
          </cell>
          <cell r="B18">
            <v>77.5</v>
          </cell>
          <cell r="C18" t="str">
            <v>Блинкова Наталья/92</v>
          </cell>
          <cell r="D18" t="str">
            <v>Курск</v>
          </cell>
          <cell r="E18">
            <v>40258</v>
          </cell>
          <cell r="F18" t="str">
            <v>Курск</v>
          </cell>
        </row>
        <row r="19">
          <cell r="A19">
            <v>60</v>
          </cell>
          <cell r="B19"/>
          <cell r="C19"/>
          <cell r="D19"/>
          <cell r="E19"/>
          <cell r="F19"/>
        </row>
        <row r="20">
          <cell r="A20">
            <v>67.5</v>
          </cell>
          <cell r="B20"/>
          <cell r="C20"/>
          <cell r="D20"/>
          <cell r="E20"/>
          <cell r="F20"/>
        </row>
        <row r="21">
          <cell r="A21">
            <v>75</v>
          </cell>
          <cell r="B21"/>
          <cell r="C21"/>
          <cell r="D21"/>
          <cell r="E21"/>
          <cell r="F21"/>
        </row>
        <row r="22">
          <cell r="A22">
            <v>82.5</v>
          </cell>
          <cell r="B22"/>
          <cell r="C22"/>
          <cell r="D22"/>
          <cell r="E22"/>
          <cell r="F22"/>
        </row>
        <row r="23">
          <cell r="A23">
            <v>90</v>
          </cell>
          <cell r="B23"/>
          <cell r="C23"/>
          <cell r="D23"/>
          <cell r="E23"/>
          <cell r="F23"/>
        </row>
        <row r="24">
          <cell r="A24" t="str">
            <v>90+</v>
          </cell>
          <cell r="B24"/>
          <cell r="C24"/>
          <cell r="D24"/>
          <cell r="E24"/>
          <cell r="F24"/>
        </row>
        <row r="25">
          <cell r="B25"/>
          <cell r="C25"/>
          <cell r="D25"/>
          <cell r="E25"/>
          <cell r="F25"/>
        </row>
        <row r="26">
          <cell r="B26" t="str">
            <v>ДЕВУШКИ  (18 - 19)</v>
          </cell>
        </row>
        <row r="27">
          <cell r="A27">
            <v>44</v>
          </cell>
          <cell r="B27"/>
          <cell r="C27"/>
          <cell r="D27"/>
          <cell r="E27"/>
          <cell r="F27"/>
        </row>
        <row r="28">
          <cell r="A28">
            <v>48</v>
          </cell>
          <cell r="B28">
            <v>72.5</v>
          </cell>
          <cell r="C28" t="str">
            <v>Дудырева Ирина/90</v>
          </cell>
          <cell r="D28" t="str">
            <v>Курск</v>
          </cell>
          <cell r="E28">
            <v>40258</v>
          </cell>
          <cell r="F28" t="str">
            <v>Курск</v>
          </cell>
        </row>
        <row r="29">
          <cell r="A29">
            <v>52</v>
          </cell>
          <cell r="B29"/>
          <cell r="C29"/>
          <cell r="D29"/>
          <cell r="E29"/>
          <cell r="F29"/>
        </row>
        <row r="30">
          <cell r="A30">
            <v>56</v>
          </cell>
          <cell r="B30">
            <v>75</v>
          </cell>
          <cell r="C30" t="str">
            <v>Блинкова Наталья/92</v>
          </cell>
          <cell r="D30" t="str">
            <v>Курск</v>
          </cell>
          <cell r="E30">
            <v>40522</v>
          </cell>
          <cell r="F30" t="str">
            <v>Курск</v>
          </cell>
        </row>
        <row r="31">
          <cell r="A31">
            <v>60</v>
          </cell>
          <cell r="B31">
            <v>87.5</v>
          </cell>
          <cell r="C31" t="str">
            <v xml:space="preserve">Березенко Мария/89 </v>
          </cell>
          <cell r="D31" t="str">
            <v>Алапаевск</v>
          </cell>
          <cell r="E31">
            <v>39873</v>
          </cell>
          <cell r="F31" t="str">
            <v>Челябинск</v>
          </cell>
        </row>
        <row r="32">
          <cell r="A32">
            <v>67.5</v>
          </cell>
          <cell r="B32"/>
          <cell r="C32"/>
          <cell r="D32"/>
          <cell r="E32"/>
          <cell r="F32"/>
        </row>
        <row r="33">
          <cell r="A33">
            <v>75</v>
          </cell>
          <cell r="B33"/>
          <cell r="C33"/>
          <cell r="D33"/>
          <cell r="E33"/>
          <cell r="F33"/>
        </row>
        <row r="34">
          <cell r="A34">
            <v>82.5</v>
          </cell>
          <cell r="B34"/>
          <cell r="C34"/>
          <cell r="D34"/>
          <cell r="E34"/>
          <cell r="F34"/>
        </row>
        <row r="35">
          <cell r="A35">
            <v>90</v>
          </cell>
          <cell r="B35"/>
          <cell r="C35"/>
          <cell r="D35"/>
          <cell r="E35"/>
          <cell r="F35"/>
        </row>
        <row r="36">
          <cell r="A36" t="str">
            <v>90+</v>
          </cell>
          <cell r="B36"/>
          <cell r="C36"/>
          <cell r="D36"/>
          <cell r="E36"/>
          <cell r="F36"/>
        </row>
        <row r="37">
          <cell r="B37"/>
          <cell r="C37"/>
          <cell r="D37"/>
          <cell r="E37"/>
          <cell r="F37"/>
        </row>
        <row r="38">
          <cell r="B38" t="str">
            <v>ЮНИОРКИ  (20 - 23)</v>
          </cell>
        </row>
        <row r="39">
          <cell r="A39">
            <v>44</v>
          </cell>
          <cell r="B39">
            <v>50</v>
          </cell>
          <cell r="C39" t="str">
            <v>Романова Екатерина/90</v>
          </cell>
          <cell r="D39" t="str">
            <v xml:space="preserve">Екатеринбург </v>
          </cell>
          <cell r="E39">
            <v>40454</v>
          </cell>
          <cell r="F39" t="str">
            <v>Екатеринбург</v>
          </cell>
        </row>
        <row r="40">
          <cell r="A40">
            <v>48</v>
          </cell>
          <cell r="B40">
            <v>80</v>
          </cell>
          <cell r="C40" t="str">
            <v>Дудырева Ирина/90</v>
          </cell>
          <cell r="D40" t="str">
            <v>Курск</v>
          </cell>
          <cell r="E40">
            <v>40409</v>
          </cell>
          <cell r="F40" t="str">
            <v>Москва</v>
          </cell>
        </row>
        <row r="41">
          <cell r="A41">
            <v>52</v>
          </cell>
          <cell r="B41">
            <v>85</v>
          </cell>
          <cell r="C41" t="str">
            <v>Блинкова Наталья/92</v>
          </cell>
          <cell r="D41" t="str">
            <v>Курск</v>
          </cell>
          <cell r="E41">
            <v>41129</v>
          </cell>
          <cell r="F41" t="str">
            <v>Кривой Рог</v>
          </cell>
        </row>
        <row r="42">
          <cell r="A42">
            <v>56</v>
          </cell>
          <cell r="B42">
            <v>97.5</v>
          </cell>
          <cell r="C42" t="str">
            <v>Березенко Мария/89</v>
          </cell>
          <cell r="D42" t="str">
            <v>Алапаевск</v>
          </cell>
          <cell r="E42">
            <v>40980</v>
          </cell>
          <cell r="F42" t="str">
            <v>Екатеринбург</v>
          </cell>
        </row>
        <row r="43">
          <cell r="A43">
            <v>60</v>
          </cell>
          <cell r="B43">
            <v>90</v>
          </cell>
          <cell r="C43" t="str">
            <v>Березенко Мария/89</v>
          </cell>
          <cell r="D43" t="str">
            <v>Алапаевск</v>
          </cell>
          <cell r="E43">
            <v>40454</v>
          </cell>
          <cell r="F43" t="str">
            <v>Екатеринбург</v>
          </cell>
        </row>
        <row r="44">
          <cell r="A44">
            <v>67.5</v>
          </cell>
          <cell r="B44"/>
          <cell r="C44"/>
          <cell r="D44"/>
          <cell r="E44"/>
          <cell r="F44"/>
        </row>
        <row r="45">
          <cell r="A45">
            <v>75</v>
          </cell>
          <cell r="B45">
            <v>105</v>
          </cell>
          <cell r="C45" t="str">
            <v>Удовенко Оксана/91</v>
          </cell>
          <cell r="D45" t="str">
            <v>Сочи</v>
          </cell>
          <cell r="E45">
            <v>41041</v>
          </cell>
          <cell r="F45" t="str">
            <v>Краснодар</v>
          </cell>
        </row>
        <row r="46">
          <cell r="A46">
            <v>82.5</v>
          </cell>
          <cell r="B46"/>
          <cell r="C46"/>
          <cell r="D46"/>
          <cell r="E46"/>
          <cell r="F46"/>
        </row>
        <row r="47">
          <cell r="A47">
            <v>90</v>
          </cell>
          <cell r="B47"/>
          <cell r="C47"/>
          <cell r="D47"/>
          <cell r="E47"/>
          <cell r="F47"/>
        </row>
        <row r="48">
          <cell r="A48" t="str">
            <v>90+</v>
          </cell>
          <cell r="B48"/>
          <cell r="C48"/>
          <cell r="D48"/>
          <cell r="E48"/>
          <cell r="F48"/>
        </row>
        <row r="49">
          <cell r="B49"/>
          <cell r="C49"/>
          <cell r="D49"/>
          <cell r="E49"/>
          <cell r="F49"/>
        </row>
        <row r="50">
          <cell r="B50" t="str">
            <v>ЖЕНЩИНЫ</v>
          </cell>
        </row>
        <row r="51">
          <cell r="A51">
            <v>44</v>
          </cell>
          <cell r="B51">
            <v>50</v>
          </cell>
          <cell r="C51" t="str">
            <v>Романова Екатерина/90</v>
          </cell>
          <cell r="D51" t="str">
            <v xml:space="preserve">Екатеринбург </v>
          </cell>
          <cell r="E51">
            <v>40454</v>
          </cell>
          <cell r="F51" t="str">
            <v>Екатеринбург</v>
          </cell>
        </row>
        <row r="52">
          <cell r="A52">
            <v>48</v>
          </cell>
          <cell r="B52">
            <v>87.5</v>
          </cell>
          <cell r="C52" t="str">
            <v>Сергиенко Анастасия/87</v>
          </cell>
          <cell r="D52" t="str">
            <v>Краснодар</v>
          </cell>
          <cell r="E52" t="str">
            <v>23.08.2014</v>
          </cell>
          <cell r="F52" t="str">
            <v>Москва</v>
          </cell>
        </row>
        <row r="53">
          <cell r="A53">
            <v>52</v>
          </cell>
          <cell r="B53">
            <v>110</v>
          </cell>
          <cell r="C53" t="str">
            <v>Антипова Агнесса/81</v>
          </cell>
          <cell r="D53" t="str">
            <v>Барнаул</v>
          </cell>
          <cell r="E53">
            <v>40813</v>
          </cell>
          <cell r="F53" t="str">
            <v>Екатеринбург</v>
          </cell>
        </row>
        <row r="54">
          <cell r="A54">
            <v>56</v>
          </cell>
          <cell r="B54">
            <v>100</v>
          </cell>
          <cell r="C54" t="str">
            <v>Заескова Людмила/88</v>
          </cell>
          <cell r="D54" t="str">
            <v>Вологда</v>
          </cell>
          <cell r="E54">
            <v>41439</v>
          </cell>
          <cell r="F54" t="str">
            <v>Москва</v>
          </cell>
        </row>
        <row r="55">
          <cell r="A55">
            <v>60</v>
          </cell>
          <cell r="B55">
            <v>92.5</v>
          </cell>
          <cell r="C55" t="str">
            <v>Загребина Наталья/77</v>
          </cell>
          <cell r="D55" t="str">
            <v>Нижний Ломов</v>
          </cell>
          <cell r="E55">
            <v>41619</v>
          </cell>
          <cell r="F55" t="str">
            <v>Курск</v>
          </cell>
        </row>
        <row r="56">
          <cell r="A56">
            <v>67.5</v>
          </cell>
          <cell r="B56">
            <v>140</v>
          </cell>
          <cell r="C56" t="str">
            <v>Медведева Юлия/79</v>
          </cell>
          <cell r="D56" t="str">
            <v>Новосибирск</v>
          </cell>
          <cell r="E56">
            <v>40034</v>
          </cell>
          <cell r="F56" t="str">
            <v>Курск</v>
          </cell>
        </row>
        <row r="57">
          <cell r="A57">
            <v>75</v>
          </cell>
          <cell r="B57">
            <v>120</v>
          </cell>
          <cell r="C57" t="str">
            <v>Синачева Светлана/66</v>
          </cell>
          <cell r="D57" t="str">
            <v>Трехгорный</v>
          </cell>
          <cell r="E57">
            <v>39724</v>
          </cell>
          <cell r="F57" t="str">
            <v>Лауххаммер</v>
          </cell>
        </row>
        <row r="58">
          <cell r="A58">
            <v>82.5</v>
          </cell>
          <cell r="B58">
            <v>130</v>
          </cell>
          <cell r="C58" t="str">
            <v>Бако Наталья/73</v>
          </cell>
          <cell r="D58" t="str">
            <v>Ленинск-Кузнецкий р-н</v>
          </cell>
          <cell r="E58">
            <v>40025</v>
          </cell>
          <cell r="F58" t="str">
            <v>Палм-Бич</v>
          </cell>
        </row>
        <row r="59">
          <cell r="A59">
            <v>90</v>
          </cell>
          <cell r="B59"/>
          <cell r="C59"/>
          <cell r="D59"/>
          <cell r="E59"/>
          <cell r="F59"/>
        </row>
        <row r="60">
          <cell r="A60" t="str">
            <v>90+</v>
          </cell>
          <cell r="B60"/>
          <cell r="C60"/>
          <cell r="D60"/>
          <cell r="E60"/>
          <cell r="F60"/>
        </row>
        <row r="61">
          <cell r="B61"/>
          <cell r="C61"/>
          <cell r="D61"/>
          <cell r="E61"/>
          <cell r="F61"/>
        </row>
        <row r="62">
          <cell r="B62" t="str">
            <v>ЖЕНЩИНЫ - САБМАСТЕРС  (33 - 39)</v>
          </cell>
        </row>
        <row r="63">
          <cell r="A63">
            <v>44</v>
          </cell>
          <cell r="B63"/>
          <cell r="C63"/>
          <cell r="D63"/>
          <cell r="E63"/>
          <cell r="F63"/>
        </row>
        <row r="64">
          <cell r="A64">
            <v>48</v>
          </cell>
          <cell r="B64"/>
          <cell r="C64"/>
          <cell r="D64"/>
          <cell r="E64"/>
          <cell r="F64"/>
        </row>
        <row r="65">
          <cell r="A65">
            <v>52</v>
          </cell>
          <cell r="B65">
            <v>65</v>
          </cell>
          <cell r="C65" t="str">
            <v>Рыкунова Татьяна/71</v>
          </cell>
          <cell r="D65" t="str">
            <v>Алапаевск</v>
          </cell>
          <cell r="E65">
            <v>40454</v>
          </cell>
          <cell r="F65" t="str">
            <v>Екатеринбург</v>
          </cell>
        </row>
        <row r="66">
          <cell r="A66">
            <v>56</v>
          </cell>
          <cell r="B66">
            <v>88</v>
          </cell>
          <cell r="C66" t="str">
            <v>Григорьева Елена/76</v>
          </cell>
          <cell r="D66" t="str">
            <v>Волгоград</v>
          </cell>
          <cell r="E66" t="str">
            <v>23.08.2014</v>
          </cell>
          <cell r="F66" t="str">
            <v>Москва</v>
          </cell>
        </row>
        <row r="67">
          <cell r="A67">
            <v>60</v>
          </cell>
          <cell r="B67">
            <v>92.5</v>
          </cell>
          <cell r="C67" t="str">
            <v>Загребина Наталья/77</v>
          </cell>
          <cell r="D67" t="str">
            <v>Нижний Ломов</v>
          </cell>
          <cell r="E67">
            <v>41619</v>
          </cell>
          <cell r="F67" t="str">
            <v>Курск</v>
          </cell>
        </row>
        <row r="68">
          <cell r="A68">
            <v>67.5</v>
          </cell>
          <cell r="B68">
            <v>102.5</v>
          </cell>
          <cell r="C68" t="str">
            <v>Загребина Наталья/77</v>
          </cell>
          <cell r="D68" t="str">
            <v>Нижний Ломов</v>
          </cell>
          <cell r="E68" t="str">
            <v>23.08.2014</v>
          </cell>
          <cell r="F68" t="str">
            <v>Москва</v>
          </cell>
        </row>
        <row r="69">
          <cell r="A69">
            <v>75</v>
          </cell>
          <cell r="B69"/>
          <cell r="C69"/>
          <cell r="D69"/>
          <cell r="E69"/>
          <cell r="F69"/>
        </row>
        <row r="70">
          <cell r="A70">
            <v>82.5</v>
          </cell>
          <cell r="B70">
            <v>130</v>
          </cell>
          <cell r="C70" t="str">
            <v>Бако Наталья/73</v>
          </cell>
          <cell r="D70" t="str">
            <v>Ленинск-Кузнецкий р-н</v>
          </cell>
          <cell r="E70">
            <v>40025</v>
          </cell>
          <cell r="F70" t="str">
            <v>Палм-Бич</v>
          </cell>
        </row>
        <row r="71">
          <cell r="A71">
            <v>90</v>
          </cell>
          <cell r="B71"/>
          <cell r="C71"/>
          <cell r="D71"/>
          <cell r="E71"/>
          <cell r="F71"/>
        </row>
        <row r="72">
          <cell r="A72" t="str">
            <v>90+</v>
          </cell>
          <cell r="B72"/>
          <cell r="C72"/>
          <cell r="D72"/>
          <cell r="E72"/>
          <cell r="F72"/>
        </row>
        <row r="73">
          <cell r="B73"/>
          <cell r="C73"/>
          <cell r="D73"/>
          <cell r="E73"/>
          <cell r="F73"/>
        </row>
        <row r="74">
          <cell r="B74" t="str">
            <v>МАСТЕРС - 1(40-44)</v>
          </cell>
        </row>
        <row r="75">
          <cell r="A75">
            <v>44</v>
          </cell>
          <cell r="B75"/>
          <cell r="C75"/>
          <cell r="D75"/>
          <cell r="E75"/>
          <cell r="F75"/>
        </row>
        <row r="76">
          <cell r="A76">
            <v>48</v>
          </cell>
          <cell r="B76"/>
          <cell r="C76"/>
          <cell r="D76"/>
          <cell r="E76"/>
          <cell r="F76"/>
        </row>
        <row r="77">
          <cell r="A77">
            <v>52</v>
          </cell>
          <cell r="B77"/>
          <cell r="C77"/>
          <cell r="D77"/>
          <cell r="E77"/>
          <cell r="F77"/>
        </row>
        <row r="78">
          <cell r="A78">
            <v>56</v>
          </cell>
          <cell r="B78"/>
          <cell r="C78"/>
          <cell r="D78"/>
          <cell r="E78"/>
          <cell r="F78"/>
        </row>
        <row r="79">
          <cell r="A79">
            <v>60</v>
          </cell>
          <cell r="B79"/>
          <cell r="C79"/>
          <cell r="D79"/>
          <cell r="E79"/>
          <cell r="F79"/>
        </row>
        <row r="80">
          <cell r="A80" t="str">
            <v>67.5</v>
          </cell>
          <cell r="B80">
            <v>82.5</v>
          </cell>
          <cell r="C80" t="str">
            <v>Nikolenko Anna/70</v>
          </cell>
          <cell r="D80" t="str">
            <v>Москва</v>
          </cell>
          <cell r="E80">
            <v>41441</v>
          </cell>
          <cell r="F80" t="str">
            <v>Moscow</v>
          </cell>
        </row>
        <row r="81">
          <cell r="A81">
            <v>75</v>
          </cell>
          <cell r="B81">
            <v>120</v>
          </cell>
          <cell r="C81" t="str">
            <v>Синачева Светлана/66</v>
          </cell>
          <cell r="D81" t="str">
            <v>Трехгорный</v>
          </cell>
          <cell r="E81">
            <v>39724</v>
          </cell>
          <cell r="F81" t="str">
            <v>Лауххаммер</v>
          </cell>
        </row>
        <row r="82">
          <cell r="A82">
            <v>82.5</v>
          </cell>
          <cell r="B82">
            <v>115</v>
          </cell>
          <cell r="C82" t="str">
            <v>Синачева Светлана/66</v>
          </cell>
          <cell r="D82" t="str">
            <v>Трехгорный</v>
          </cell>
          <cell r="E82">
            <v>40257</v>
          </cell>
          <cell r="F82" t="str">
            <v>Курск</v>
          </cell>
        </row>
        <row r="83">
          <cell r="A83">
            <v>90</v>
          </cell>
          <cell r="B83"/>
          <cell r="C83"/>
          <cell r="D83"/>
          <cell r="E83"/>
          <cell r="F83"/>
        </row>
        <row r="84">
          <cell r="A84" t="str">
            <v>90+</v>
          </cell>
          <cell r="B84"/>
          <cell r="C84"/>
          <cell r="D84"/>
          <cell r="E84"/>
          <cell r="F84"/>
        </row>
        <row r="85">
          <cell r="B85"/>
          <cell r="C85"/>
          <cell r="D85"/>
          <cell r="E85"/>
          <cell r="F85"/>
        </row>
        <row r="86">
          <cell r="B86" t="str">
            <v>МАСТЕРС -2(45-49)</v>
          </cell>
        </row>
        <row r="87">
          <cell r="A87">
            <v>44</v>
          </cell>
          <cell r="B87"/>
          <cell r="C87"/>
          <cell r="D87"/>
          <cell r="E87"/>
          <cell r="F87"/>
        </row>
        <row r="88">
          <cell r="A88">
            <v>48</v>
          </cell>
          <cell r="B88"/>
          <cell r="C88"/>
          <cell r="D88"/>
          <cell r="E88"/>
          <cell r="F88"/>
        </row>
        <row r="89">
          <cell r="A89">
            <v>52</v>
          </cell>
          <cell r="B89"/>
          <cell r="C89"/>
          <cell r="D89"/>
          <cell r="E89"/>
          <cell r="F89"/>
        </row>
        <row r="90">
          <cell r="A90">
            <v>56</v>
          </cell>
          <cell r="B90"/>
          <cell r="C90"/>
          <cell r="D90"/>
          <cell r="E90"/>
          <cell r="F90"/>
        </row>
        <row r="91">
          <cell r="A91">
            <v>60</v>
          </cell>
          <cell r="B91"/>
          <cell r="C91"/>
          <cell r="D91"/>
          <cell r="E91"/>
          <cell r="F91"/>
        </row>
        <row r="92">
          <cell r="A92" t="str">
            <v>67.5</v>
          </cell>
          <cell r="B92"/>
          <cell r="C92"/>
          <cell r="D92"/>
          <cell r="E92"/>
          <cell r="F92"/>
        </row>
        <row r="93">
          <cell r="A93">
            <v>75</v>
          </cell>
          <cell r="B93"/>
          <cell r="C93"/>
          <cell r="D93"/>
          <cell r="E93"/>
          <cell r="F93"/>
        </row>
        <row r="94">
          <cell r="A94">
            <v>82.5</v>
          </cell>
          <cell r="B94"/>
          <cell r="C94"/>
          <cell r="D94"/>
          <cell r="E94"/>
          <cell r="F94"/>
        </row>
        <row r="95">
          <cell r="A95">
            <v>90</v>
          </cell>
          <cell r="B95"/>
          <cell r="C95"/>
          <cell r="D95"/>
          <cell r="E95"/>
          <cell r="F95"/>
        </row>
        <row r="96">
          <cell r="A96" t="str">
            <v>90+</v>
          </cell>
          <cell r="B96"/>
          <cell r="C96"/>
          <cell r="D96"/>
          <cell r="E96"/>
          <cell r="F96"/>
        </row>
        <row r="97">
          <cell r="B97" t="str">
            <v>МАСТЕРС -3(50-54)</v>
          </cell>
        </row>
        <row r="98">
          <cell r="A98">
            <v>44</v>
          </cell>
          <cell r="B98"/>
          <cell r="C98"/>
          <cell r="D98"/>
          <cell r="E98"/>
          <cell r="F98"/>
        </row>
        <row r="99">
          <cell r="A99">
            <v>48</v>
          </cell>
          <cell r="B99"/>
          <cell r="C99"/>
          <cell r="D99"/>
          <cell r="E99"/>
          <cell r="F99"/>
        </row>
        <row r="100">
          <cell r="A100">
            <v>52</v>
          </cell>
          <cell r="B100">
            <v>62.5</v>
          </cell>
          <cell r="C100" t="str">
            <v>Телегина Татьяна/61</v>
          </cell>
          <cell r="D100" t="str">
            <v>Улан-Уде</v>
          </cell>
          <cell r="E100">
            <v>41137</v>
          </cell>
          <cell r="F100" t="str">
            <v>Новосибирск</v>
          </cell>
        </row>
        <row r="101">
          <cell r="A101">
            <v>56</v>
          </cell>
          <cell r="B101"/>
          <cell r="C101"/>
          <cell r="D101"/>
          <cell r="E101"/>
          <cell r="F101"/>
        </row>
        <row r="102">
          <cell r="A102">
            <v>60</v>
          </cell>
          <cell r="B102"/>
          <cell r="C102"/>
          <cell r="D102"/>
          <cell r="E102"/>
          <cell r="F102"/>
        </row>
        <row r="103">
          <cell r="A103" t="str">
            <v>67.5</v>
          </cell>
          <cell r="B103"/>
          <cell r="C103"/>
          <cell r="D103"/>
          <cell r="E103"/>
          <cell r="F103"/>
        </row>
        <row r="104">
          <cell r="A104">
            <v>75</v>
          </cell>
          <cell r="B104"/>
          <cell r="C104"/>
          <cell r="D104"/>
          <cell r="E104"/>
          <cell r="F104"/>
        </row>
        <row r="105">
          <cell r="A105">
            <v>82.5</v>
          </cell>
          <cell r="B105"/>
          <cell r="C105"/>
          <cell r="D105"/>
          <cell r="E105"/>
          <cell r="F105"/>
        </row>
        <row r="106">
          <cell r="A106">
            <v>90</v>
          </cell>
          <cell r="B106"/>
          <cell r="C106"/>
          <cell r="D106"/>
          <cell r="E106"/>
          <cell r="F106"/>
        </row>
        <row r="107">
          <cell r="A107" t="str">
            <v>90+</v>
          </cell>
          <cell r="B107"/>
          <cell r="C107"/>
          <cell r="D107"/>
          <cell r="E107"/>
          <cell r="F107"/>
        </row>
      </sheetData>
      <sheetData sheetId="1">
        <row r="1">
          <cell r="B1" t="str">
            <v>Рекорды AWPC -жим- Россия</v>
          </cell>
        </row>
        <row r="3">
          <cell r="A3">
            <v>52</v>
          </cell>
          <cell r="B3">
            <v>90</v>
          </cell>
          <cell r="C3" t="str">
            <v>Телегин Никита/95</v>
          </cell>
          <cell r="D3" t="str">
            <v>Алапаевск</v>
          </cell>
          <cell r="E3">
            <v>39873</v>
          </cell>
          <cell r="F3" t="str">
            <v>Челябинск</v>
          </cell>
        </row>
        <row r="4">
          <cell r="A4">
            <v>56</v>
          </cell>
          <cell r="B4">
            <v>95</v>
          </cell>
          <cell r="C4" t="str">
            <v>Телегин Никита/95</v>
          </cell>
          <cell r="D4" t="str">
            <v>Алапаевск</v>
          </cell>
          <cell r="E4">
            <v>40090</v>
          </cell>
          <cell r="F4" t="str">
            <v>Екатеринбург</v>
          </cell>
        </row>
        <row r="5">
          <cell r="A5">
            <v>60</v>
          </cell>
          <cell r="B5">
            <v>127.5</v>
          </cell>
          <cell r="C5" t="str">
            <v>Телегин Никита/95</v>
          </cell>
          <cell r="D5" t="str">
            <v>Алапаевск</v>
          </cell>
          <cell r="E5">
            <v>40454</v>
          </cell>
          <cell r="F5" t="str">
            <v>Екатеринбург</v>
          </cell>
        </row>
        <row r="6">
          <cell r="A6" t="str">
            <v>67.5</v>
          </cell>
          <cell r="B6" t="str">
            <v>117.5</v>
          </cell>
          <cell r="C6" t="str">
            <v>Тычинин Денис/91</v>
          </cell>
          <cell r="D6" t="str">
            <v>Саратов</v>
          </cell>
          <cell r="E6">
            <v>39312</v>
          </cell>
          <cell r="F6" t="str">
            <v>Курск</v>
          </cell>
        </row>
        <row r="7">
          <cell r="A7">
            <v>75</v>
          </cell>
          <cell r="B7">
            <v>112.5</v>
          </cell>
          <cell r="C7" t="str">
            <v>Резицкий Никита/93</v>
          </cell>
          <cell r="D7" t="str">
            <v>Красноуфимск</v>
          </cell>
          <cell r="E7">
            <v>39873</v>
          </cell>
          <cell r="F7" t="str">
            <v>Челябинск</v>
          </cell>
        </row>
        <row r="8">
          <cell r="A8">
            <v>82.5</v>
          </cell>
          <cell r="B8"/>
          <cell r="C8"/>
          <cell r="D8"/>
          <cell r="E8"/>
          <cell r="F8"/>
        </row>
        <row r="9">
          <cell r="A9">
            <v>90</v>
          </cell>
          <cell r="B9">
            <v>130</v>
          </cell>
          <cell r="C9" t="str">
            <v>Панферов Евгений/91</v>
          </cell>
          <cell r="D9" t="str">
            <v>Орск</v>
          </cell>
          <cell r="E9">
            <v>39312</v>
          </cell>
          <cell r="F9" t="str">
            <v>Курск</v>
          </cell>
        </row>
        <row r="10">
          <cell r="A10">
            <v>100</v>
          </cell>
          <cell r="B10">
            <v>135</v>
          </cell>
          <cell r="C10" t="str">
            <v>Ханджан Юрий/92</v>
          </cell>
          <cell r="D10" t="str">
            <v>Краснодар</v>
          </cell>
          <cell r="E10">
            <v>39352</v>
          </cell>
          <cell r="F10" t="str">
            <v>Хорн</v>
          </cell>
        </row>
        <row r="11">
          <cell r="A11">
            <v>110</v>
          </cell>
          <cell r="B11"/>
          <cell r="C11"/>
          <cell r="D11"/>
          <cell r="E11"/>
          <cell r="F11"/>
        </row>
        <row r="12">
          <cell r="A12">
            <v>125</v>
          </cell>
          <cell r="B12"/>
          <cell r="C12"/>
          <cell r="D12"/>
          <cell r="E12"/>
          <cell r="F12"/>
        </row>
        <row r="13">
          <cell r="A13">
            <v>140</v>
          </cell>
          <cell r="B13"/>
          <cell r="C13"/>
          <cell r="D13"/>
          <cell r="E13"/>
          <cell r="F13"/>
        </row>
        <row r="14">
          <cell r="A14" t="str">
            <v>140+</v>
          </cell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7">
          <cell r="A17">
            <v>52</v>
          </cell>
          <cell r="B17">
            <v>87.5</v>
          </cell>
          <cell r="C17" t="str">
            <v>Поляков Максим/95</v>
          </cell>
          <cell r="D17" t="str">
            <v>Новосибирск</v>
          </cell>
          <cell r="E17">
            <v>40983</v>
          </cell>
          <cell r="F17" t="str">
            <v>Екатеринбург</v>
          </cell>
        </row>
        <row r="18">
          <cell r="A18">
            <v>56</v>
          </cell>
          <cell r="B18" t="str">
            <v>112.5</v>
          </cell>
          <cell r="C18" t="str">
            <v>Гулиев Фахри/91</v>
          </cell>
          <cell r="D18" t="str">
            <v>Саратов</v>
          </cell>
          <cell r="E18">
            <v>39529</v>
          </cell>
          <cell r="F18" t="str">
            <v>Ростов-на-Дону</v>
          </cell>
        </row>
        <row r="19">
          <cell r="A19">
            <v>60</v>
          </cell>
          <cell r="B19">
            <v>145</v>
          </cell>
          <cell r="C19" t="str">
            <v>Телегин Никита/95</v>
          </cell>
          <cell r="D19" t="str">
            <v>Алапаевск</v>
          </cell>
          <cell r="E19">
            <v>40983</v>
          </cell>
          <cell r="F19" t="str">
            <v>Екатеринбург</v>
          </cell>
        </row>
        <row r="20">
          <cell r="A20" t="str">
            <v>67.5</v>
          </cell>
          <cell r="B20">
            <v>150</v>
          </cell>
          <cell r="C20" t="str">
            <v>Могилевский Антон/91</v>
          </cell>
          <cell r="D20" t="str">
            <v>Н.Серьги</v>
          </cell>
          <cell r="E20">
            <v>39873</v>
          </cell>
          <cell r="F20" t="str">
            <v>Челябинск</v>
          </cell>
        </row>
        <row r="21">
          <cell r="A21">
            <v>75</v>
          </cell>
          <cell r="B21" t="str">
            <v>182.5</v>
          </cell>
          <cell r="C21" t="str">
            <v>Лопатин Владислав/90</v>
          </cell>
          <cell r="D21" t="str">
            <v>Курск</v>
          </cell>
          <cell r="E21">
            <v>39529</v>
          </cell>
          <cell r="F21" t="str">
            <v>Ростов-на-Дону</v>
          </cell>
        </row>
        <row r="22">
          <cell r="A22" t="str">
            <v>82.5</v>
          </cell>
          <cell r="B22">
            <v>170</v>
          </cell>
          <cell r="C22" t="str">
            <v>Карпенко Александр/92</v>
          </cell>
          <cell r="D22" t="str">
            <v>Ростов</v>
          </cell>
          <cell r="E22">
            <v>40258</v>
          </cell>
          <cell r="F22" t="str">
            <v>Курск</v>
          </cell>
        </row>
        <row r="23">
          <cell r="A23">
            <v>90</v>
          </cell>
          <cell r="B23">
            <v>150</v>
          </cell>
          <cell r="C23" t="str">
            <v>Бондарев Григорий/91</v>
          </cell>
          <cell r="D23" t="str">
            <v>Курск</v>
          </cell>
          <cell r="E23">
            <v>39794</v>
          </cell>
          <cell r="F23" t="str">
            <v>Курск</v>
          </cell>
        </row>
        <row r="24">
          <cell r="A24">
            <v>100</v>
          </cell>
          <cell r="B24">
            <v>160</v>
          </cell>
          <cell r="C24" t="str">
            <v>Москаленко Станислав/92</v>
          </cell>
          <cell r="D24" t="str">
            <v>Орск</v>
          </cell>
          <cell r="E24">
            <v>39873</v>
          </cell>
          <cell r="F24" t="str">
            <v>Челябинск</v>
          </cell>
        </row>
        <row r="25">
          <cell r="A25">
            <v>110</v>
          </cell>
          <cell r="B25"/>
          <cell r="C25"/>
          <cell r="D25"/>
          <cell r="E25"/>
          <cell r="F25"/>
        </row>
        <row r="26">
          <cell r="A26">
            <v>125</v>
          </cell>
          <cell r="B26">
            <v>210</v>
          </cell>
          <cell r="C26" t="str">
            <v>Макаров Андрей/93</v>
          </cell>
          <cell r="D26" t="str">
            <v>Уфа</v>
          </cell>
          <cell r="E26">
            <v>40641</v>
          </cell>
          <cell r="F26" t="str">
            <v>Челябинск</v>
          </cell>
        </row>
        <row r="27">
          <cell r="A27">
            <v>140</v>
          </cell>
          <cell r="B27">
            <v>150</v>
          </cell>
          <cell r="C27" t="str">
            <v>Куркомели Михаил/93</v>
          </cell>
          <cell r="D27" t="str">
            <v>Златоуст</v>
          </cell>
          <cell r="E27">
            <v>40090</v>
          </cell>
          <cell r="F27" t="str">
            <v>Екатеринбург</v>
          </cell>
        </row>
        <row r="28">
          <cell r="A28" t="str">
            <v>140+</v>
          </cell>
          <cell r="B28"/>
          <cell r="C28"/>
          <cell r="D28"/>
          <cell r="E28"/>
          <cell r="F28"/>
        </row>
        <row r="29">
          <cell r="B29"/>
          <cell r="C29"/>
          <cell r="D29"/>
          <cell r="E29"/>
          <cell r="F29"/>
        </row>
        <row r="31">
          <cell r="A31">
            <v>52</v>
          </cell>
          <cell r="B31">
            <v>90</v>
          </cell>
          <cell r="C31" t="str">
            <v>Рыжов Александр/93</v>
          </cell>
          <cell r="D31" t="str">
            <v>Татарск</v>
          </cell>
          <cell r="E31">
            <v>41137</v>
          </cell>
          <cell r="F31" t="str">
            <v>Новосибирск</v>
          </cell>
        </row>
        <row r="32">
          <cell r="A32">
            <v>56</v>
          </cell>
          <cell r="B32">
            <v>115</v>
          </cell>
          <cell r="C32" t="str">
            <v>Жикан Владимир/94</v>
          </cell>
          <cell r="D32" t="str">
            <v>Новосибирск</v>
          </cell>
          <cell r="E32">
            <v>41137</v>
          </cell>
          <cell r="F32" t="str">
            <v>Новосибирск</v>
          </cell>
        </row>
        <row r="33">
          <cell r="A33">
            <v>60</v>
          </cell>
          <cell r="B33">
            <v>115</v>
          </cell>
          <cell r="C33" t="str">
            <v>Озерков Павел/93</v>
          </cell>
          <cell r="D33" t="str">
            <v>Вологда</v>
          </cell>
          <cell r="E33" t="str">
            <v>24.03.2012</v>
          </cell>
          <cell r="F33" t="str">
            <v>Вологда</v>
          </cell>
        </row>
        <row r="34">
          <cell r="A34" t="str">
            <v>67.5</v>
          </cell>
          <cell r="B34">
            <v>163.5</v>
          </cell>
          <cell r="C34" t="str">
            <v>Носков Андрей/93</v>
          </cell>
          <cell r="D34" t="str">
            <v>Ростов</v>
          </cell>
          <cell r="E34">
            <v>41201</v>
          </cell>
          <cell r="F34" t="str">
            <v>Краснодар</v>
          </cell>
        </row>
        <row r="35">
          <cell r="A35">
            <v>75</v>
          </cell>
          <cell r="B35">
            <v>185</v>
          </cell>
          <cell r="C35" t="str">
            <v>Медведев Ярослав/93</v>
          </cell>
          <cell r="D35" t="str">
            <v>Вологда</v>
          </cell>
          <cell r="E35">
            <v>41017</v>
          </cell>
          <cell r="F35" t="str">
            <v>Ростов</v>
          </cell>
        </row>
        <row r="36">
          <cell r="A36" t="str">
            <v>82.5</v>
          </cell>
          <cell r="B36">
            <v>207.5</v>
          </cell>
          <cell r="C36" t="str">
            <v>Карпенко Александр/92</v>
          </cell>
          <cell r="D36" t="str">
            <v>Зверево</v>
          </cell>
          <cell r="E36">
            <v>41017</v>
          </cell>
          <cell r="F36" t="str">
            <v>Ростов</v>
          </cell>
        </row>
        <row r="37">
          <cell r="A37">
            <v>90</v>
          </cell>
          <cell r="B37">
            <v>175</v>
          </cell>
          <cell r="C37" t="str">
            <v>Власов Иван/91</v>
          </cell>
          <cell r="D37" t="str">
            <v>Екатеринбург</v>
          </cell>
          <cell r="E37">
            <v>40641</v>
          </cell>
          <cell r="F37" t="str">
            <v>Челябинск</v>
          </cell>
        </row>
        <row r="38">
          <cell r="A38">
            <v>100</v>
          </cell>
          <cell r="B38">
            <v>235</v>
          </cell>
          <cell r="C38" t="str">
            <v>Бойко Илья/94</v>
          </cell>
          <cell r="D38" t="str">
            <v>Вологда</v>
          </cell>
          <cell r="E38">
            <v>41216</v>
          </cell>
          <cell r="F38" t="str">
            <v>Вологда</v>
          </cell>
        </row>
        <row r="39">
          <cell r="A39">
            <v>110</v>
          </cell>
          <cell r="B39"/>
          <cell r="C39"/>
          <cell r="D39"/>
          <cell r="E39"/>
          <cell r="F39"/>
        </row>
        <row r="40">
          <cell r="A40">
            <v>125</v>
          </cell>
          <cell r="B40"/>
          <cell r="C40"/>
          <cell r="D40"/>
          <cell r="E40"/>
          <cell r="F40"/>
        </row>
        <row r="41">
          <cell r="A41">
            <v>140</v>
          </cell>
          <cell r="B41"/>
          <cell r="C41"/>
          <cell r="D41"/>
          <cell r="E41"/>
          <cell r="F41"/>
        </row>
        <row r="42">
          <cell r="A42" t="str">
            <v>140+</v>
          </cell>
          <cell r="B42">
            <v>235</v>
          </cell>
          <cell r="C42" t="str">
            <v>Макаров Андрей/93</v>
          </cell>
          <cell r="D42" t="str">
            <v>Уфа</v>
          </cell>
          <cell r="E42">
            <v>41201</v>
          </cell>
          <cell r="F42" t="str">
            <v>Краснодар</v>
          </cell>
        </row>
        <row r="43">
          <cell r="B43"/>
          <cell r="C43"/>
          <cell r="D43"/>
          <cell r="E43"/>
          <cell r="F43"/>
        </row>
        <row r="45">
          <cell r="A45">
            <v>52</v>
          </cell>
          <cell r="B45">
            <v>120</v>
          </cell>
          <cell r="C45" t="str">
            <v>Схаляхо Каплан/90</v>
          </cell>
          <cell r="D45" t="str">
            <v>Майкоп</v>
          </cell>
          <cell r="E45">
            <v>41201</v>
          </cell>
          <cell r="F45" t="str">
            <v>Краснодар</v>
          </cell>
        </row>
        <row r="46">
          <cell r="A46">
            <v>56</v>
          </cell>
          <cell r="B46"/>
          <cell r="C46"/>
          <cell r="D46"/>
          <cell r="E46"/>
          <cell r="F46"/>
        </row>
        <row r="47">
          <cell r="A47">
            <v>60</v>
          </cell>
          <cell r="B47">
            <v>147.5</v>
          </cell>
          <cell r="C47" t="str">
            <v xml:space="preserve">Фатеев Михаил/89 </v>
          </cell>
          <cell r="D47" t="str">
            <v>Екатеринбург</v>
          </cell>
          <cell r="E47">
            <v>40090</v>
          </cell>
          <cell r="F47" t="str">
            <v>Екатеринбург</v>
          </cell>
        </row>
        <row r="48">
          <cell r="A48" t="str">
            <v>67.5</v>
          </cell>
          <cell r="B48">
            <v>165</v>
          </cell>
          <cell r="C48" t="str">
            <v>Жигулин Константин/87</v>
          </cell>
          <cell r="D48" t="str">
            <v>Орел</v>
          </cell>
          <cell r="E48">
            <v>40769</v>
          </cell>
          <cell r="F48" t="str">
            <v>Курск</v>
          </cell>
        </row>
        <row r="49">
          <cell r="A49">
            <v>75</v>
          </cell>
          <cell r="B49">
            <v>180</v>
          </cell>
          <cell r="C49" t="str">
            <v>Березов Вадим/90</v>
          </cell>
          <cell r="D49" t="str">
            <v>Новосибирск</v>
          </cell>
          <cell r="E49">
            <v>40873</v>
          </cell>
          <cell r="F49" t="str">
            <v>Новосибирск</v>
          </cell>
        </row>
        <row r="50">
          <cell r="A50" t="str">
            <v>82.5</v>
          </cell>
          <cell r="B50">
            <v>207.5</v>
          </cell>
          <cell r="C50" t="str">
            <v>Абубекиров Ринат/86</v>
          </cell>
          <cell r="D50" t="str">
            <v>Пенза</v>
          </cell>
          <cell r="E50">
            <v>40409</v>
          </cell>
          <cell r="F50" t="str">
            <v>Москва</v>
          </cell>
        </row>
        <row r="51">
          <cell r="A51">
            <v>90</v>
          </cell>
          <cell r="B51">
            <v>250</v>
          </cell>
          <cell r="C51" t="str">
            <v>Абдулин Марат/85</v>
          </cell>
          <cell r="D51" t="str">
            <v>Москва</v>
          </cell>
          <cell r="E51">
            <v>39432</v>
          </cell>
          <cell r="F51" t="str">
            <v>Пушкино</v>
          </cell>
        </row>
        <row r="52">
          <cell r="A52">
            <v>100</v>
          </cell>
          <cell r="B52">
            <v>250</v>
          </cell>
          <cell r="C52" t="str">
            <v>Лиховицкий Иван/90</v>
          </cell>
          <cell r="D52" t="str">
            <v>Ставрополь</v>
          </cell>
          <cell r="E52">
            <v>41201</v>
          </cell>
          <cell r="F52" t="str">
            <v>Краснодар</v>
          </cell>
        </row>
        <row r="53">
          <cell r="A53">
            <v>110</v>
          </cell>
          <cell r="B53">
            <v>250</v>
          </cell>
          <cell r="C53" t="str">
            <v>Кулебякин Руслан/91</v>
          </cell>
          <cell r="D53" t="str">
            <v>Таганрог</v>
          </cell>
          <cell r="E53" t="str">
            <v>23.08.2014</v>
          </cell>
          <cell r="F53" t="str">
            <v>Москва</v>
          </cell>
        </row>
        <row r="54">
          <cell r="A54">
            <v>125</v>
          </cell>
          <cell r="B54">
            <v>260</v>
          </cell>
          <cell r="C54" t="str">
            <v>Воронков Алексей/89</v>
          </cell>
          <cell r="D54" t="str">
            <v>Ивантеевка</v>
          </cell>
          <cell r="E54">
            <v>41201</v>
          </cell>
          <cell r="F54" t="str">
            <v>Краснодар</v>
          </cell>
        </row>
        <row r="55">
          <cell r="A55">
            <v>140</v>
          </cell>
          <cell r="B55">
            <v>216</v>
          </cell>
          <cell r="C55" t="str">
            <v>Кузьмин Никита/88</v>
          </cell>
          <cell r="D55" t="str">
            <v xml:space="preserve">Иркутск </v>
          </cell>
          <cell r="E55">
            <v>41137</v>
          </cell>
          <cell r="F55" t="str">
            <v>Новосибирск</v>
          </cell>
        </row>
        <row r="56">
          <cell r="A56" t="str">
            <v>140+</v>
          </cell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9">
          <cell r="A59">
            <v>52</v>
          </cell>
          <cell r="B59">
            <v>120</v>
          </cell>
          <cell r="C59" t="str">
            <v>Схаляхо Каплан/90</v>
          </cell>
          <cell r="D59" t="str">
            <v>Майкоп</v>
          </cell>
          <cell r="E59">
            <v>41201</v>
          </cell>
          <cell r="F59" t="str">
            <v>Краснодар</v>
          </cell>
        </row>
        <row r="60">
          <cell r="A60">
            <v>56</v>
          </cell>
          <cell r="B60">
            <v>140</v>
          </cell>
          <cell r="C60" t="str">
            <v>Артемьев Игорь/71</v>
          </cell>
          <cell r="D60" t="str">
            <v>Глазов</v>
          </cell>
          <cell r="E60">
            <v>39123</v>
          </cell>
          <cell r="F60" t="str">
            <v>Челябинск</v>
          </cell>
        </row>
        <row r="61">
          <cell r="A61">
            <v>60</v>
          </cell>
          <cell r="B61">
            <v>150</v>
          </cell>
          <cell r="C61" t="str">
            <v>Суфиянов Айрат/84</v>
          </cell>
          <cell r="D61" t="str">
            <v>Нефтекамск</v>
          </cell>
          <cell r="E61">
            <v>40640</v>
          </cell>
          <cell r="F61" t="str">
            <v>Челябинск</v>
          </cell>
        </row>
        <row r="62">
          <cell r="A62" t="str">
            <v>67.5</v>
          </cell>
          <cell r="B62">
            <v>165</v>
          </cell>
          <cell r="C62" t="str">
            <v>Жигулин Константин/87</v>
          </cell>
          <cell r="D62" t="str">
            <v>Орел</v>
          </cell>
          <cell r="E62">
            <v>40769</v>
          </cell>
          <cell r="F62" t="str">
            <v>Курск</v>
          </cell>
        </row>
        <row r="63">
          <cell r="A63">
            <v>75</v>
          </cell>
          <cell r="B63">
            <v>215.5</v>
          </cell>
          <cell r="C63" t="str">
            <v>Милостной Станислав/78</v>
          </cell>
          <cell r="D63" t="str">
            <v>Курск</v>
          </cell>
          <cell r="E63">
            <v>40258</v>
          </cell>
          <cell r="F63" t="str">
            <v>Курск</v>
          </cell>
        </row>
        <row r="64">
          <cell r="A64" t="str">
            <v>82.5</v>
          </cell>
          <cell r="B64">
            <v>242.5</v>
          </cell>
          <cell r="C64" t="str">
            <v>Нечаев Евгений/78</v>
          </cell>
          <cell r="D64" t="str">
            <v>Красноярск</v>
          </cell>
          <cell r="E64">
            <v>39661</v>
          </cell>
          <cell r="F64" t="str">
            <v xml:space="preserve">Чикаго </v>
          </cell>
        </row>
        <row r="65">
          <cell r="A65">
            <v>90</v>
          </cell>
          <cell r="B65">
            <v>260</v>
          </cell>
          <cell r="C65" t="str">
            <v>Вебер Михаил/71</v>
          </cell>
          <cell r="D65" t="str">
            <v xml:space="preserve">Ростов </v>
          </cell>
          <cell r="E65">
            <v>40769</v>
          </cell>
          <cell r="F65" t="str">
            <v>Курск</v>
          </cell>
        </row>
        <row r="66">
          <cell r="A66">
            <v>100</v>
          </cell>
          <cell r="B66">
            <v>270</v>
          </cell>
          <cell r="C66" t="str">
            <v>Петухов Виталий/80</v>
          </cell>
          <cell r="D66" t="str">
            <v>Лысьва</v>
          </cell>
          <cell r="E66">
            <v>40813</v>
          </cell>
          <cell r="F66" t="str">
            <v>Екатеринбург</v>
          </cell>
        </row>
        <row r="67">
          <cell r="A67">
            <v>110</v>
          </cell>
          <cell r="B67">
            <v>290</v>
          </cell>
          <cell r="C67" t="str">
            <v>Полетаев Владимир/72</v>
          </cell>
          <cell r="D67" t="str">
            <v>Люберцы</v>
          </cell>
          <cell r="E67">
            <v>40034</v>
          </cell>
          <cell r="F67" t="str">
            <v>Курск</v>
          </cell>
        </row>
        <row r="68">
          <cell r="A68">
            <v>125</v>
          </cell>
          <cell r="B68">
            <v>300</v>
          </cell>
          <cell r="C68" t="str">
            <v>Полетаев Владимир/72</v>
          </cell>
          <cell r="D68" t="str">
            <v>Люберцы</v>
          </cell>
          <cell r="E68">
            <v>40641</v>
          </cell>
          <cell r="F68" t="str">
            <v>Челябинск</v>
          </cell>
        </row>
        <row r="69">
          <cell r="A69">
            <v>140</v>
          </cell>
          <cell r="B69" t="str">
            <v>282.5</v>
          </cell>
          <cell r="C69" t="str">
            <v>Смирнов Юрий/71</v>
          </cell>
          <cell r="D69" t="str">
            <v>Ухта</v>
          </cell>
          <cell r="E69">
            <v>39529</v>
          </cell>
          <cell r="F69" t="str">
            <v>Ростов-на-Дону</v>
          </cell>
        </row>
        <row r="70">
          <cell r="A70" t="str">
            <v>140+</v>
          </cell>
          <cell r="B70">
            <v>280</v>
          </cell>
          <cell r="C70" t="str">
            <v>Козырев Олег/75</v>
          </cell>
          <cell r="D70" t="str">
            <v>Волжский</v>
          </cell>
          <cell r="E70">
            <v>40641</v>
          </cell>
          <cell r="F70" t="str">
            <v>Челябинск</v>
          </cell>
        </row>
        <row r="71">
          <cell r="B71"/>
          <cell r="C71"/>
          <cell r="D71"/>
          <cell r="E71"/>
          <cell r="F71"/>
        </row>
        <row r="73">
          <cell r="A73">
            <v>52</v>
          </cell>
          <cell r="B73"/>
          <cell r="C73"/>
          <cell r="D73"/>
          <cell r="E73"/>
          <cell r="F73"/>
        </row>
        <row r="74">
          <cell r="A74">
            <v>56</v>
          </cell>
          <cell r="B74">
            <v>140</v>
          </cell>
          <cell r="C74" t="str">
            <v>Артемьев  Игорь/71</v>
          </cell>
          <cell r="D74" t="str">
            <v>Глазов</v>
          </cell>
          <cell r="E74">
            <v>39123</v>
          </cell>
          <cell r="F74" t="str">
            <v>Челябинск</v>
          </cell>
        </row>
        <row r="75">
          <cell r="A75">
            <v>60</v>
          </cell>
          <cell r="B75">
            <v>137.5</v>
          </cell>
          <cell r="C75" t="str">
            <v>Артемьев  Олег/71</v>
          </cell>
          <cell r="D75" t="str">
            <v>Глазов</v>
          </cell>
          <cell r="E75">
            <v>39123</v>
          </cell>
          <cell r="F75" t="str">
            <v>Челябинск</v>
          </cell>
        </row>
        <row r="76">
          <cell r="A76" t="str">
            <v>67.5</v>
          </cell>
          <cell r="B76">
            <v>160</v>
          </cell>
          <cell r="C76" t="str">
            <v>Матосян Дмитрий/76</v>
          </cell>
          <cell r="D76" t="str">
            <v>Лысьва</v>
          </cell>
          <cell r="E76">
            <v>40409</v>
          </cell>
          <cell r="F76" t="str">
            <v>Москва</v>
          </cell>
        </row>
        <row r="77">
          <cell r="A77">
            <v>75</v>
          </cell>
          <cell r="B77">
            <v>200</v>
          </cell>
          <cell r="C77" t="str">
            <v>Ларионов Артем/78</v>
          </cell>
          <cell r="D77" t="str">
            <v>Москва</v>
          </cell>
          <cell r="E77">
            <v>41439</v>
          </cell>
          <cell r="F77" t="str">
            <v>Москва</v>
          </cell>
        </row>
        <row r="78">
          <cell r="A78" t="str">
            <v>82.5</v>
          </cell>
          <cell r="B78">
            <v>220</v>
          </cell>
          <cell r="C78" t="str">
            <v>Вебер Михаил/71</v>
          </cell>
          <cell r="D78" t="str">
            <v>Ростов</v>
          </cell>
          <cell r="E78">
            <v>39424</v>
          </cell>
          <cell r="F78" t="str">
            <v>Курск</v>
          </cell>
        </row>
        <row r="79">
          <cell r="A79">
            <v>90</v>
          </cell>
          <cell r="B79">
            <v>240</v>
          </cell>
          <cell r="C79" t="str">
            <v>Вебер Михаил/71</v>
          </cell>
          <cell r="D79" t="str">
            <v>Ростов</v>
          </cell>
          <cell r="E79">
            <v>40258</v>
          </cell>
          <cell r="F79" t="str">
            <v>Курск</v>
          </cell>
        </row>
        <row r="80">
          <cell r="A80">
            <v>100</v>
          </cell>
          <cell r="B80">
            <v>245</v>
          </cell>
          <cell r="C80" t="str">
            <v>Вебер Михаил/71</v>
          </cell>
          <cell r="D80" t="str">
            <v>Ростов</v>
          </cell>
          <cell r="E80">
            <v>40641</v>
          </cell>
          <cell r="F80" t="str">
            <v>Челябинск</v>
          </cell>
        </row>
        <row r="81">
          <cell r="A81">
            <v>110</v>
          </cell>
          <cell r="B81">
            <v>290</v>
          </cell>
          <cell r="C81" t="str">
            <v>Полетаев Владимир/72</v>
          </cell>
          <cell r="D81" t="str">
            <v>Люберцы</v>
          </cell>
          <cell r="E81">
            <v>40034</v>
          </cell>
          <cell r="F81" t="str">
            <v>Курск</v>
          </cell>
        </row>
        <row r="82">
          <cell r="A82">
            <v>125</v>
          </cell>
          <cell r="B82">
            <v>300</v>
          </cell>
          <cell r="C82" t="str">
            <v>Полетаев Владимир/72</v>
          </cell>
          <cell r="D82" t="str">
            <v>Люберцы</v>
          </cell>
          <cell r="E82">
            <v>40641</v>
          </cell>
          <cell r="F82" t="str">
            <v>Челябинск</v>
          </cell>
        </row>
        <row r="83">
          <cell r="A83">
            <v>140</v>
          </cell>
          <cell r="B83" t="str">
            <v>282.5</v>
          </cell>
          <cell r="C83" t="str">
            <v>Смирнов Юрий/71</v>
          </cell>
          <cell r="D83" t="str">
            <v>Ухта</v>
          </cell>
          <cell r="E83">
            <v>39529</v>
          </cell>
          <cell r="F83" t="str">
            <v>Ростов-на-Дону</v>
          </cell>
        </row>
        <row r="84">
          <cell r="A84" t="str">
            <v>140+</v>
          </cell>
          <cell r="B84">
            <v>280</v>
          </cell>
          <cell r="C84" t="str">
            <v>Козырев Олег/75</v>
          </cell>
          <cell r="D84" t="str">
            <v>Волжский</v>
          </cell>
          <cell r="E84">
            <v>40641</v>
          </cell>
          <cell r="F84" t="str">
            <v>Челябинск</v>
          </cell>
        </row>
        <row r="85">
          <cell r="B85"/>
          <cell r="C85"/>
          <cell r="D85"/>
          <cell r="E85"/>
          <cell r="F85"/>
        </row>
        <row r="87">
          <cell r="A87">
            <v>52</v>
          </cell>
          <cell r="B87"/>
          <cell r="C87"/>
          <cell r="D87"/>
          <cell r="E87"/>
          <cell r="F87"/>
        </row>
        <row r="88">
          <cell r="A88">
            <v>56</v>
          </cell>
          <cell r="B88">
            <v>135</v>
          </cell>
          <cell r="C88" t="str">
            <v>Артемьев Игорь/71</v>
          </cell>
          <cell r="D88" t="str">
            <v>Глазов</v>
          </cell>
          <cell r="E88" t="str">
            <v>23.08.2014</v>
          </cell>
          <cell r="F88" t="str">
            <v>Москва</v>
          </cell>
        </row>
        <row r="89">
          <cell r="A89">
            <v>60</v>
          </cell>
          <cell r="B89">
            <v>150</v>
          </cell>
          <cell r="C89" t="str">
            <v>Артемьев Олег/71</v>
          </cell>
          <cell r="D89" t="str">
            <v>Глазов</v>
          </cell>
          <cell r="E89" t="str">
            <v>23.08.2014</v>
          </cell>
          <cell r="F89" t="str">
            <v>Москва</v>
          </cell>
        </row>
        <row r="90">
          <cell r="A90">
            <v>67.5</v>
          </cell>
          <cell r="B90">
            <v>115</v>
          </cell>
          <cell r="C90" t="str">
            <v>Ганеев Алик/70</v>
          </cell>
          <cell r="D90" t="str">
            <v>Челябинск</v>
          </cell>
          <cell r="E90">
            <v>40640</v>
          </cell>
          <cell r="F90" t="str">
            <v>Челябинск</v>
          </cell>
        </row>
        <row r="91">
          <cell r="A91">
            <v>75</v>
          </cell>
          <cell r="B91">
            <v>165</v>
          </cell>
          <cell r="C91" t="str">
            <v>Лапынин Владимир/70</v>
          </cell>
          <cell r="D91" t="str">
            <v>Дальнегорск</v>
          </cell>
          <cell r="E91" t="str">
            <v>23.08.2014</v>
          </cell>
          <cell r="F91" t="str">
            <v>Москва</v>
          </cell>
        </row>
        <row r="92">
          <cell r="A92" t="str">
            <v>82.5</v>
          </cell>
          <cell r="B92">
            <v>225</v>
          </cell>
          <cell r="C92" t="str">
            <v>Вебер Михаил/71</v>
          </cell>
          <cell r="D92" t="str">
            <v xml:space="preserve">Ростов </v>
          </cell>
          <cell r="E92">
            <v>41017</v>
          </cell>
          <cell r="F92" t="str">
            <v>Ростов</v>
          </cell>
        </row>
        <row r="93">
          <cell r="A93">
            <v>90</v>
          </cell>
          <cell r="B93">
            <v>260</v>
          </cell>
          <cell r="C93" t="str">
            <v>Вебер Михаил/71</v>
          </cell>
          <cell r="D93" t="str">
            <v xml:space="preserve">Ростов </v>
          </cell>
          <cell r="E93">
            <v>40769</v>
          </cell>
          <cell r="F93" t="str">
            <v>Курск</v>
          </cell>
        </row>
        <row r="94">
          <cell r="A94">
            <v>100</v>
          </cell>
          <cell r="B94">
            <v>251</v>
          </cell>
          <cell r="C94" t="str">
            <v>Вебер Михаил/71</v>
          </cell>
          <cell r="D94" t="str">
            <v xml:space="preserve">Ростов </v>
          </cell>
          <cell r="E94">
            <v>41201</v>
          </cell>
          <cell r="F94" t="str">
            <v>Краснодар</v>
          </cell>
        </row>
        <row r="95">
          <cell r="A95">
            <v>110</v>
          </cell>
          <cell r="B95">
            <v>255</v>
          </cell>
          <cell r="C95" t="str">
            <v>Клевакин Павел/69</v>
          </cell>
          <cell r="D95" t="str">
            <v>Екатеринбург</v>
          </cell>
          <cell r="E95">
            <v>40641</v>
          </cell>
          <cell r="F95" t="str">
            <v>Челябинск</v>
          </cell>
        </row>
        <row r="96">
          <cell r="A96">
            <v>125</v>
          </cell>
          <cell r="B96">
            <v>250</v>
          </cell>
          <cell r="C96" t="str">
            <v>Formin Yevgeny/68</v>
          </cell>
          <cell r="D96" t="str">
            <v>RUS</v>
          </cell>
          <cell r="E96">
            <v>40816</v>
          </cell>
          <cell r="F96" t="str">
            <v>Yekaterinbourg</v>
          </cell>
        </row>
        <row r="97">
          <cell r="A97">
            <v>140</v>
          </cell>
          <cell r="B97">
            <v>245</v>
          </cell>
          <cell r="C97" t="str">
            <v>Некрасов Михаил/69</v>
          </cell>
          <cell r="D97" t="str">
            <v>Красноуфимск</v>
          </cell>
          <cell r="E97">
            <v>40641</v>
          </cell>
          <cell r="F97" t="str">
            <v>Челябинск</v>
          </cell>
        </row>
        <row r="98">
          <cell r="A98" t="str">
            <v>140+</v>
          </cell>
          <cell r="B98"/>
          <cell r="C98"/>
          <cell r="D98"/>
          <cell r="E98"/>
          <cell r="F98"/>
        </row>
        <row r="99">
          <cell r="A99"/>
          <cell r="B99"/>
          <cell r="C99"/>
          <cell r="D99"/>
          <cell r="E99"/>
          <cell r="F99"/>
        </row>
        <row r="101">
          <cell r="A101">
            <v>52</v>
          </cell>
          <cell r="B101"/>
          <cell r="C101"/>
          <cell r="D101"/>
          <cell r="E101"/>
          <cell r="F101"/>
        </row>
        <row r="102">
          <cell r="A102">
            <v>56</v>
          </cell>
          <cell r="B102"/>
          <cell r="C102"/>
          <cell r="D102"/>
          <cell r="E102"/>
          <cell r="F102"/>
        </row>
        <row r="103">
          <cell r="A103">
            <v>60</v>
          </cell>
          <cell r="B103">
            <v>110</v>
          </cell>
          <cell r="C103" t="str">
            <v>Дюкарев Вадим/59</v>
          </cell>
          <cell r="D103" t="str">
            <v>Железногорск</v>
          </cell>
          <cell r="E103">
            <v>39312</v>
          </cell>
          <cell r="F103" t="str">
            <v>Курск</v>
          </cell>
        </row>
        <row r="104">
          <cell r="A104">
            <v>67.5</v>
          </cell>
          <cell r="B104">
            <v>150</v>
          </cell>
          <cell r="C104" t="str">
            <v>Максимов Александр/61</v>
          </cell>
          <cell r="D104" t="str">
            <v>Калининград</v>
          </cell>
          <cell r="E104">
            <v>39203</v>
          </cell>
          <cell r="F104" t="str">
            <v>Пушкино</v>
          </cell>
        </row>
        <row r="105">
          <cell r="A105">
            <v>75</v>
          </cell>
          <cell r="B105">
            <v>120</v>
          </cell>
          <cell r="C105" t="str">
            <v>Лопатин Сергей/60</v>
          </cell>
          <cell r="D105" t="str">
            <v>Краснодар</v>
          </cell>
          <cell r="E105">
            <v>39352</v>
          </cell>
          <cell r="F105" t="str">
            <v>Хорн</v>
          </cell>
        </row>
        <row r="106">
          <cell r="A106" t="str">
            <v>82.5</v>
          </cell>
          <cell r="B106">
            <v>140</v>
          </cell>
          <cell r="C106" t="str">
            <v>Смирнов Константин/62</v>
          </cell>
          <cell r="D106" t="str">
            <v>Новосибирск</v>
          </cell>
          <cell r="E106">
            <v>40640</v>
          </cell>
          <cell r="F106" t="str">
            <v>Челябинск</v>
          </cell>
        </row>
        <row r="107">
          <cell r="A107">
            <v>90</v>
          </cell>
          <cell r="B107">
            <v>225</v>
          </cell>
          <cell r="C107" t="str">
            <v>Петров Александр/60</v>
          </cell>
          <cell r="D107" t="str">
            <v>Москва</v>
          </cell>
          <cell r="E107">
            <v>40214</v>
          </cell>
          <cell r="F107" t="str">
            <v>Красноармейск</v>
          </cell>
        </row>
        <row r="108">
          <cell r="A108">
            <v>100</v>
          </cell>
          <cell r="B108">
            <v>230</v>
          </cell>
          <cell r="C108" t="str">
            <v>Петров Александр/60</v>
          </cell>
          <cell r="D108" t="str">
            <v>Москва</v>
          </cell>
          <cell r="E108">
            <v>40258</v>
          </cell>
          <cell r="F108" t="str">
            <v>Курск</v>
          </cell>
        </row>
        <row r="109">
          <cell r="A109">
            <v>110</v>
          </cell>
          <cell r="B109">
            <v>250</v>
          </cell>
          <cell r="C109" t="str">
            <v>Симановский Игорь/65</v>
          </cell>
          <cell r="D109" t="str">
            <v>Раменское</v>
          </cell>
          <cell r="E109">
            <v>40690</v>
          </cell>
          <cell r="F109" t="str">
            <v>Хотьково</v>
          </cell>
        </row>
        <row r="110">
          <cell r="A110">
            <v>125</v>
          </cell>
          <cell r="B110">
            <v>285</v>
          </cell>
          <cell r="C110" t="str">
            <v>Гузев Павел/66</v>
          </cell>
          <cell r="D110" t="str">
            <v>Волгоград</v>
          </cell>
          <cell r="E110" t="str">
            <v>23.08.2014</v>
          </cell>
          <cell r="F110" t="str">
            <v>Москва</v>
          </cell>
        </row>
        <row r="111">
          <cell r="A111">
            <v>140</v>
          </cell>
          <cell r="B111">
            <v>160</v>
          </cell>
          <cell r="C111" t="str">
            <v>Калинин Анатолий/65</v>
          </cell>
          <cell r="D111" t="str">
            <v>Москва</v>
          </cell>
          <cell r="E111">
            <v>41068</v>
          </cell>
          <cell r="F111" t="str">
            <v>Москва</v>
          </cell>
        </row>
        <row r="112">
          <cell r="A112" t="str">
            <v>140+</v>
          </cell>
          <cell r="B112"/>
          <cell r="C112"/>
          <cell r="D112"/>
          <cell r="E112"/>
          <cell r="F112"/>
        </row>
        <row r="113">
          <cell r="A113"/>
          <cell r="B113"/>
          <cell r="C113"/>
          <cell r="D113"/>
          <cell r="E113"/>
          <cell r="F113"/>
        </row>
        <row r="114">
          <cell r="B114" t="str">
            <v>МУЖЧИНЫ - МАСТЕРС  3(50 - 54)</v>
          </cell>
        </row>
        <row r="115">
          <cell r="A115">
            <v>52</v>
          </cell>
          <cell r="B115"/>
          <cell r="C115"/>
          <cell r="D115"/>
          <cell r="E115"/>
          <cell r="F115"/>
        </row>
        <row r="116">
          <cell r="A116">
            <v>56</v>
          </cell>
          <cell r="B116"/>
          <cell r="C116"/>
          <cell r="D116"/>
          <cell r="E116"/>
          <cell r="F116"/>
        </row>
        <row r="117">
          <cell r="A117">
            <v>60</v>
          </cell>
          <cell r="B117"/>
          <cell r="C117"/>
          <cell r="D117"/>
          <cell r="E117"/>
          <cell r="F117"/>
        </row>
        <row r="118">
          <cell r="A118" t="str">
            <v>67.5</v>
          </cell>
          <cell r="B118">
            <v>130</v>
          </cell>
          <cell r="C118" t="str">
            <v>Алампиев Сергей/57</v>
          </cell>
          <cell r="D118" t="str">
            <v>Шахты</v>
          </cell>
          <cell r="E118">
            <v>40258</v>
          </cell>
          <cell r="F118" t="str">
            <v>Курск</v>
          </cell>
        </row>
        <row r="119">
          <cell r="A119">
            <v>75</v>
          </cell>
          <cell r="B119">
            <v>125</v>
          </cell>
          <cell r="C119" t="str">
            <v>Алампиев Сергей/57</v>
          </cell>
          <cell r="D119" t="str">
            <v>Шахты</v>
          </cell>
          <cell r="E119">
            <v>39873</v>
          </cell>
          <cell r="F119" t="str">
            <v>Челябинск</v>
          </cell>
        </row>
        <row r="120">
          <cell r="A120" t="str">
            <v>82.5</v>
          </cell>
          <cell r="B120">
            <v>195.5</v>
          </cell>
          <cell r="C120" t="str">
            <v>Решетников Владимир/60</v>
          </cell>
          <cell r="D120" t="str">
            <v>Киров</v>
          </cell>
          <cell r="E120">
            <v>40409</v>
          </cell>
          <cell r="F120" t="str">
            <v>Москва</v>
          </cell>
        </row>
        <row r="121">
          <cell r="A121">
            <v>90</v>
          </cell>
          <cell r="B121">
            <v>150</v>
          </cell>
          <cell r="C121" t="str">
            <v>Муран Владимир/57</v>
          </cell>
          <cell r="D121" t="str">
            <v>Ростов</v>
          </cell>
          <cell r="E121">
            <v>39312</v>
          </cell>
          <cell r="F121" t="str">
            <v>Курск</v>
          </cell>
        </row>
        <row r="122">
          <cell r="A122">
            <v>100</v>
          </cell>
          <cell r="B122">
            <v>205</v>
          </cell>
          <cell r="C122" t="str">
            <v>Акентьев Валерий/58</v>
          </cell>
          <cell r="D122" t="str">
            <v>Ухта</v>
          </cell>
          <cell r="E122">
            <v>41068</v>
          </cell>
          <cell r="F122" t="str">
            <v>Москва</v>
          </cell>
        </row>
        <row r="123">
          <cell r="A123">
            <v>110</v>
          </cell>
          <cell r="B123">
            <v>250</v>
          </cell>
          <cell r="C123" t="str">
            <v>Яговкин Павел/59</v>
          </cell>
          <cell r="D123" t="str">
            <v>Пермь</v>
          </cell>
          <cell r="E123">
            <v>40258</v>
          </cell>
          <cell r="F123" t="str">
            <v>Курск</v>
          </cell>
        </row>
        <row r="124">
          <cell r="A124">
            <v>125</v>
          </cell>
          <cell r="B124">
            <v>265</v>
          </cell>
          <cell r="C124" t="str">
            <v>Яговкин Павел/59</v>
          </cell>
          <cell r="D124" t="str">
            <v>Пермь</v>
          </cell>
          <cell r="E124">
            <v>41321</v>
          </cell>
          <cell r="F124" t="str">
            <v>Екатеринбург</v>
          </cell>
        </row>
        <row r="125">
          <cell r="A125">
            <v>140</v>
          </cell>
          <cell r="B125"/>
          <cell r="C125"/>
          <cell r="D125"/>
          <cell r="E125"/>
          <cell r="F125"/>
        </row>
        <row r="126">
          <cell r="A126" t="str">
            <v>140+</v>
          </cell>
          <cell r="B126"/>
          <cell r="C126"/>
          <cell r="D126"/>
          <cell r="E126"/>
          <cell r="F126"/>
        </row>
        <row r="127">
          <cell r="B127"/>
          <cell r="C127"/>
          <cell r="D127"/>
          <cell r="E127"/>
          <cell r="F127"/>
        </row>
        <row r="128">
          <cell r="B128" t="str">
            <v>МУЖЧИНЫ - МАСТЕРС  4(55 - 59)</v>
          </cell>
        </row>
        <row r="129">
          <cell r="A129">
            <v>52</v>
          </cell>
          <cell r="B129"/>
          <cell r="C129"/>
          <cell r="D129"/>
          <cell r="E129"/>
          <cell r="F129"/>
        </row>
        <row r="130">
          <cell r="A130">
            <v>56</v>
          </cell>
          <cell r="B130"/>
          <cell r="C130"/>
          <cell r="D130"/>
          <cell r="E130"/>
          <cell r="F130"/>
        </row>
        <row r="131">
          <cell r="A131">
            <v>60</v>
          </cell>
          <cell r="B131"/>
          <cell r="C131"/>
          <cell r="D131"/>
          <cell r="E131"/>
          <cell r="F131"/>
        </row>
        <row r="132">
          <cell r="A132">
            <v>67.5</v>
          </cell>
          <cell r="B132"/>
          <cell r="C132"/>
          <cell r="D132"/>
          <cell r="E132"/>
          <cell r="F132"/>
        </row>
        <row r="133">
          <cell r="A133">
            <v>75</v>
          </cell>
          <cell r="B133"/>
          <cell r="C133"/>
          <cell r="D133"/>
          <cell r="E133"/>
          <cell r="F133"/>
        </row>
        <row r="134">
          <cell r="A134">
            <v>82.5</v>
          </cell>
          <cell r="B134"/>
          <cell r="C134"/>
          <cell r="D134"/>
          <cell r="E134"/>
          <cell r="F134"/>
        </row>
        <row r="135">
          <cell r="A135">
            <v>90</v>
          </cell>
          <cell r="B135"/>
          <cell r="C135"/>
          <cell r="D135"/>
          <cell r="E135"/>
          <cell r="F135"/>
        </row>
        <row r="136">
          <cell r="A136">
            <v>100</v>
          </cell>
          <cell r="B136"/>
          <cell r="C136"/>
          <cell r="D136"/>
          <cell r="E136"/>
          <cell r="F136"/>
        </row>
        <row r="137">
          <cell r="A137">
            <v>110</v>
          </cell>
          <cell r="B137">
            <v>215</v>
          </cell>
          <cell r="C137" t="str">
            <v>Егозарян Грачик/52</v>
          </cell>
          <cell r="D137" t="str">
            <v>Волгоград</v>
          </cell>
          <cell r="E137">
            <v>40409</v>
          </cell>
          <cell r="F137" t="str">
            <v>Москва</v>
          </cell>
        </row>
        <row r="138">
          <cell r="A138">
            <v>125</v>
          </cell>
          <cell r="B138"/>
          <cell r="C138"/>
          <cell r="D138"/>
          <cell r="E138"/>
          <cell r="F138"/>
        </row>
        <row r="139">
          <cell r="A139">
            <v>140</v>
          </cell>
          <cell r="B139"/>
          <cell r="C139"/>
          <cell r="D139"/>
          <cell r="E139"/>
          <cell r="F139"/>
        </row>
        <row r="140">
          <cell r="A140" t="str">
            <v>140+</v>
          </cell>
          <cell r="B140"/>
          <cell r="C140"/>
          <cell r="D140"/>
          <cell r="E140"/>
          <cell r="F140"/>
        </row>
        <row r="141">
          <cell r="B141"/>
          <cell r="C141"/>
          <cell r="D141"/>
          <cell r="E141"/>
          <cell r="F141"/>
        </row>
        <row r="142">
          <cell r="B142" t="str">
            <v>МУЖЧИНЫ - МАСТЕРС  5(60 - 64)</v>
          </cell>
        </row>
        <row r="143">
          <cell r="A143">
            <v>52</v>
          </cell>
          <cell r="B143"/>
          <cell r="C143"/>
          <cell r="D143"/>
          <cell r="E143"/>
          <cell r="F143"/>
        </row>
        <row r="144">
          <cell r="A144">
            <v>56</v>
          </cell>
          <cell r="B144"/>
          <cell r="C144"/>
          <cell r="D144"/>
          <cell r="E144"/>
          <cell r="F144"/>
        </row>
        <row r="145">
          <cell r="A145">
            <v>60</v>
          </cell>
          <cell r="B145"/>
          <cell r="C145"/>
          <cell r="D145"/>
          <cell r="E145"/>
          <cell r="F145"/>
        </row>
        <row r="146">
          <cell r="A146">
            <v>67.5</v>
          </cell>
          <cell r="B146"/>
          <cell r="C146"/>
          <cell r="D146"/>
          <cell r="E146"/>
          <cell r="F146"/>
        </row>
        <row r="147">
          <cell r="A147">
            <v>75</v>
          </cell>
          <cell r="B147"/>
          <cell r="C147"/>
          <cell r="D147"/>
          <cell r="E147"/>
          <cell r="F147"/>
        </row>
        <row r="148">
          <cell r="A148">
            <v>82.5</v>
          </cell>
          <cell r="B148"/>
          <cell r="C148"/>
          <cell r="D148"/>
          <cell r="E148"/>
          <cell r="F148"/>
        </row>
        <row r="149">
          <cell r="A149">
            <v>90</v>
          </cell>
          <cell r="B149"/>
          <cell r="C149"/>
          <cell r="D149"/>
          <cell r="E149"/>
          <cell r="F149"/>
        </row>
        <row r="150">
          <cell r="A150">
            <v>100</v>
          </cell>
          <cell r="B150">
            <v>107.5</v>
          </cell>
          <cell r="C150" t="str">
            <v>Макеев Владимир/47</v>
          </cell>
          <cell r="D150" t="str">
            <v xml:space="preserve">Курган </v>
          </cell>
          <cell r="E150">
            <v>40454</v>
          </cell>
          <cell r="F150" t="str">
            <v>Екатеринбург</v>
          </cell>
        </row>
        <row r="151">
          <cell r="A151">
            <v>110</v>
          </cell>
          <cell r="B151"/>
          <cell r="C151"/>
          <cell r="D151"/>
          <cell r="E151"/>
          <cell r="F151"/>
        </row>
        <row r="152">
          <cell r="A152">
            <v>125</v>
          </cell>
          <cell r="B152">
            <v>200</v>
          </cell>
          <cell r="C152" t="str">
            <v>Максимушкин Александр/50</v>
          </cell>
          <cell r="D152" t="str">
            <v>Балахна</v>
          </cell>
          <cell r="E152" t="str">
            <v>23.08.2014</v>
          </cell>
          <cell r="F152" t="str">
            <v>Москва</v>
          </cell>
        </row>
        <row r="153">
          <cell r="A153">
            <v>140</v>
          </cell>
          <cell r="B153"/>
          <cell r="C153"/>
          <cell r="D153"/>
          <cell r="E153"/>
          <cell r="F153"/>
        </row>
        <row r="154">
          <cell r="A154" t="str">
            <v>140+</v>
          </cell>
          <cell r="B154"/>
          <cell r="C154"/>
          <cell r="D154"/>
          <cell r="E154"/>
          <cell r="F154"/>
        </row>
        <row r="155">
          <cell r="B155"/>
          <cell r="C155"/>
          <cell r="D155"/>
          <cell r="E155"/>
          <cell r="F155"/>
        </row>
        <row r="156">
          <cell r="B156" t="str">
            <v>МУЖЧИНЫ - МАСТЕРС  6(65 - 69)</v>
          </cell>
        </row>
        <row r="157">
          <cell r="A157">
            <v>52</v>
          </cell>
          <cell r="B157"/>
          <cell r="C157"/>
          <cell r="D157"/>
          <cell r="E157"/>
          <cell r="F157"/>
        </row>
        <row r="158">
          <cell r="A158">
            <v>56</v>
          </cell>
          <cell r="B158"/>
          <cell r="C158"/>
          <cell r="D158"/>
          <cell r="E158"/>
          <cell r="F158"/>
        </row>
        <row r="159">
          <cell r="A159">
            <v>60</v>
          </cell>
          <cell r="B159"/>
          <cell r="C159"/>
          <cell r="D159"/>
          <cell r="E159"/>
          <cell r="F159"/>
        </row>
        <row r="160">
          <cell r="A160">
            <v>67.5</v>
          </cell>
          <cell r="B160"/>
          <cell r="C160"/>
          <cell r="D160"/>
          <cell r="E160"/>
          <cell r="F160"/>
        </row>
        <row r="161">
          <cell r="A161">
            <v>75</v>
          </cell>
          <cell r="B161">
            <v>145</v>
          </cell>
          <cell r="C161" t="str">
            <v>Петухов Евгений/38</v>
          </cell>
          <cell r="D161" t="str">
            <v>Екатеринбург</v>
          </cell>
          <cell r="E161">
            <v>39123</v>
          </cell>
          <cell r="F161" t="str">
            <v>Челябинск</v>
          </cell>
        </row>
        <row r="162">
          <cell r="A162" t="str">
            <v>82.5</v>
          </cell>
          <cell r="B162">
            <v>112.5</v>
          </cell>
          <cell r="C162" t="str">
            <v>Якушов Вячеслав/41</v>
          </cell>
          <cell r="D162" t="str">
            <v>Курган</v>
          </cell>
          <cell r="E162">
            <v>40454</v>
          </cell>
          <cell r="F162" t="str">
            <v>Екатеринбург</v>
          </cell>
        </row>
        <row r="163">
          <cell r="A163">
            <v>90</v>
          </cell>
          <cell r="B163">
            <v>150</v>
          </cell>
          <cell r="C163" t="str">
            <v>Андрианов Александр/44</v>
          </cell>
          <cell r="D163" t="str">
            <v xml:space="preserve">Ростов </v>
          </cell>
          <cell r="E163">
            <v>41137</v>
          </cell>
          <cell r="F163" t="str">
            <v>Новосибирск</v>
          </cell>
        </row>
        <row r="164">
          <cell r="A164">
            <v>100</v>
          </cell>
          <cell r="B164"/>
          <cell r="C164"/>
          <cell r="D164"/>
          <cell r="E164"/>
          <cell r="F164"/>
        </row>
        <row r="165">
          <cell r="A165">
            <v>110</v>
          </cell>
          <cell r="B165"/>
          <cell r="C165"/>
          <cell r="D165"/>
          <cell r="E165"/>
          <cell r="F165"/>
        </row>
        <row r="166">
          <cell r="A166">
            <v>125</v>
          </cell>
          <cell r="B166"/>
          <cell r="C166"/>
          <cell r="D166"/>
          <cell r="E166"/>
          <cell r="F166"/>
        </row>
        <row r="167">
          <cell r="A167">
            <v>140</v>
          </cell>
          <cell r="B167"/>
          <cell r="C167"/>
          <cell r="D167"/>
          <cell r="E167"/>
          <cell r="F167"/>
        </row>
        <row r="168">
          <cell r="A168" t="str">
            <v>140+</v>
          </cell>
          <cell r="B168"/>
          <cell r="C168"/>
          <cell r="D168"/>
          <cell r="E168"/>
          <cell r="F168"/>
        </row>
        <row r="169">
          <cell r="B169"/>
          <cell r="C169"/>
          <cell r="D169"/>
          <cell r="E169"/>
          <cell r="F169"/>
        </row>
        <row r="170">
          <cell r="B170" t="str">
            <v>МУЖЧИНЫ - МАСТЕРС  7(70 - 74)</v>
          </cell>
        </row>
        <row r="171">
          <cell r="A171">
            <v>52</v>
          </cell>
          <cell r="B171"/>
          <cell r="C171"/>
          <cell r="D171"/>
          <cell r="E171"/>
          <cell r="F171"/>
        </row>
        <row r="172">
          <cell r="A172">
            <v>56</v>
          </cell>
          <cell r="B172"/>
          <cell r="C172"/>
          <cell r="D172"/>
          <cell r="E172"/>
          <cell r="F172"/>
        </row>
        <row r="173">
          <cell r="A173">
            <v>60</v>
          </cell>
          <cell r="B173"/>
          <cell r="C173"/>
          <cell r="D173"/>
          <cell r="E173"/>
          <cell r="F173"/>
        </row>
        <row r="174">
          <cell r="A174" t="str">
            <v>67.5</v>
          </cell>
          <cell r="B174">
            <v>100</v>
          </cell>
          <cell r="C174" t="str">
            <v>Ким Мирон/41</v>
          </cell>
          <cell r="D174" t="str">
            <v>Москва</v>
          </cell>
          <cell r="E174">
            <v>41068</v>
          </cell>
          <cell r="F174" t="str">
            <v>Москва</v>
          </cell>
        </row>
        <row r="175">
          <cell r="A175">
            <v>75</v>
          </cell>
          <cell r="B175"/>
          <cell r="C175"/>
          <cell r="D175"/>
          <cell r="E175"/>
          <cell r="F175"/>
        </row>
        <row r="176">
          <cell r="A176">
            <v>82.5</v>
          </cell>
          <cell r="B176">
            <v>97.5</v>
          </cell>
          <cell r="C176" t="str">
            <v>Санников Владислав/38</v>
          </cell>
          <cell r="D176" t="str">
            <v>Королев</v>
          </cell>
          <cell r="E176">
            <v>41068</v>
          </cell>
          <cell r="F176" t="str">
            <v>Москва</v>
          </cell>
        </row>
        <row r="177">
          <cell r="A177">
            <v>90</v>
          </cell>
          <cell r="B177"/>
          <cell r="C177"/>
          <cell r="D177"/>
          <cell r="E177"/>
          <cell r="F177"/>
        </row>
        <row r="178">
          <cell r="A178">
            <v>100</v>
          </cell>
          <cell r="B178"/>
          <cell r="C178"/>
          <cell r="D178"/>
          <cell r="E178"/>
          <cell r="F178"/>
        </row>
        <row r="179">
          <cell r="A179">
            <v>110</v>
          </cell>
          <cell r="B179"/>
          <cell r="C179"/>
          <cell r="D179"/>
          <cell r="E179"/>
          <cell r="F179"/>
        </row>
        <row r="180">
          <cell r="A180">
            <v>125</v>
          </cell>
          <cell r="B180"/>
          <cell r="C180"/>
          <cell r="D180"/>
          <cell r="E180"/>
          <cell r="F180"/>
        </row>
        <row r="181">
          <cell r="A181">
            <v>140</v>
          </cell>
          <cell r="B181"/>
          <cell r="C181"/>
          <cell r="D181"/>
          <cell r="E181"/>
          <cell r="F181"/>
        </row>
        <row r="182">
          <cell r="A182" t="str">
            <v>140+</v>
          </cell>
          <cell r="B182"/>
          <cell r="C182"/>
          <cell r="D182"/>
          <cell r="E182"/>
          <cell r="F182"/>
        </row>
        <row r="183">
          <cell r="E183"/>
        </row>
        <row r="184">
          <cell r="E184"/>
        </row>
        <row r="185">
          <cell r="E185"/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-Wom"/>
      <sheetName val="BP-Men"/>
    </sheetNames>
    <sheetDataSet>
      <sheetData sheetId="0">
        <row r="1">
          <cell r="B1" t="str">
            <v>Рекорды AWPC- Россия-однослойная экипировка</v>
          </cell>
        </row>
        <row r="2">
          <cell r="B2" t="str">
            <v>ДЕВУШКИ  (13 - 15)</v>
          </cell>
        </row>
        <row r="3">
          <cell r="A3">
            <v>44</v>
          </cell>
          <cell r="B3">
            <v>32.5</v>
          </cell>
          <cell r="C3" t="str">
            <v>Наземнова Ольга/96</v>
          </cell>
          <cell r="D3" t="str">
            <v>Алапаевск</v>
          </cell>
          <cell r="E3">
            <v>40982</v>
          </cell>
          <cell r="F3" t="str">
            <v>Екатеринбург</v>
          </cell>
        </row>
        <row r="4">
          <cell r="A4">
            <v>48</v>
          </cell>
          <cell r="B4">
            <v>87.5</v>
          </cell>
          <cell r="C4" t="str">
            <v>Длужневская  Владислава/2000</v>
          </cell>
          <cell r="D4" t="str">
            <v>Вологда</v>
          </cell>
          <cell r="E4">
            <v>41342</v>
          </cell>
          <cell r="F4" t="str">
            <v>Вологда</v>
          </cell>
        </row>
        <row r="5">
          <cell r="A5">
            <v>52</v>
          </cell>
          <cell r="B5">
            <v>65</v>
          </cell>
          <cell r="C5" t="str">
            <v>Шуклина Анна/99</v>
          </cell>
          <cell r="D5" t="str">
            <v>п.Самоцвет</v>
          </cell>
          <cell r="E5">
            <v>41321</v>
          </cell>
          <cell r="F5" t="str">
            <v>Екатеринбург</v>
          </cell>
        </row>
        <row r="6">
          <cell r="A6">
            <v>56</v>
          </cell>
          <cell r="B6"/>
          <cell r="C6"/>
          <cell r="D6"/>
          <cell r="E6"/>
          <cell r="F6"/>
        </row>
        <row r="7">
          <cell r="A7">
            <v>60</v>
          </cell>
          <cell r="B7"/>
          <cell r="C7"/>
          <cell r="D7"/>
          <cell r="E7"/>
          <cell r="F7"/>
        </row>
        <row r="8">
          <cell r="A8">
            <v>67.5</v>
          </cell>
          <cell r="B8"/>
          <cell r="C8"/>
          <cell r="D8"/>
          <cell r="E8"/>
          <cell r="F8"/>
        </row>
        <row r="9">
          <cell r="A9">
            <v>75</v>
          </cell>
          <cell r="B9"/>
          <cell r="C9"/>
          <cell r="D9"/>
          <cell r="E9"/>
          <cell r="F9"/>
        </row>
        <row r="10">
          <cell r="A10">
            <v>82.5</v>
          </cell>
          <cell r="B10"/>
          <cell r="C10"/>
          <cell r="D10"/>
          <cell r="E10"/>
          <cell r="F10"/>
        </row>
        <row r="11">
          <cell r="A11">
            <v>90</v>
          </cell>
          <cell r="B11"/>
          <cell r="C11"/>
          <cell r="D11"/>
          <cell r="E11"/>
          <cell r="F11"/>
        </row>
        <row r="12">
          <cell r="A12" t="str">
            <v>90+</v>
          </cell>
          <cell r="B12"/>
          <cell r="C12"/>
          <cell r="D12"/>
          <cell r="E12"/>
          <cell r="F12"/>
        </row>
        <row r="13">
          <cell r="A13"/>
          <cell r="B13"/>
          <cell r="C13"/>
          <cell r="D13"/>
          <cell r="E13"/>
          <cell r="F13"/>
        </row>
        <row r="14">
          <cell r="B14" t="str">
            <v>ДЕВУШКИ  (16 - 17)</v>
          </cell>
        </row>
        <row r="15">
          <cell r="A15">
            <v>44</v>
          </cell>
          <cell r="B15">
            <v>45</v>
          </cell>
          <cell r="C15" t="str">
            <v>Наземнова  Ольга/97</v>
          </cell>
          <cell r="D15" t="str">
            <v>п.Самоцвет</v>
          </cell>
          <cell r="E15">
            <v>41321</v>
          </cell>
          <cell r="F15" t="str">
            <v>Екатеринбург</v>
          </cell>
        </row>
        <row r="16">
          <cell r="A16">
            <v>48</v>
          </cell>
          <cell r="B16"/>
          <cell r="C16"/>
          <cell r="D16"/>
          <cell r="F16"/>
        </row>
        <row r="17">
          <cell r="A17">
            <v>52</v>
          </cell>
          <cell r="B17">
            <v>55</v>
          </cell>
          <cell r="C17" t="str">
            <v>Лукина Алена/96</v>
          </cell>
          <cell r="D17" t="str">
            <v>Курск</v>
          </cell>
          <cell r="E17" t="str">
            <v>30.05.2014</v>
          </cell>
          <cell r="F17" t="str">
            <v>Курск</v>
          </cell>
        </row>
        <row r="18">
          <cell r="A18">
            <v>56</v>
          </cell>
          <cell r="B18"/>
          <cell r="C18"/>
          <cell r="D18"/>
          <cell r="E18"/>
          <cell r="F18"/>
        </row>
        <row r="19">
          <cell r="A19">
            <v>60</v>
          </cell>
          <cell r="B19"/>
          <cell r="C19"/>
          <cell r="D19"/>
          <cell r="E19"/>
          <cell r="F19"/>
        </row>
        <row r="20">
          <cell r="A20">
            <v>67.5</v>
          </cell>
          <cell r="B20">
            <v>95</v>
          </cell>
          <cell r="C20" t="str">
            <v>Сафронова Марина/98</v>
          </cell>
          <cell r="D20" t="str">
            <v>Суджа</v>
          </cell>
          <cell r="E20" t="str">
            <v>30.05.2014</v>
          </cell>
          <cell r="F20" t="str">
            <v>Курск</v>
          </cell>
        </row>
        <row r="21">
          <cell r="A21">
            <v>75</v>
          </cell>
          <cell r="B21"/>
          <cell r="C21"/>
          <cell r="D21"/>
          <cell r="E21"/>
          <cell r="F21"/>
        </row>
        <row r="22">
          <cell r="A22">
            <v>82.5</v>
          </cell>
          <cell r="B22"/>
          <cell r="C22"/>
          <cell r="D22"/>
          <cell r="E22"/>
          <cell r="F22"/>
        </row>
        <row r="23">
          <cell r="A23">
            <v>90</v>
          </cell>
          <cell r="B23"/>
          <cell r="C23"/>
          <cell r="D23"/>
          <cell r="E23"/>
          <cell r="F23"/>
        </row>
        <row r="24">
          <cell r="A24" t="str">
            <v>90+</v>
          </cell>
          <cell r="B24"/>
          <cell r="C24"/>
          <cell r="D24"/>
          <cell r="E24"/>
          <cell r="F24"/>
        </row>
        <row r="25">
          <cell r="A25"/>
          <cell r="B25"/>
          <cell r="C25"/>
          <cell r="D25"/>
          <cell r="E25"/>
          <cell r="F25"/>
        </row>
        <row r="26">
          <cell r="B26" t="str">
            <v>ДЕВУШКИ  (18 - 19)</v>
          </cell>
        </row>
        <row r="27">
          <cell r="A27">
            <v>44</v>
          </cell>
          <cell r="B27"/>
          <cell r="C27"/>
          <cell r="D27"/>
          <cell r="E27"/>
          <cell r="F27"/>
        </row>
        <row r="28">
          <cell r="A28">
            <v>48</v>
          </cell>
          <cell r="B28"/>
          <cell r="C28"/>
          <cell r="D28"/>
          <cell r="E28"/>
          <cell r="F28"/>
        </row>
        <row r="29">
          <cell r="A29">
            <v>52</v>
          </cell>
          <cell r="B29"/>
          <cell r="C29"/>
          <cell r="D29"/>
          <cell r="E29"/>
          <cell r="F29"/>
        </row>
        <row r="30">
          <cell r="A30">
            <v>56</v>
          </cell>
          <cell r="B30">
            <v>67.5</v>
          </cell>
          <cell r="C30" t="str">
            <v>Насырова Диляра/96</v>
          </cell>
          <cell r="D30" t="str">
            <v>Зеленодольск</v>
          </cell>
          <cell r="E30" t="str">
            <v>24.08.2014</v>
          </cell>
          <cell r="F30" t="str">
            <v>Москва</v>
          </cell>
        </row>
        <row r="31">
          <cell r="A31">
            <v>60</v>
          </cell>
          <cell r="B31"/>
          <cell r="C31"/>
          <cell r="D31"/>
          <cell r="E31"/>
          <cell r="F31"/>
        </row>
        <row r="32">
          <cell r="A32">
            <v>67.5</v>
          </cell>
          <cell r="B32">
            <v>97.5</v>
          </cell>
          <cell r="C32" t="str">
            <v>Оруджова Лидия/95</v>
          </cell>
          <cell r="D32" t="str">
            <v>Элиста</v>
          </cell>
          <cell r="E32" t="str">
            <v>19.07.2014</v>
          </cell>
          <cell r="F32" t="str">
            <v>Краснодар</v>
          </cell>
        </row>
        <row r="33">
          <cell r="A33">
            <v>75</v>
          </cell>
          <cell r="B33"/>
          <cell r="C33"/>
          <cell r="D33"/>
          <cell r="E33"/>
          <cell r="F33"/>
        </row>
        <row r="34">
          <cell r="A34">
            <v>82.5</v>
          </cell>
          <cell r="B34"/>
          <cell r="C34"/>
          <cell r="D34"/>
          <cell r="E34"/>
          <cell r="F34"/>
        </row>
        <row r="35">
          <cell r="A35">
            <v>90</v>
          </cell>
          <cell r="B35"/>
          <cell r="C35"/>
          <cell r="D35"/>
          <cell r="E35"/>
          <cell r="F35"/>
        </row>
        <row r="36">
          <cell r="A36" t="str">
            <v>90+</v>
          </cell>
          <cell r="B36"/>
          <cell r="C36"/>
          <cell r="D36"/>
          <cell r="E36"/>
          <cell r="F36"/>
        </row>
        <row r="37">
          <cell r="A37"/>
          <cell r="B37"/>
          <cell r="C37"/>
          <cell r="D37"/>
          <cell r="E37"/>
          <cell r="F37"/>
        </row>
        <row r="38">
          <cell r="B38" t="str">
            <v>ЮНИОРКИ  (20 - 23)</v>
          </cell>
        </row>
        <row r="39">
          <cell r="A39">
            <v>44</v>
          </cell>
          <cell r="B39"/>
          <cell r="C39"/>
          <cell r="D39"/>
          <cell r="E39"/>
          <cell r="F39"/>
        </row>
        <row r="40">
          <cell r="A40">
            <v>48</v>
          </cell>
          <cell r="B40">
            <v>65</v>
          </cell>
          <cell r="C40" t="str">
            <v>Огурцова Юлия/90</v>
          </cell>
          <cell r="D40" t="str">
            <v>Курск</v>
          </cell>
          <cell r="E40">
            <v>41497</v>
          </cell>
          <cell r="F40" t="str">
            <v>Курск</v>
          </cell>
        </row>
        <row r="41">
          <cell r="A41">
            <v>52</v>
          </cell>
          <cell r="B41">
            <v>90</v>
          </cell>
          <cell r="C41" t="str">
            <v>Блинкова Наталья/91</v>
          </cell>
          <cell r="D41" t="str">
            <v>Курск</v>
          </cell>
          <cell r="E41">
            <v>41497</v>
          </cell>
          <cell r="F41" t="str">
            <v>Курск</v>
          </cell>
        </row>
        <row r="42">
          <cell r="A42">
            <v>56</v>
          </cell>
          <cell r="B42">
            <v>100</v>
          </cell>
          <cell r="C42" t="str">
            <v>Блинкова Наталья/91</v>
          </cell>
          <cell r="D42" t="str">
            <v>Курск</v>
          </cell>
          <cell r="E42">
            <v>41619</v>
          </cell>
          <cell r="F42" t="str">
            <v>Курск</v>
          </cell>
        </row>
        <row r="43">
          <cell r="A43">
            <v>60</v>
          </cell>
          <cell r="B43"/>
          <cell r="C43"/>
          <cell r="D43"/>
          <cell r="E43"/>
          <cell r="F43"/>
        </row>
        <row r="44">
          <cell r="A44">
            <v>67.5</v>
          </cell>
          <cell r="B44"/>
          <cell r="C44"/>
          <cell r="D44"/>
          <cell r="E44"/>
          <cell r="F44"/>
        </row>
        <row r="45">
          <cell r="A45">
            <v>75</v>
          </cell>
          <cell r="B45"/>
          <cell r="C45"/>
          <cell r="D45"/>
          <cell r="E45"/>
          <cell r="F45"/>
        </row>
        <row r="46">
          <cell r="A46">
            <v>82.5</v>
          </cell>
          <cell r="B46"/>
          <cell r="C46"/>
          <cell r="D46"/>
          <cell r="E46"/>
          <cell r="F46"/>
        </row>
        <row r="47">
          <cell r="A47">
            <v>90</v>
          </cell>
          <cell r="B47"/>
          <cell r="C47"/>
          <cell r="D47"/>
          <cell r="E47"/>
          <cell r="F47"/>
        </row>
        <row r="48">
          <cell r="A48" t="str">
            <v>90+</v>
          </cell>
          <cell r="B48"/>
          <cell r="C48"/>
          <cell r="D48"/>
          <cell r="E48"/>
          <cell r="F48"/>
        </row>
        <row r="49">
          <cell r="A49"/>
          <cell r="B49"/>
          <cell r="C49"/>
          <cell r="D49"/>
          <cell r="E49"/>
          <cell r="F49"/>
        </row>
        <row r="50">
          <cell r="B50" t="str">
            <v>ЖЕНЩИНЫ</v>
          </cell>
        </row>
        <row r="51">
          <cell r="A51">
            <v>44</v>
          </cell>
          <cell r="B51"/>
          <cell r="C51"/>
          <cell r="D51"/>
          <cell r="E51"/>
          <cell r="F51"/>
        </row>
        <row r="52">
          <cell r="A52">
            <v>48</v>
          </cell>
          <cell r="B52">
            <v>87.5</v>
          </cell>
          <cell r="C52" t="str">
            <v>Длужневская  Владислава/2000</v>
          </cell>
          <cell r="D52" t="str">
            <v>Вологда</v>
          </cell>
          <cell r="E52">
            <v>41342</v>
          </cell>
          <cell r="F52" t="str">
            <v>Вологда</v>
          </cell>
        </row>
        <row r="53">
          <cell r="A53">
            <v>52</v>
          </cell>
          <cell r="B53">
            <v>90</v>
          </cell>
          <cell r="C53" t="str">
            <v>Блинкова Наталья/91</v>
          </cell>
          <cell r="D53" t="str">
            <v>Курск</v>
          </cell>
          <cell r="E53">
            <v>41497</v>
          </cell>
          <cell r="F53" t="str">
            <v>Курск</v>
          </cell>
        </row>
        <row r="54">
          <cell r="A54">
            <v>56</v>
          </cell>
          <cell r="B54">
            <v>100</v>
          </cell>
          <cell r="C54" t="str">
            <v>Блинкова Наталья/91</v>
          </cell>
          <cell r="D54" t="str">
            <v>Курск</v>
          </cell>
          <cell r="E54">
            <v>41619</v>
          </cell>
          <cell r="F54" t="str">
            <v>Курск</v>
          </cell>
        </row>
        <row r="55">
          <cell r="A55">
            <v>60</v>
          </cell>
          <cell r="B55">
            <v>105</v>
          </cell>
          <cell r="C55" t="str">
            <v>Баранова Кристина/88</v>
          </cell>
          <cell r="D55" t="str">
            <v>Новосибирск</v>
          </cell>
          <cell r="E55" t="str">
            <v>04.07.2014</v>
          </cell>
          <cell r="F55" t="str">
            <v>Новосибирск</v>
          </cell>
        </row>
        <row r="56">
          <cell r="A56">
            <v>67.5</v>
          </cell>
          <cell r="B56">
            <v>97.5</v>
          </cell>
          <cell r="C56" t="str">
            <v>Оруджова Лидия/95</v>
          </cell>
          <cell r="D56" t="str">
            <v>Элиста</v>
          </cell>
          <cell r="E56" t="str">
            <v>19.07.2014</v>
          </cell>
          <cell r="F56" t="str">
            <v>Краснодар</v>
          </cell>
        </row>
        <row r="57">
          <cell r="A57">
            <v>75</v>
          </cell>
          <cell r="B57">
            <v>55</v>
          </cell>
          <cell r="C57" t="str">
            <v>Мимонова Ольга/89</v>
          </cell>
          <cell r="D57" t="str">
            <v>Курск</v>
          </cell>
          <cell r="E57" t="str">
            <v>30.05.2014</v>
          </cell>
          <cell r="F57" t="str">
            <v>Курск</v>
          </cell>
        </row>
        <row r="58">
          <cell r="A58">
            <v>82.5</v>
          </cell>
          <cell r="B58">
            <v>132.5</v>
          </cell>
          <cell r="C58" t="str">
            <v>Пуговкина Алла/75</v>
          </cell>
          <cell r="D58" t="str">
            <v>Москва</v>
          </cell>
          <cell r="E58" t="str">
            <v>24.08.2014</v>
          </cell>
          <cell r="F58" t="str">
            <v>Москва</v>
          </cell>
        </row>
        <row r="59">
          <cell r="A59">
            <v>90</v>
          </cell>
          <cell r="B59"/>
          <cell r="C59"/>
          <cell r="D59"/>
          <cell r="E59"/>
          <cell r="F59"/>
        </row>
        <row r="60">
          <cell r="A60" t="str">
            <v>90+</v>
          </cell>
          <cell r="B60">
            <v>110</v>
          </cell>
          <cell r="C60" t="str">
            <v>Фролкова Ксения/73</v>
          </cell>
          <cell r="D60"/>
          <cell r="E60">
            <v>41244</v>
          </cell>
          <cell r="F60" t="str">
            <v>Екатеринбург</v>
          </cell>
        </row>
        <row r="61">
          <cell r="A61"/>
          <cell r="B61"/>
          <cell r="C61"/>
          <cell r="D61"/>
          <cell r="E61"/>
          <cell r="F61"/>
        </row>
        <row r="62">
          <cell r="B62" t="str">
            <v>ЖЕНЩИНЫ - САБМАСТЕРС  (33 - 39)</v>
          </cell>
        </row>
        <row r="63">
          <cell r="A63">
            <v>44</v>
          </cell>
          <cell r="B63"/>
          <cell r="C63"/>
          <cell r="D63"/>
          <cell r="E63"/>
          <cell r="F63"/>
        </row>
        <row r="64">
          <cell r="A64">
            <v>48</v>
          </cell>
          <cell r="B64">
            <v>72.5</v>
          </cell>
          <cell r="C64" t="str">
            <v>Вахтерова Юлия/80</v>
          </cell>
          <cell r="D64" t="str">
            <v>Благовещенск</v>
          </cell>
          <cell r="E64" t="str">
            <v>24.08.2014</v>
          </cell>
          <cell r="F64" t="str">
            <v>Москва</v>
          </cell>
        </row>
        <row r="65">
          <cell r="A65">
            <v>52</v>
          </cell>
          <cell r="B65"/>
          <cell r="C65"/>
          <cell r="D65"/>
          <cell r="E65"/>
          <cell r="F65"/>
        </row>
        <row r="66">
          <cell r="A66">
            <v>56</v>
          </cell>
          <cell r="B66">
            <v>65</v>
          </cell>
          <cell r="C66" t="str">
            <v>Рыжих Ольга/79</v>
          </cell>
          <cell r="D66" t="str">
            <v>Курск</v>
          </cell>
          <cell r="E66" t="str">
            <v>30.05.2014</v>
          </cell>
          <cell r="F66" t="str">
            <v>Курск</v>
          </cell>
        </row>
        <row r="67">
          <cell r="A67">
            <v>60</v>
          </cell>
          <cell r="B67"/>
          <cell r="C67"/>
          <cell r="D67"/>
          <cell r="E67"/>
          <cell r="F67"/>
        </row>
        <row r="68">
          <cell r="A68">
            <v>67.5</v>
          </cell>
          <cell r="B68"/>
          <cell r="C68"/>
          <cell r="D68"/>
          <cell r="E68"/>
          <cell r="F68"/>
        </row>
        <row r="69">
          <cell r="A69">
            <v>75</v>
          </cell>
          <cell r="B69"/>
          <cell r="C69"/>
          <cell r="D69"/>
          <cell r="E69"/>
          <cell r="F69"/>
        </row>
        <row r="70">
          <cell r="A70">
            <v>82.5</v>
          </cell>
          <cell r="B70">
            <v>132.5</v>
          </cell>
          <cell r="C70" t="str">
            <v>Пуговкина Алла/75</v>
          </cell>
          <cell r="D70" t="str">
            <v>Москва</v>
          </cell>
          <cell r="E70" t="str">
            <v>24.08.2014</v>
          </cell>
          <cell r="F70" t="str">
            <v>Москва</v>
          </cell>
        </row>
        <row r="71">
          <cell r="A71">
            <v>90</v>
          </cell>
          <cell r="B71"/>
          <cell r="C71"/>
          <cell r="D71"/>
          <cell r="E71"/>
          <cell r="F71"/>
        </row>
        <row r="72">
          <cell r="A72" t="str">
            <v>90+</v>
          </cell>
          <cell r="B72"/>
          <cell r="C72"/>
          <cell r="D72"/>
          <cell r="E72"/>
          <cell r="F72"/>
        </row>
        <row r="73">
          <cell r="A73"/>
          <cell r="B73"/>
          <cell r="C73"/>
          <cell r="D73"/>
          <cell r="E73"/>
          <cell r="F73"/>
        </row>
        <row r="74">
          <cell r="B74" t="str">
            <v>МАСТЕРС - 1(40-44)</v>
          </cell>
        </row>
        <row r="75">
          <cell r="A75">
            <v>44</v>
          </cell>
          <cell r="B75"/>
          <cell r="C75"/>
          <cell r="D75"/>
          <cell r="E75"/>
          <cell r="F75"/>
        </row>
        <row r="76">
          <cell r="A76">
            <v>48</v>
          </cell>
          <cell r="B76"/>
          <cell r="C76"/>
          <cell r="D76"/>
          <cell r="E76"/>
          <cell r="F76"/>
        </row>
        <row r="77">
          <cell r="A77">
            <v>52</v>
          </cell>
          <cell r="B77"/>
          <cell r="C77"/>
          <cell r="D77"/>
          <cell r="E77"/>
          <cell r="F77"/>
        </row>
        <row r="78">
          <cell r="A78">
            <v>56</v>
          </cell>
          <cell r="B78"/>
          <cell r="C78"/>
          <cell r="D78"/>
          <cell r="E78"/>
          <cell r="F78"/>
        </row>
        <row r="79">
          <cell r="A79">
            <v>60</v>
          </cell>
          <cell r="B79"/>
          <cell r="C79"/>
          <cell r="D79"/>
          <cell r="E79"/>
          <cell r="F79"/>
        </row>
        <row r="80">
          <cell r="A80" t="str">
            <v>67.5</v>
          </cell>
          <cell r="B80">
            <v>82.5</v>
          </cell>
          <cell r="C80" t="str">
            <v>Николенко Анна/70</v>
          </cell>
          <cell r="D80" t="str">
            <v>Москва</v>
          </cell>
          <cell r="E80">
            <v>41439</v>
          </cell>
          <cell r="F80" t="str">
            <v>Москва</v>
          </cell>
        </row>
        <row r="81">
          <cell r="A81">
            <v>75</v>
          </cell>
          <cell r="B81"/>
          <cell r="C81"/>
          <cell r="D81"/>
          <cell r="E81"/>
          <cell r="F81"/>
        </row>
        <row r="82">
          <cell r="A82">
            <v>82.5</v>
          </cell>
          <cell r="B82"/>
          <cell r="C82"/>
          <cell r="D82"/>
          <cell r="E82"/>
          <cell r="F82"/>
        </row>
        <row r="83">
          <cell r="A83">
            <v>90</v>
          </cell>
          <cell r="B83"/>
          <cell r="C83"/>
          <cell r="D83"/>
          <cell r="E83"/>
          <cell r="F83"/>
        </row>
        <row r="84">
          <cell r="A84" t="str">
            <v>90+</v>
          </cell>
          <cell r="B84"/>
          <cell r="C84"/>
          <cell r="D84"/>
          <cell r="E84"/>
          <cell r="F84"/>
        </row>
        <row r="85">
          <cell r="A85"/>
          <cell r="B85"/>
          <cell r="C85"/>
          <cell r="D85"/>
          <cell r="E85"/>
          <cell r="F85"/>
        </row>
        <row r="86">
          <cell r="B86" t="str">
            <v>МАСТЕРС -2(45-49)</v>
          </cell>
        </row>
        <row r="87">
          <cell r="A87">
            <v>44</v>
          </cell>
          <cell r="B87"/>
          <cell r="C87"/>
          <cell r="D87"/>
          <cell r="E87"/>
          <cell r="F87"/>
        </row>
        <row r="88">
          <cell r="A88">
            <v>48</v>
          </cell>
          <cell r="B88">
            <v>65</v>
          </cell>
          <cell r="C88" t="str">
            <v>Мариева Наталья/68</v>
          </cell>
          <cell r="D88" t="str">
            <v>Дмитров</v>
          </cell>
          <cell r="E88" t="str">
            <v>30.05.2014</v>
          </cell>
          <cell r="F88" t="str">
            <v>Курск</v>
          </cell>
        </row>
        <row r="89">
          <cell r="A89">
            <v>52</v>
          </cell>
          <cell r="B89"/>
          <cell r="C89"/>
          <cell r="D89"/>
          <cell r="E89"/>
          <cell r="F89"/>
        </row>
        <row r="90">
          <cell r="A90">
            <v>56</v>
          </cell>
          <cell r="B90"/>
          <cell r="C90"/>
          <cell r="D90"/>
          <cell r="E90"/>
          <cell r="F90"/>
        </row>
        <row r="91">
          <cell r="A91">
            <v>60</v>
          </cell>
          <cell r="B91"/>
          <cell r="C91"/>
          <cell r="D91"/>
          <cell r="E91"/>
          <cell r="F91"/>
        </row>
        <row r="92">
          <cell r="A92" t="str">
            <v>67.5</v>
          </cell>
          <cell r="B92"/>
          <cell r="C92"/>
          <cell r="D92"/>
          <cell r="E92"/>
          <cell r="F92"/>
        </row>
        <row r="93">
          <cell r="A93">
            <v>75</v>
          </cell>
          <cell r="B93"/>
          <cell r="C93"/>
          <cell r="D93"/>
          <cell r="E93"/>
          <cell r="F93"/>
        </row>
        <row r="94">
          <cell r="A94">
            <v>82.5</v>
          </cell>
          <cell r="B94"/>
          <cell r="C94"/>
          <cell r="D94"/>
          <cell r="E94"/>
          <cell r="F94"/>
        </row>
        <row r="95">
          <cell r="A95">
            <v>90</v>
          </cell>
          <cell r="B95"/>
          <cell r="C95"/>
          <cell r="D95"/>
          <cell r="E95"/>
          <cell r="F95"/>
        </row>
        <row r="96">
          <cell r="A96" t="str">
            <v>90+</v>
          </cell>
          <cell r="B96"/>
          <cell r="C96"/>
          <cell r="D96"/>
          <cell r="E96"/>
          <cell r="F96"/>
        </row>
        <row r="97">
          <cell r="A97"/>
          <cell r="B97" t="str">
            <v>МАСТЕРС -3(50-54)</v>
          </cell>
          <cell r="C97"/>
          <cell r="D97"/>
          <cell r="E97"/>
          <cell r="F97"/>
        </row>
        <row r="98">
          <cell r="A98">
            <v>44</v>
          </cell>
          <cell r="B98"/>
          <cell r="C98"/>
          <cell r="D98"/>
          <cell r="E98"/>
          <cell r="F98"/>
        </row>
        <row r="99">
          <cell r="A99">
            <v>48</v>
          </cell>
          <cell r="B99"/>
          <cell r="C99"/>
          <cell r="D99"/>
          <cell r="E99"/>
          <cell r="F99"/>
        </row>
        <row r="100">
          <cell r="A100">
            <v>52</v>
          </cell>
          <cell r="B100"/>
          <cell r="C100"/>
          <cell r="D100"/>
          <cell r="E100"/>
          <cell r="F100"/>
        </row>
        <row r="101">
          <cell r="A101">
            <v>56</v>
          </cell>
          <cell r="B101"/>
          <cell r="C101"/>
          <cell r="D101"/>
          <cell r="E101"/>
          <cell r="F101"/>
        </row>
        <row r="102">
          <cell r="A102">
            <v>60</v>
          </cell>
          <cell r="B102"/>
          <cell r="C102"/>
          <cell r="D102"/>
          <cell r="E102"/>
          <cell r="F102"/>
        </row>
        <row r="103">
          <cell r="A103" t="str">
            <v>67.5</v>
          </cell>
          <cell r="B103"/>
          <cell r="C103"/>
          <cell r="D103"/>
          <cell r="E103"/>
          <cell r="F103"/>
        </row>
        <row r="104">
          <cell r="A104">
            <v>75</v>
          </cell>
          <cell r="B104"/>
          <cell r="C104"/>
          <cell r="D104"/>
          <cell r="E104"/>
          <cell r="F104"/>
        </row>
        <row r="105">
          <cell r="A105">
            <v>82.5</v>
          </cell>
          <cell r="B105"/>
          <cell r="C105"/>
          <cell r="D105"/>
          <cell r="E105"/>
          <cell r="F105"/>
        </row>
        <row r="106">
          <cell r="A106">
            <v>90</v>
          </cell>
          <cell r="B106"/>
          <cell r="C106"/>
          <cell r="D106"/>
          <cell r="E106"/>
          <cell r="F106"/>
        </row>
        <row r="107">
          <cell r="A107" t="str">
            <v>90+</v>
          </cell>
          <cell r="B107"/>
          <cell r="C107"/>
          <cell r="D107"/>
          <cell r="E107"/>
          <cell r="F107"/>
        </row>
      </sheetData>
      <sheetData sheetId="1">
        <row r="1">
          <cell r="B1" t="str">
            <v>Рекорды AWPC - Россия-однослойная экипировка</v>
          </cell>
        </row>
        <row r="2">
          <cell r="B2" t="str">
            <v>ЮНОШИ  (13 - 15)</v>
          </cell>
        </row>
        <row r="3">
          <cell r="A3">
            <v>52</v>
          </cell>
          <cell r="B3">
            <v>70</v>
          </cell>
          <cell r="C3" t="str">
            <v>Мамаев Максим/97</v>
          </cell>
          <cell r="D3" t="str">
            <v>Ростов</v>
          </cell>
          <cell r="E3">
            <v>41497</v>
          </cell>
          <cell r="F3" t="str">
            <v>Курск</v>
          </cell>
        </row>
        <row r="4">
          <cell r="A4">
            <v>56</v>
          </cell>
          <cell r="B4"/>
          <cell r="C4"/>
          <cell r="D4"/>
          <cell r="E4"/>
          <cell r="F4"/>
        </row>
        <row r="5">
          <cell r="A5">
            <v>60</v>
          </cell>
          <cell r="B5">
            <v>100</v>
          </cell>
          <cell r="C5" t="str">
            <v>Кусочкин Вячеслав/97</v>
          </cell>
          <cell r="D5" t="str">
            <v>Аша</v>
          </cell>
          <cell r="E5">
            <v>41321</v>
          </cell>
          <cell r="F5" t="str">
            <v>Екатеринбург</v>
          </cell>
        </row>
        <row r="6">
          <cell r="A6" t="str">
            <v>67.5</v>
          </cell>
          <cell r="B6">
            <v>132.5</v>
          </cell>
          <cell r="C6" t="str">
            <v>Манджавидзе Борис/97</v>
          </cell>
          <cell r="D6" t="str">
            <v>Константиновск</v>
          </cell>
          <cell r="E6">
            <v>41439</v>
          </cell>
          <cell r="F6" t="str">
            <v>Москва</v>
          </cell>
        </row>
        <row r="7">
          <cell r="A7">
            <v>75</v>
          </cell>
          <cell r="B7">
            <v>120</v>
          </cell>
          <cell r="C7" t="str">
            <v>Кувшинов Илья/99</v>
          </cell>
          <cell r="D7" t="str">
            <v>Москва</v>
          </cell>
          <cell r="E7" t="str">
            <v>24.08.2014</v>
          </cell>
          <cell r="F7" t="str">
            <v>Москва</v>
          </cell>
        </row>
        <row r="8">
          <cell r="A8">
            <v>82.5</v>
          </cell>
          <cell r="B8">
            <v>130</v>
          </cell>
          <cell r="C8" t="str">
            <v>Зазулин Никита/98</v>
          </cell>
          <cell r="D8" t="str">
            <v>Нефтекамск</v>
          </cell>
          <cell r="E8" t="str">
            <v>08.02.2014</v>
          </cell>
          <cell r="F8" t="str">
            <v>Екатеринбург</v>
          </cell>
        </row>
        <row r="9">
          <cell r="A9">
            <v>90</v>
          </cell>
          <cell r="B9"/>
          <cell r="C9"/>
          <cell r="D9"/>
          <cell r="E9"/>
          <cell r="F9"/>
        </row>
        <row r="10">
          <cell r="A10">
            <v>100</v>
          </cell>
          <cell r="B10"/>
          <cell r="C10"/>
          <cell r="D10"/>
          <cell r="E10"/>
          <cell r="F10"/>
        </row>
        <row r="11">
          <cell r="A11">
            <v>110</v>
          </cell>
          <cell r="B11"/>
          <cell r="C11"/>
          <cell r="D11"/>
          <cell r="E11"/>
          <cell r="F11"/>
        </row>
        <row r="12">
          <cell r="A12">
            <v>125</v>
          </cell>
          <cell r="B12"/>
          <cell r="C12"/>
          <cell r="D12"/>
          <cell r="E12"/>
          <cell r="F12"/>
        </row>
        <row r="13">
          <cell r="A13">
            <v>140</v>
          </cell>
          <cell r="B13"/>
          <cell r="C13"/>
          <cell r="D13"/>
          <cell r="E13"/>
          <cell r="F13"/>
        </row>
        <row r="14">
          <cell r="A14" t="str">
            <v>140+</v>
          </cell>
          <cell r="B14"/>
          <cell r="C14"/>
          <cell r="D14"/>
          <cell r="E14"/>
          <cell r="F14"/>
        </row>
        <row r="15">
          <cell r="B15"/>
          <cell r="C15"/>
          <cell r="D15"/>
          <cell r="E15"/>
          <cell r="F15"/>
        </row>
        <row r="16">
          <cell r="B16" t="str">
            <v>ЮНОШИ  (16 - 17)</v>
          </cell>
        </row>
        <row r="17">
          <cell r="A17">
            <v>52</v>
          </cell>
          <cell r="B17">
            <v>87.5</v>
          </cell>
          <cell r="C17" t="str">
            <v>Поляков Максим/95</v>
          </cell>
          <cell r="D17" t="str">
            <v>Новосибирск</v>
          </cell>
          <cell r="E17">
            <v>40982</v>
          </cell>
          <cell r="F17" t="str">
            <v>Екатеринбург</v>
          </cell>
        </row>
        <row r="18">
          <cell r="A18">
            <v>56</v>
          </cell>
          <cell r="B18">
            <v>100</v>
          </cell>
          <cell r="C18" t="str">
            <v>Борзенков Максим/96</v>
          </cell>
          <cell r="D18" t="str">
            <v>Курск</v>
          </cell>
          <cell r="E18" t="str">
            <v>30.05.2014</v>
          </cell>
          <cell r="F18" t="str">
            <v>Курск</v>
          </cell>
        </row>
        <row r="19">
          <cell r="A19">
            <v>60</v>
          </cell>
          <cell r="B19">
            <v>145</v>
          </cell>
          <cell r="C19" t="str">
            <v>Телегин Никита/95</v>
          </cell>
          <cell r="D19" t="str">
            <v>Алапаевск</v>
          </cell>
          <cell r="E19">
            <v>40982</v>
          </cell>
          <cell r="F19" t="str">
            <v>Екатеринбург</v>
          </cell>
        </row>
        <row r="20">
          <cell r="A20" t="str">
            <v>67.5</v>
          </cell>
          <cell r="B20">
            <v>137.5</v>
          </cell>
          <cell r="C20" t="str">
            <v>Тонкоглаз Владимир/96</v>
          </cell>
          <cell r="D20" t="str">
            <v>Волгоград</v>
          </cell>
          <cell r="E20">
            <v>41439</v>
          </cell>
          <cell r="F20" t="str">
            <v>Москва</v>
          </cell>
        </row>
        <row r="21">
          <cell r="A21">
            <v>75</v>
          </cell>
          <cell r="B21">
            <v>147.5</v>
          </cell>
          <cell r="C21" t="str">
            <v>Кусочкин Вячеслав/97</v>
          </cell>
          <cell r="D21" t="str">
            <v>Аша</v>
          </cell>
          <cell r="E21" t="str">
            <v>08.02.2014</v>
          </cell>
          <cell r="F21" t="str">
            <v>Екатеринбург</v>
          </cell>
        </row>
        <row r="22">
          <cell r="A22" t="str">
            <v>82.5</v>
          </cell>
          <cell r="B22">
            <v>127.5</v>
          </cell>
          <cell r="C22" t="str">
            <v>Копытов Александр/96</v>
          </cell>
          <cell r="D22" t="str">
            <v>Михайловск</v>
          </cell>
          <cell r="E22">
            <v>41321</v>
          </cell>
          <cell r="F22" t="str">
            <v>Екатеринбург</v>
          </cell>
        </row>
        <row r="23">
          <cell r="A23">
            <v>90</v>
          </cell>
          <cell r="B23"/>
          <cell r="C23"/>
          <cell r="D23"/>
          <cell r="E23"/>
          <cell r="F23"/>
        </row>
        <row r="24">
          <cell r="A24">
            <v>100</v>
          </cell>
          <cell r="B24"/>
          <cell r="C24"/>
          <cell r="D24"/>
          <cell r="E24"/>
          <cell r="F24"/>
        </row>
        <row r="25">
          <cell r="A25">
            <v>110</v>
          </cell>
          <cell r="B25"/>
          <cell r="C25"/>
          <cell r="D25"/>
          <cell r="E25"/>
          <cell r="F25"/>
        </row>
        <row r="26">
          <cell r="A26">
            <v>125</v>
          </cell>
          <cell r="B26"/>
          <cell r="C26"/>
          <cell r="D26"/>
          <cell r="E26"/>
          <cell r="F26"/>
        </row>
        <row r="27">
          <cell r="A27">
            <v>140</v>
          </cell>
          <cell r="B27"/>
          <cell r="C27"/>
          <cell r="D27"/>
          <cell r="E27"/>
          <cell r="F27"/>
        </row>
        <row r="28">
          <cell r="A28" t="str">
            <v>140+</v>
          </cell>
          <cell r="B28"/>
          <cell r="C28"/>
          <cell r="D28"/>
          <cell r="E28"/>
          <cell r="F28"/>
        </row>
        <row r="29">
          <cell r="B29"/>
          <cell r="C29"/>
          <cell r="D29"/>
          <cell r="E29"/>
          <cell r="F29"/>
        </row>
        <row r="30">
          <cell r="B30" t="str">
            <v>ЮНОШИ  (18 - 19)</v>
          </cell>
        </row>
        <row r="31">
          <cell r="A31">
            <v>52</v>
          </cell>
          <cell r="B31"/>
          <cell r="C31"/>
          <cell r="D31"/>
          <cell r="E31"/>
          <cell r="F31"/>
        </row>
        <row r="32">
          <cell r="A32">
            <v>56</v>
          </cell>
          <cell r="B32"/>
          <cell r="C32"/>
          <cell r="D32"/>
          <cell r="E32"/>
          <cell r="F32"/>
        </row>
        <row r="33">
          <cell r="A33">
            <v>60</v>
          </cell>
          <cell r="B33">
            <v>145</v>
          </cell>
          <cell r="C33" t="str">
            <v>Телегин Никита/95</v>
          </cell>
          <cell r="D33" t="str">
            <v>Алапаевск</v>
          </cell>
          <cell r="E33">
            <v>40982</v>
          </cell>
          <cell r="F33" t="str">
            <v>Екатеринбург</v>
          </cell>
        </row>
        <row r="34">
          <cell r="A34" t="str">
            <v>67.5</v>
          </cell>
          <cell r="B34">
            <v>152.5</v>
          </cell>
          <cell r="C34" t="str">
            <v>Клягин Иван/92</v>
          </cell>
          <cell r="D34" t="str">
            <v>Екатеринбург</v>
          </cell>
          <cell r="E34">
            <v>41244</v>
          </cell>
          <cell r="F34" t="str">
            <v>Екатеринбург</v>
          </cell>
        </row>
        <row r="35">
          <cell r="A35">
            <v>75</v>
          </cell>
          <cell r="B35">
            <v>175</v>
          </cell>
          <cell r="C35" t="str">
            <v>Медведев Ярослав/93</v>
          </cell>
          <cell r="D35" t="str">
            <v>Вологда</v>
          </cell>
          <cell r="E35">
            <v>41222</v>
          </cell>
          <cell r="F35" t="str">
            <v>Вологда</v>
          </cell>
        </row>
        <row r="36">
          <cell r="A36" t="str">
            <v>82.5</v>
          </cell>
          <cell r="B36">
            <v>170</v>
          </cell>
          <cell r="C36" t="str">
            <v>Карапетян Артуш/91</v>
          </cell>
          <cell r="D36" t="str">
            <v>Екатеринбург</v>
          </cell>
          <cell r="E36">
            <v>41244</v>
          </cell>
          <cell r="F36" t="str">
            <v>Екатеринбург</v>
          </cell>
        </row>
        <row r="37">
          <cell r="A37">
            <v>90</v>
          </cell>
          <cell r="B37"/>
          <cell r="C37"/>
          <cell r="D37"/>
          <cell r="E37"/>
          <cell r="F37"/>
        </row>
        <row r="38">
          <cell r="A38">
            <v>100</v>
          </cell>
          <cell r="B38">
            <v>170</v>
          </cell>
          <cell r="C38" t="str">
            <v>Шатный Кирилл/94</v>
          </cell>
          <cell r="D38" t="str">
            <v>Екатеринбург</v>
          </cell>
          <cell r="E38" t="str">
            <v>08.02.2014</v>
          </cell>
          <cell r="F38" t="str">
            <v>Екатеринбург</v>
          </cell>
        </row>
        <row r="39">
          <cell r="A39">
            <v>110</v>
          </cell>
          <cell r="B39">
            <v>210</v>
          </cell>
          <cell r="C39" t="str">
            <v>Киселев Сергей/95</v>
          </cell>
          <cell r="D39" t="str">
            <v>Москва</v>
          </cell>
          <cell r="E39" t="str">
            <v>30.05.2014</v>
          </cell>
          <cell r="F39" t="str">
            <v xml:space="preserve">Курск </v>
          </cell>
        </row>
        <row r="40">
          <cell r="A40">
            <v>125</v>
          </cell>
          <cell r="B40"/>
          <cell r="C40"/>
          <cell r="D40"/>
          <cell r="E40"/>
          <cell r="F40"/>
        </row>
        <row r="41">
          <cell r="A41">
            <v>140</v>
          </cell>
          <cell r="B41"/>
          <cell r="C41"/>
          <cell r="D41"/>
          <cell r="E41"/>
          <cell r="F41"/>
        </row>
        <row r="42">
          <cell r="A42" t="str">
            <v>140+</v>
          </cell>
          <cell r="B42"/>
          <cell r="C42"/>
          <cell r="D42"/>
          <cell r="E42"/>
          <cell r="F42"/>
        </row>
        <row r="43">
          <cell r="B43"/>
          <cell r="C43"/>
          <cell r="D43"/>
          <cell r="E43"/>
          <cell r="F43"/>
        </row>
        <row r="44">
          <cell r="B44" t="str">
            <v>ЮНИОРЫ  (20 - 23)</v>
          </cell>
        </row>
        <row r="45">
          <cell r="A45">
            <v>52</v>
          </cell>
          <cell r="B45">
            <v>127.5</v>
          </cell>
          <cell r="C45" t="str">
            <v>Сокушев Вадим/90</v>
          </cell>
          <cell r="D45" t="str">
            <v>Новосибирск</v>
          </cell>
          <cell r="E45">
            <v>41502</v>
          </cell>
          <cell r="F45" t="str">
            <v>Новосибирск</v>
          </cell>
        </row>
        <row r="46">
          <cell r="A46">
            <v>56</v>
          </cell>
          <cell r="B46"/>
          <cell r="C46"/>
          <cell r="D46"/>
          <cell r="E46"/>
          <cell r="F46"/>
        </row>
        <row r="47">
          <cell r="A47">
            <v>60</v>
          </cell>
          <cell r="B47"/>
          <cell r="C47"/>
          <cell r="D47"/>
          <cell r="E47"/>
          <cell r="F47"/>
        </row>
        <row r="48">
          <cell r="A48" t="str">
            <v>67.5</v>
          </cell>
          <cell r="B48">
            <v>152.5</v>
          </cell>
          <cell r="C48" t="str">
            <v>Клягин Иван/92</v>
          </cell>
          <cell r="D48" t="str">
            <v>Екатеринбург</v>
          </cell>
          <cell r="E48">
            <v>41244</v>
          </cell>
          <cell r="F48" t="str">
            <v>Екатеринбург</v>
          </cell>
        </row>
        <row r="49">
          <cell r="A49">
            <v>75</v>
          </cell>
          <cell r="B49">
            <v>197.5</v>
          </cell>
          <cell r="C49" t="str">
            <v>Березов Вадим/90</v>
          </cell>
          <cell r="D49" t="str">
            <v>Новосибирск</v>
          </cell>
          <cell r="E49">
            <v>41502</v>
          </cell>
          <cell r="F49" t="str">
            <v>Новосибирск</v>
          </cell>
        </row>
        <row r="50">
          <cell r="A50" t="str">
            <v>82.5</v>
          </cell>
          <cell r="B50">
            <v>170</v>
          </cell>
          <cell r="C50" t="str">
            <v>Карапетян Артуш/91</v>
          </cell>
          <cell r="D50" t="str">
            <v>Екатеринбург</v>
          </cell>
          <cell r="E50">
            <v>41244</v>
          </cell>
          <cell r="F50" t="str">
            <v>Екатеринбург</v>
          </cell>
        </row>
        <row r="51">
          <cell r="A51">
            <v>90</v>
          </cell>
          <cell r="B51">
            <v>225</v>
          </cell>
          <cell r="C51" t="str">
            <v>Якушевич Алексей/91</v>
          </cell>
          <cell r="D51" t="str">
            <v>Мончегорск</v>
          </cell>
          <cell r="E51">
            <v>41497</v>
          </cell>
          <cell r="F51" t="str">
            <v>Курск</v>
          </cell>
        </row>
        <row r="52">
          <cell r="A52">
            <v>100</v>
          </cell>
          <cell r="B52">
            <v>202.5</v>
          </cell>
          <cell r="C52" t="str">
            <v>Легчилин Роман/91</v>
          </cell>
          <cell r="D52" t="str">
            <v>Кронштадт</v>
          </cell>
          <cell r="E52">
            <v>41720</v>
          </cell>
          <cell r="F52" t="str">
            <v>Вологда</v>
          </cell>
        </row>
        <row r="53">
          <cell r="A53">
            <v>110</v>
          </cell>
          <cell r="B53">
            <v>227.5</v>
          </cell>
          <cell r="C53" t="str">
            <v>Федосеев Кирилл/92</v>
          </cell>
          <cell r="D53" t="str">
            <v>с.Варна</v>
          </cell>
          <cell r="E53">
            <v>41608</v>
          </cell>
          <cell r="F53" t="str">
            <v>Екатеринбург</v>
          </cell>
        </row>
        <row r="54">
          <cell r="A54">
            <v>125</v>
          </cell>
          <cell r="B54"/>
          <cell r="C54"/>
          <cell r="D54"/>
          <cell r="E54"/>
          <cell r="F54"/>
        </row>
        <row r="55">
          <cell r="A55">
            <v>140</v>
          </cell>
          <cell r="B55"/>
          <cell r="C55"/>
          <cell r="D55"/>
          <cell r="E55"/>
          <cell r="F55"/>
        </row>
        <row r="56">
          <cell r="A56" t="str">
            <v>140+</v>
          </cell>
          <cell r="B56"/>
          <cell r="C56"/>
          <cell r="D56"/>
          <cell r="E56"/>
          <cell r="F56"/>
        </row>
        <row r="57">
          <cell r="B57"/>
          <cell r="C57"/>
          <cell r="D57"/>
          <cell r="E57"/>
          <cell r="F57"/>
        </row>
        <row r="58">
          <cell r="B58" t="str">
            <v>МУЖЧИНЫ</v>
          </cell>
        </row>
        <row r="59">
          <cell r="A59">
            <v>52</v>
          </cell>
          <cell r="B59">
            <v>130</v>
          </cell>
          <cell r="C59" t="str">
            <v>Сокушев Вадим/90</v>
          </cell>
          <cell r="D59" t="str">
            <v>Новосибирск</v>
          </cell>
          <cell r="E59" t="str">
            <v>04.07.2014</v>
          </cell>
          <cell r="F59" t="str">
            <v>Новосибирск</v>
          </cell>
        </row>
        <row r="60">
          <cell r="A60">
            <v>56</v>
          </cell>
          <cell r="B60">
            <v>100</v>
          </cell>
          <cell r="C60" t="str">
            <v>Борзенков Максим/96</v>
          </cell>
          <cell r="D60" t="str">
            <v>Курск</v>
          </cell>
          <cell r="E60" t="str">
            <v>30.05.2014</v>
          </cell>
          <cell r="F60" t="str">
            <v>Курск</v>
          </cell>
        </row>
        <row r="61">
          <cell r="A61">
            <v>60</v>
          </cell>
          <cell r="B61">
            <v>125</v>
          </cell>
          <cell r="C61" t="str">
            <v>Федоров Александр/76</v>
          </cell>
          <cell r="D61" t="str">
            <v>п.Шатурторф</v>
          </cell>
          <cell r="E61">
            <v>41257</v>
          </cell>
          <cell r="F61" t="str">
            <v>Суздаль</v>
          </cell>
        </row>
        <row r="62">
          <cell r="A62" t="str">
            <v>67.5</v>
          </cell>
          <cell r="B62">
            <v>200.5</v>
          </cell>
          <cell r="C62" t="str">
            <v xml:space="preserve">Суфиянов Айрат/84 </v>
          </cell>
          <cell r="D62" t="str">
            <v>Нефтекамск</v>
          </cell>
          <cell r="E62" t="str">
            <v>24.08.2014</v>
          </cell>
          <cell r="F62" t="str">
            <v>Москва</v>
          </cell>
        </row>
        <row r="63">
          <cell r="A63">
            <v>75</v>
          </cell>
          <cell r="B63">
            <v>232.5</v>
          </cell>
          <cell r="C63" t="str">
            <v>Соколов Николай/79</v>
          </cell>
          <cell r="D63" t="str">
            <v>Одинцово</v>
          </cell>
          <cell r="E63" t="str">
            <v>24.08.2014</v>
          </cell>
          <cell r="F63" t="str">
            <v>Москва</v>
          </cell>
        </row>
        <row r="64">
          <cell r="A64" t="str">
            <v>82.5</v>
          </cell>
          <cell r="B64">
            <v>222.5</v>
          </cell>
          <cell r="C64" t="str">
            <v>Тишковский Владимир/86</v>
          </cell>
          <cell r="D64" t="str">
            <v>Светлый Яр</v>
          </cell>
          <cell r="E64" t="str">
            <v>24.08.2014</v>
          </cell>
          <cell r="F64" t="str">
            <v>Москва</v>
          </cell>
        </row>
        <row r="65">
          <cell r="A65">
            <v>90</v>
          </cell>
          <cell r="B65">
            <v>245</v>
          </cell>
          <cell r="C65" t="str">
            <v>Винниченко Сергей/74</v>
          </cell>
          <cell r="D65" t="str">
            <v>Туарсе</v>
          </cell>
          <cell r="E65" t="str">
            <v>24.08.2014</v>
          </cell>
          <cell r="F65" t="str">
            <v>Москва</v>
          </cell>
        </row>
        <row r="66">
          <cell r="A66">
            <v>100</v>
          </cell>
          <cell r="B66">
            <v>292.5</v>
          </cell>
          <cell r="C66" t="str">
            <v>Абдуллин Марат/85</v>
          </cell>
          <cell r="D66" t="str">
            <v>Москва</v>
          </cell>
          <cell r="E66" t="str">
            <v>24.08.2014</v>
          </cell>
          <cell r="F66" t="str">
            <v>Москва</v>
          </cell>
        </row>
        <row r="67">
          <cell r="A67">
            <v>110</v>
          </cell>
          <cell r="B67">
            <v>282.5</v>
          </cell>
          <cell r="C67" t="str">
            <v>Кузнецов Константин/72</v>
          </cell>
          <cell r="D67" t="str">
            <v>Екатеринбург</v>
          </cell>
          <cell r="E67">
            <v>41608</v>
          </cell>
          <cell r="F67" t="str">
            <v>Екатеринбург</v>
          </cell>
        </row>
        <row r="68">
          <cell r="A68">
            <v>125</v>
          </cell>
          <cell r="B68">
            <v>260</v>
          </cell>
          <cell r="C68" t="str">
            <v>Жуков Андрей/76</v>
          </cell>
          <cell r="D68" t="str">
            <v>Петрозаводск</v>
          </cell>
          <cell r="E68">
            <v>41222</v>
          </cell>
          <cell r="F68" t="str">
            <v>Вологда</v>
          </cell>
        </row>
        <row r="69">
          <cell r="A69">
            <v>140</v>
          </cell>
          <cell r="B69">
            <v>300</v>
          </cell>
          <cell r="C69" t="str">
            <v>Колесниченко Сергей/79</v>
          </cell>
          <cell r="D69" t="str">
            <v>Екатеринбург</v>
          </cell>
          <cell r="E69" t="str">
            <v>09.08.2014</v>
          </cell>
          <cell r="F69" t="str">
            <v>Екатеринбург</v>
          </cell>
        </row>
        <row r="70">
          <cell r="A70" t="str">
            <v>140+</v>
          </cell>
          <cell r="B70">
            <v>270</v>
          </cell>
          <cell r="C70" t="str">
            <v>Бергерт Лев/66</v>
          </cell>
          <cell r="D70" t="str">
            <v>Заволжье</v>
          </cell>
          <cell r="E70" t="str">
            <v>24.08.2014</v>
          </cell>
          <cell r="F70" t="str">
            <v>Москва</v>
          </cell>
        </row>
        <row r="71">
          <cell r="B71"/>
          <cell r="C71"/>
          <cell r="D71"/>
          <cell r="E71"/>
          <cell r="F71"/>
        </row>
        <row r="72">
          <cell r="B72" t="str">
            <v>МУЖЧИНЫ - САБМАСТЕРС  (33 - 39)</v>
          </cell>
        </row>
        <row r="73">
          <cell r="A73">
            <v>52</v>
          </cell>
          <cell r="B73"/>
          <cell r="C73"/>
          <cell r="D73"/>
          <cell r="E73"/>
          <cell r="F73"/>
        </row>
        <row r="74">
          <cell r="A74">
            <v>56</v>
          </cell>
          <cell r="B74"/>
          <cell r="C74"/>
          <cell r="D74"/>
          <cell r="E74"/>
          <cell r="F74"/>
        </row>
        <row r="75">
          <cell r="A75">
            <v>60</v>
          </cell>
          <cell r="B75">
            <v>125</v>
          </cell>
          <cell r="C75" t="str">
            <v>Федоров Александр/76</v>
          </cell>
          <cell r="D75" t="str">
            <v>п.Шатурторф</v>
          </cell>
          <cell r="E75">
            <v>41257</v>
          </cell>
          <cell r="F75" t="str">
            <v>Суздаль</v>
          </cell>
        </row>
        <row r="76">
          <cell r="A76" t="str">
            <v>67.5</v>
          </cell>
          <cell r="B76">
            <v>157.5</v>
          </cell>
          <cell r="C76" t="str">
            <v>Лысяков Сергей/80</v>
          </cell>
          <cell r="D76" t="str">
            <v>Екатеринбург</v>
          </cell>
          <cell r="E76" t="str">
            <v>09.08.2014</v>
          </cell>
          <cell r="F76" t="str">
            <v>Екатеринбург</v>
          </cell>
        </row>
        <row r="77">
          <cell r="A77">
            <v>75</v>
          </cell>
          <cell r="B77">
            <v>232.5</v>
          </cell>
          <cell r="C77" t="str">
            <v>Соколов Николай/79</v>
          </cell>
          <cell r="D77" t="str">
            <v>Одинцово</v>
          </cell>
          <cell r="E77" t="str">
            <v>24.08.2014</v>
          </cell>
          <cell r="F77" t="str">
            <v>Москва</v>
          </cell>
        </row>
        <row r="78">
          <cell r="A78" t="str">
            <v>82.5</v>
          </cell>
          <cell r="B78">
            <v>220</v>
          </cell>
          <cell r="C78" t="str">
            <v>Хачатурян Армен/78</v>
          </cell>
          <cell r="D78" t="str">
            <v>Туапсе</v>
          </cell>
          <cell r="E78" t="str">
            <v>24.08.2014</v>
          </cell>
          <cell r="F78" t="str">
            <v>Москва</v>
          </cell>
        </row>
        <row r="79">
          <cell r="A79">
            <v>90</v>
          </cell>
          <cell r="B79">
            <v>245</v>
          </cell>
          <cell r="C79" t="str">
            <v>Винниченко Сергей/74</v>
          </cell>
          <cell r="D79" t="str">
            <v>Туарсе</v>
          </cell>
          <cell r="E79" t="str">
            <v>24.08.2014</v>
          </cell>
          <cell r="F79" t="str">
            <v>Москва</v>
          </cell>
        </row>
        <row r="80">
          <cell r="A80">
            <v>100</v>
          </cell>
          <cell r="B80">
            <v>265</v>
          </cell>
          <cell r="C80" t="str">
            <v>Каширин Алексей/73</v>
          </cell>
          <cell r="D80" t="str">
            <v xml:space="preserve">Петрозаводск </v>
          </cell>
          <cell r="E80">
            <v>41439</v>
          </cell>
          <cell r="F80" t="str">
            <v>Москва</v>
          </cell>
        </row>
        <row r="81">
          <cell r="A81">
            <v>110</v>
          </cell>
          <cell r="B81">
            <v>262.5</v>
          </cell>
          <cell r="C81" t="str">
            <v>Евстигнеев Михаил/76</v>
          </cell>
          <cell r="D81" t="str">
            <v>Москва</v>
          </cell>
          <cell r="E81" t="str">
            <v>24.08.2014</v>
          </cell>
          <cell r="F81" t="str">
            <v>Москва</v>
          </cell>
        </row>
        <row r="82">
          <cell r="A82">
            <v>125</v>
          </cell>
          <cell r="B82">
            <v>260</v>
          </cell>
          <cell r="C82" t="str">
            <v>Жуков Андрей/76</v>
          </cell>
          <cell r="D82" t="str">
            <v>Петрозаводск</v>
          </cell>
          <cell r="E82">
            <v>41222</v>
          </cell>
          <cell r="F82" t="str">
            <v>Вологда</v>
          </cell>
        </row>
        <row r="83">
          <cell r="A83">
            <v>140</v>
          </cell>
          <cell r="B83">
            <v>300</v>
          </cell>
          <cell r="C83" t="str">
            <v>Колесниченко Сергей/79</v>
          </cell>
          <cell r="D83" t="str">
            <v>Екатеринбург</v>
          </cell>
          <cell r="E83" t="str">
            <v>09.08.2014</v>
          </cell>
          <cell r="F83" t="str">
            <v>Екатеринбург</v>
          </cell>
        </row>
        <row r="84">
          <cell r="A84" t="str">
            <v>140+</v>
          </cell>
          <cell r="B84">
            <v>240</v>
          </cell>
          <cell r="C84" t="str">
            <v>Горбунов Алексей/79</v>
          </cell>
          <cell r="D84" t="str">
            <v>Екатеринбург</v>
          </cell>
          <cell r="E84">
            <v>41244</v>
          </cell>
          <cell r="F84" t="str">
            <v>Екатеринбург</v>
          </cell>
        </row>
        <row r="85">
          <cell r="B85"/>
          <cell r="C85"/>
          <cell r="D85"/>
          <cell r="E85"/>
          <cell r="F85"/>
        </row>
        <row r="86">
          <cell r="B86" t="str">
            <v>МУЖЧИНЫ - МАСТЕРС  1(40 - 44)</v>
          </cell>
        </row>
        <row r="87">
          <cell r="A87">
            <v>52</v>
          </cell>
          <cell r="B87"/>
          <cell r="C87"/>
          <cell r="D87"/>
          <cell r="E87"/>
          <cell r="F87"/>
        </row>
        <row r="88">
          <cell r="A88">
            <v>56</v>
          </cell>
          <cell r="B88"/>
          <cell r="C88"/>
          <cell r="D88"/>
          <cell r="E88"/>
          <cell r="F88"/>
        </row>
        <row r="89">
          <cell r="A89">
            <v>60</v>
          </cell>
          <cell r="B89"/>
          <cell r="C89"/>
          <cell r="D89"/>
          <cell r="E89"/>
          <cell r="F89"/>
        </row>
        <row r="90">
          <cell r="A90">
            <v>67.5</v>
          </cell>
          <cell r="B90">
            <v>160</v>
          </cell>
          <cell r="C90" t="str">
            <v>Миронов Олег/70</v>
          </cell>
          <cell r="D90" t="str">
            <v>Екатеринбург</v>
          </cell>
          <cell r="E90">
            <v>41608</v>
          </cell>
          <cell r="F90" t="str">
            <v>Екатеринбург</v>
          </cell>
        </row>
        <row r="91">
          <cell r="A91">
            <v>75</v>
          </cell>
          <cell r="B91">
            <v>155</v>
          </cell>
          <cell r="C91" t="str">
            <v>Лапынин Владимир/70</v>
          </cell>
          <cell r="D91" t="str">
            <v>Дальнегорск</v>
          </cell>
          <cell r="E91" t="str">
            <v>23.08.2014</v>
          </cell>
          <cell r="F91" t="str">
            <v>Москва</v>
          </cell>
        </row>
        <row r="92">
          <cell r="A92" t="str">
            <v>82.5</v>
          </cell>
          <cell r="B92">
            <v>162.5</v>
          </cell>
          <cell r="C92" t="str">
            <v>Юрьев Валентин/71</v>
          </cell>
          <cell r="D92" t="str">
            <v>Нижнекамск</v>
          </cell>
          <cell r="E92">
            <v>40982</v>
          </cell>
          <cell r="F92" t="str">
            <v>Екатеринбург</v>
          </cell>
        </row>
        <row r="93">
          <cell r="A93">
            <v>90</v>
          </cell>
          <cell r="B93">
            <v>240</v>
          </cell>
          <cell r="C93" t="str">
            <v>Кончаков Владимир/73</v>
          </cell>
          <cell r="D93" t="str">
            <v>Новосибирск</v>
          </cell>
          <cell r="E93" t="str">
            <v>04.07.2014</v>
          </cell>
          <cell r="F93" t="str">
            <v>Новосибирск</v>
          </cell>
        </row>
        <row r="94">
          <cell r="A94">
            <v>100</v>
          </cell>
          <cell r="B94">
            <v>260</v>
          </cell>
          <cell r="C94" t="str">
            <v>Сынков Василий/72</v>
          </cell>
          <cell r="D94" t="str">
            <v>Томск</v>
          </cell>
          <cell r="E94">
            <v>41502</v>
          </cell>
          <cell r="F94" t="str">
            <v>Новосибирск</v>
          </cell>
        </row>
        <row r="95">
          <cell r="A95">
            <v>110</v>
          </cell>
          <cell r="B95">
            <v>225</v>
          </cell>
          <cell r="C95" t="str">
            <v>Дедевшин Станислав/69</v>
          </cell>
          <cell r="D95" t="str">
            <v>Когалым</v>
          </cell>
          <cell r="E95" t="str">
            <v>24.08.2014</v>
          </cell>
          <cell r="F95" t="str">
            <v>Москва</v>
          </cell>
        </row>
        <row r="96">
          <cell r="A96">
            <v>125</v>
          </cell>
          <cell r="B96">
            <v>212.5</v>
          </cell>
          <cell r="C96" t="str">
            <v>Сибилев Евгений/70</v>
          </cell>
          <cell r="D96" t="str">
            <v>Ноябрьск</v>
          </cell>
          <cell r="E96" t="str">
            <v>24.08.2014</v>
          </cell>
          <cell r="F96" t="str">
            <v>Москва</v>
          </cell>
        </row>
        <row r="97">
          <cell r="A97">
            <v>140</v>
          </cell>
          <cell r="B97"/>
          <cell r="C97"/>
          <cell r="D97"/>
          <cell r="E97"/>
          <cell r="F97"/>
        </row>
        <row r="98">
          <cell r="A98" t="str">
            <v>140+</v>
          </cell>
          <cell r="B98">
            <v>197.5</v>
          </cell>
          <cell r="C98" t="str">
            <v>Смирнов Юрий/71</v>
          </cell>
          <cell r="D98" t="str">
            <v>Сосногорск</v>
          </cell>
          <cell r="E98" t="str">
            <v>24.08.2014</v>
          </cell>
          <cell r="F98" t="str">
            <v>Москва</v>
          </cell>
        </row>
        <row r="99">
          <cell r="A99"/>
          <cell r="B99"/>
          <cell r="C99"/>
          <cell r="D99"/>
          <cell r="E99"/>
          <cell r="F99"/>
        </row>
        <row r="100">
          <cell r="B100" t="str">
            <v>МУЖЧИНЫ - МАСТЕРС  2(45 - 49)</v>
          </cell>
        </row>
        <row r="101">
          <cell r="A101">
            <v>52</v>
          </cell>
          <cell r="B101"/>
          <cell r="C101"/>
          <cell r="D101"/>
          <cell r="E101"/>
          <cell r="F101"/>
        </row>
        <row r="102">
          <cell r="A102">
            <v>56</v>
          </cell>
          <cell r="B102"/>
          <cell r="C102"/>
          <cell r="D102"/>
          <cell r="E102"/>
          <cell r="F102"/>
        </row>
        <row r="103">
          <cell r="A103">
            <v>60</v>
          </cell>
          <cell r="B103"/>
          <cell r="C103"/>
          <cell r="D103"/>
          <cell r="E103"/>
          <cell r="F103"/>
        </row>
        <row r="104">
          <cell r="A104">
            <v>67.5</v>
          </cell>
          <cell r="B104"/>
          <cell r="C104"/>
          <cell r="D104"/>
          <cell r="E104"/>
          <cell r="F104"/>
        </row>
        <row r="105">
          <cell r="A105">
            <v>75</v>
          </cell>
          <cell r="B105">
            <v>147.5</v>
          </cell>
          <cell r="C105" t="str">
            <v>Баштанов Игорь/67</v>
          </cell>
          <cell r="D105" t="str">
            <v>Кемерово</v>
          </cell>
          <cell r="E105" t="str">
            <v>04.07.2014</v>
          </cell>
          <cell r="F105" t="str">
            <v>Новосибирск</v>
          </cell>
        </row>
        <row r="106">
          <cell r="A106" t="str">
            <v>82.5</v>
          </cell>
          <cell r="B106"/>
          <cell r="C106"/>
          <cell r="D106"/>
          <cell r="E106"/>
          <cell r="F106"/>
        </row>
        <row r="107">
          <cell r="A107">
            <v>90</v>
          </cell>
          <cell r="B107">
            <v>175</v>
          </cell>
          <cell r="C107" t="str">
            <v>Чертушкин Дмитрий/65</v>
          </cell>
          <cell r="D107" t="str">
            <v>Екатеринбург</v>
          </cell>
          <cell r="E107">
            <v>41608</v>
          </cell>
          <cell r="F107" t="str">
            <v>Екатеринбург</v>
          </cell>
        </row>
        <row r="108">
          <cell r="A108">
            <v>100</v>
          </cell>
          <cell r="B108">
            <v>207.5</v>
          </cell>
          <cell r="C108" t="str">
            <v>Соломичев Игорь/67</v>
          </cell>
          <cell r="D108" t="str">
            <v>Смоленск</v>
          </cell>
          <cell r="E108" t="str">
            <v>24.08.2014</v>
          </cell>
          <cell r="F108" t="str">
            <v>Москва</v>
          </cell>
        </row>
        <row r="109">
          <cell r="A109">
            <v>110</v>
          </cell>
          <cell r="B109">
            <v>202.5</v>
          </cell>
          <cell r="C109" t="str">
            <v>Терентьев Александр/69</v>
          </cell>
          <cell r="D109" t="str">
            <v>Березовский</v>
          </cell>
          <cell r="E109" t="str">
            <v>24.08.2014</v>
          </cell>
          <cell r="F109" t="str">
            <v>Москва</v>
          </cell>
        </row>
        <row r="110">
          <cell r="A110">
            <v>125</v>
          </cell>
          <cell r="B110">
            <v>240</v>
          </cell>
          <cell r="C110" t="str">
            <v>Пономарев Александр/67</v>
          </cell>
          <cell r="D110" t="str">
            <v>Екатеринбург</v>
          </cell>
          <cell r="E110">
            <v>41608</v>
          </cell>
          <cell r="F110" t="str">
            <v>Екатеринбург</v>
          </cell>
        </row>
        <row r="111">
          <cell r="A111">
            <v>140</v>
          </cell>
          <cell r="B111"/>
          <cell r="C111"/>
          <cell r="D111"/>
          <cell r="E111"/>
          <cell r="F111"/>
        </row>
        <row r="112">
          <cell r="A112" t="str">
            <v>140+</v>
          </cell>
          <cell r="B112">
            <v>270</v>
          </cell>
          <cell r="C112" t="str">
            <v>Бергерт Лев/66</v>
          </cell>
          <cell r="D112" t="str">
            <v>Заволжье</v>
          </cell>
          <cell r="E112" t="str">
            <v>24.08.2014</v>
          </cell>
          <cell r="F112" t="str">
            <v>Москва</v>
          </cell>
        </row>
        <row r="113">
          <cell r="A113"/>
          <cell r="B113"/>
          <cell r="C113"/>
          <cell r="D113"/>
          <cell r="E113"/>
          <cell r="F113"/>
        </row>
        <row r="114">
          <cell r="B114" t="str">
            <v>МУЖЧИНЫ - МАСТЕРС  3(50 - 54)</v>
          </cell>
        </row>
        <row r="115">
          <cell r="A115">
            <v>52</v>
          </cell>
          <cell r="B115"/>
          <cell r="C115"/>
          <cell r="D115"/>
          <cell r="E115"/>
          <cell r="F115"/>
        </row>
        <row r="116">
          <cell r="A116">
            <v>56</v>
          </cell>
          <cell r="B116"/>
          <cell r="C116"/>
          <cell r="D116"/>
          <cell r="E116"/>
          <cell r="F116"/>
        </row>
        <row r="117">
          <cell r="A117">
            <v>60</v>
          </cell>
          <cell r="B117"/>
          <cell r="C117"/>
          <cell r="D117"/>
          <cell r="E117"/>
          <cell r="F117"/>
        </row>
        <row r="118">
          <cell r="A118" t="str">
            <v>67.5</v>
          </cell>
          <cell r="B118"/>
          <cell r="C118"/>
          <cell r="D118"/>
          <cell r="E118"/>
          <cell r="F118"/>
        </row>
        <row r="119">
          <cell r="A119">
            <v>75</v>
          </cell>
          <cell r="B119"/>
          <cell r="C119"/>
          <cell r="D119"/>
          <cell r="E119"/>
          <cell r="F119"/>
        </row>
        <row r="120">
          <cell r="A120" t="str">
            <v>82.5</v>
          </cell>
          <cell r="B120">
            <v>162.5</v>
          </cell>
          <cell r="C120" t="str">
            <v>Кожин Борис/60</v>
          </cell>
          <cell r="D120" t="str">
            <v>Тюмень</v>
          </cell>
          <cell r="E120">
            <v>41502</v>
          </cell>
          <cell r="F120" t="str">
            <v>Новосибирск</v>
          </cell>
        </row>
        <row r="121">
          <cell r="A121">
            <v>90</v>
          </cell>
          <cell r="B121">
            <v>150</v>
          </cell>
          <cell r="C121" t="str">
            <v>Левченко Михаил/60</v>
          </cell>
          <cell r="D121" t="str">
            <v>Кемерово</v>
          </cell>
          <cell r="E121">
            <v>41502</v>
          </cell>
          <cell r="F121" t="str">
            <v>Новосибирск</v>
          </cell>
        </row>
        <row r="122">
          <cell r="A122">
            <v>100</v>
          </cell>
          <cell r="B122">
            <v>162.5</v>
          </cell>
          <cell r="C122" t="str">
            <v>Франк Вячеслав/62</v>
          </cell>
          <cell r="D122" t="str">
            <v>Павлово</v>
          </cell>
          <cell r="E122" t="str">
            <v>24.08.2014</v>
          </cell>
          <cell r="F122" t="str">
            <v>Москва</v>
          </cell>
        </row>
        <row r="123">
          <cell r="A123">
            <v>110</v>
          </cell>
          <cell r="B123">
            <v>200</v>
          </cell>
          <cell r="C123" t="str">
            <v>Пивоваров Олег/63</v>
          </cell>
          <cell r="D123" t="str">
            <v>Казань</v>
          </cell>
          <cell r="E123" t="str">
            <v>24.08.2014</v>
          </cell>
          <cell r="F123" t="str">
            <v>Москва</v>
          </cell>
        </row>
        <row r="124">
          <cell r="A124">
            <v>125</v>
          </cell>
          <cell r="B124">
            <v>195</v>
          </cell>
          <cell r="C124" t="str">
            <v>Фахрутдинов Равиль/62</v>
          </cell>
          <cell r="D124" t="str">
            <v>Екатеринбург</v>
          </cell>
          <cell r="E124" t="str">
            <v>24.08.2014</v>
          </cell>
          <cell r="F124" t="str">
            <v>Москва</v>
          </cell>
        </row>
        <row r="125">
          <cell r="A125">
            <v>140</v>
          </cell>
          <cell r="B125"/>
          <cell r="C125"/>
          <cell r="D125"/>
          <cell r="E125"/>
          <cell r="F125"/>
        </row>
        <row r="126">
          <cell r="A126" t="str">
            <v>140+</v>
          </cell>
          <cell r="B126"/>
          <cell r="C126"/>
          <cell r="D126"/>
          <cell r="E126"/>
          <cell r="F126"/>
        </row>
        <row r="127">
          <cell r="A127"/>
          <cell r="B127"/>
          <cell r="C127"/>
          <cell r="D127"/>
          <cell r="E127"/>
          <cell r="F127"/>
        </row>
        <row r="128">
          <cell r="B128" t="str">
            <v>МУЖЧИНЫ - МАСТЕРС  4(55 - 59)</v>
          </cell>
        </row>
        <row r="129">
          <cell r="A129">
            <v>52</v>
          </cell>
          <cell r="B129"/>
          <cell r="C129"/>
          <cell r="D129"/>
          <cell r="E129"/>
          <cell r="F129"/>
        </row>
        <row r="130">
          <cell r="A130">
            <v>56</v>
          </cell>
          <cell r="B130"/>
          <cell r="C130"/>
          <cell r="D130"/>
          <cell r="E130"/>
          <cell r="F130"/>
        </row>
        <row r="131">
          <cell r="A131">
            <v>60</v>
          </cell>
          <cell r="B131"/>
          <cell r="C131"/>
          <cell r="D131"/>
          <cell r="E131"/>
          <cell r="F131"/>
        </row>
        <row r="132">
          <cell r="A132">
            <v>67.5</v>
          </cell>
          <cell r="B132"/>
          <cell r="C132"/>
          <cell r="D132"/>
          <cell r="E132"/>
          <cell r="F132"/>
        </row>
        <row r="133">
          <cell r="A133">
            <v>75</v>
          </cell>
          <cell r="B133"/>
          <cell r="C133"/>
          <cell r="D133"/>
          <cell r="E133"/>
          <cell r="F133"/>
        </row>
        <row r="134">
          <cell r="A134">
            <v>82.5</v>
          </cell>
          <cell r="B134">
            <v>162.5</v>
          </cell>
          <cell r="C134" t="str">
            <v>Петров Игорь/</v>
          </cell>
          <cell r="D134" t="str">
            <v>Санкт-Петербург</v>
          </cell>
          <cell r="E134">
            <v>41342</v>
          </cell>
          <cell r="F134" t="str">
            <v>Вологда</v>
          </cell>
        </row>
        <row r="135">
          <cell r="A135">
            <v>90</v>
          </cell>
          <cell r="B135">
            <v>190</v>
          </cell>
          <cell r="C135" t="str">
            <v>Макаров Александр/57</v>
          </cell>
          <cell r="D135" t="str">
            <v>Железногорск</v>
          </cell>
          <cell r="E135">
            <v>41619</v>
          </cell>
          <cell r="F135" t="str">
            <v>Курск</v>
          </cell>
        </row>
        <row r="136">
          <cell r="A136">
            <v>100</v>
          </cell>
          <cell r="B136">
            <v>165</v>
          </cell>
          <cell r="C136" t="str">
            <v>Чернозипунников Евгений/56</v>
          </cell>
          <cell r="D136" t="str">
            <v>Екатеринбург</v>
          </cell>
          <cell r="E136" t="str">
            <v>09.08.2014</v>
          </cell>
          <cell r="F136" t="str">
            <v>Екатеринбург</v>
          </cell>
        </row>
        <row r="137">
          <cell r="A137">
            <v>110</v>
          </cell>
          <cell r="B137"/>
          <cell r="C137"/>
          <cell r="D137"/>
          <cell r="E137"/>
          <cell r="F137"/>
        </row>
        <row r="138">
          <cell r="A138">
            <v>125</v>
          </cell>
          <cell r="B138"/>
          <cell r="C138"/>
          <cell r="D138"/>
          <cell r="E138"/>
          <cell r="F138"/>
        </row>
        <row r="139">
          <cell r="A139">
            <v>140</v>
          </cell>
          <cell r="B139"/>
          <cell r="C139"/>
          <cell r="D139"/>
          <cell r="E139"/>
          <cell r="F139"/>
        </row>
        <row r="140">
          <cell r="A140" t="str">
            <v>140+</v>
          </cell>
          <cell r="B140"/>
          <cell r="C140"/>
          <cell r="D140"/>
          <cell r="E140"/>
          <cell r="F140"/>
        </row>
        <row r="141">
          <cell r="A141"/>
          <cell r="B141"/>
          <cell r="C141"/>
          <cell r="D141"/>
          <cell r="E141"/>
          <cell r="F141"/>
        </row>
        <row r="142">
          <cell r="B142" t="str">
            <v>МУЖЧИНЫ - МАСТЕРС  5(60 - 64)</v>
          </cell>
        </row>
        <row r="143">
          <cell r="A143">
            <v>52</v>
          </cell>
          <cell r="B143"/>
          <cell r="C143"/>
          <cell r="D143"/>
          <cell r="E143"/>
          <cell r="F143"/>
        </row>
        <row r="144">
          <cell r="A144">
            <v>56</v>
          </cell>
          <cell r="B144"/>
          <cell r="C144"/>
          <cell r="D144"/>
          <cell r="E144"/>
          <cell r="F144"/>
        </row>
        <row r="145">
          <cell r="A145">
            <v>60</v>
          </cell>
          <cell r="B145"/>
          <cell r="C145"/>
          <cell r="D145"/>
          <cell r="E145"/>
          <cell r="F145"/>
        </row>
        <row r="146">
          <cell r="A146">
            <v>67.5</v>
          </cell>
          <cell r="B146"/>
          <cell r="C146"/>
          <cell r="D146"/>
          <cell r="E146"/>
          <cell r="F146"/>
        </row>
        <row r="147">
          <cell r="A147">
            <v>75</v>
          </cell>
          <cell r="B147"/>
          <cell r="C147"/>
          <cell r="D147"/>
          <cell r="E147"/>
          <cell r="F147"/>
        </row>
        <row r="148">
          <cell r="A148">
            <v>82.5</v>
          </cell>
          <cell r="B148">
            <v>150</v>
          </cell>
          <cell r="C148" t="str">
            <v>Гончаров Сергей/52</v>
          </cell>
          <cell r="D148" t="str">
            <v>Москва</v>
          </cell>
          <cell r="E148" t="str">
            <v>24.08.2014</v>
          </cell>
          <cell r="F148" t="str">
            <v>Москва</v>
          </cell>
        </row>
        <row r="149">
          <cell r="A149">
            <v>90</v>
          </cell>
          <cell r="B149">
            <v>145</v>
          </cell>
          <cell r="C149" t="str">
            <v>Верхоланцев Валерий/53</v>
          </cell>
          <cell r="D149" t="str">
            <v>Томск</v>
          </cell>
          <cell r="E149" t="str">
            <v>04.07.2014</v>
          </cell>
          <cell r="F149" t="str">
            <v>Новосибирск</v>
          </cell>
        </row>
        <row r="150">
          <cell r="A150">
            <v>100</v>
          </cell>
          <cell r="B150"/>
          <cell r="C150"/>
          <cell r="D150"/>
          <cell r="E150"/>
          <cell r="F150"/>
        </row>
        <row r="151">
          <cell r="A151">
            <v>110</v>
          </cell>
          <cell r="B151"/>
          <cell r="C151"/>
          <cell r="D151"/>
          <cell r="E151"/>
          <cell r="F151"/>
        </row>
        <row r="152">
          <cell r="A152">
            <v>125</v>
          </cell>
          <cell r="B152"/>
          <cell r="C152"/>
          <cell r="D152"/>
          <cell r="E152"/>
          <cell r="F152"/>
        </row>
        <row r="153">
          <cell r="A153">
            <v>140</v>
          </cell>
          <cell r="B153"/>
          <cell r="C153"/>
          <cell r="D153"/>
          <cell r="E153"/>
          <cell r="F153"/>
        </row>
        <row r="154">
          <cell r="A154" t="str">
            <v>140+</v>
          </cell>
          <cell r="B154"/>
          <cell r="C154"/>
          <cell r="D154"/>
          <cell r="E154"/>
          <cell r="F154"/>
        </row>
        <row r="155">
          <cell r="A155"/>
          <cell r="B155"/>
          <cell r="C155"/>
          <cell r="D155"/>
          <cell r="E155"/>
          <cell r="F155"/>
        </row>
        <row r="156">
          <cell r="B156" t="str">
            <v>МУЖЧИНЫ - МАСТЕРС  6(65 - 69)</v>
          </cell>
        </row>
        <row r="157">
          <cell r="A157">
            <v>52</v>
          </cell>
          <cell r="B157"/>
          <cell r="C157"/>
          <cell r="D157"/>
          <cell r="E157"/>
          <cell r="F157"/>
        </row>
        <row r="158">
          <cell r="A158">
            <v>56</v>
          </cell>
          <cell r="B158"/>
          <cell r="C158"/>
          <cell r="D158"/>
          <cell r="E158"/>
          <cell r="F158"/>
        </row>
        <row r="159">
          <cell r="A159">
            <v>60</v>
          </cell>
          <cell r="B159"/>
          <cell r="C159"/>
          <cell r="D159"/>
          <cell r="E159"/>
          <cell r="F159"/>
        </row>
        <row r="160">
          <cell r="A160">
            <v>67.5</v>
          </cell>
          <cell r="B160"/>
          <cell r="C160"/>
          <cell r="D160"/>
          <cell r="E160"/>
          <cell r="F160"/>
        </row>
        <row r="161">
          <cell r="A161">
            <v>75</v>
          </cell>
          <cell r="B161"/>
          <cell r="C161"/>
          <cell r="D161"/>
          <cell r="E161"/>
          <cell r="F161"/>
        </row>
        <row r="162">
          <cell r="A162" t="str">
            <v>82.5</v>
          </cell>
          <cell r="B162">
            <v>97.5</v>
          </cell>
          <cell r="C162" t="str">
            <v>Журкин Евгений/45</v>
          </cell>
          <cell r="D162" t="str">
            <v>Дмитров</v>
          </cell>
          <cell r="E162" t="str">
            <v>24.08.2014</v>
          </cell>
          <cell r="F162" t="str">
            <v>Москва</v>
          </cell>
        </row>
        <row r="163">
          <cell r="A163">
            <v>90</v>
          </cell>
          <cell r="B163"/>
          <cell r="C163"/>
          <cell r="D163"/>
          <cell r="E163"/>
          <cell r="F163"/>
        </row>
        <row r="164">
          <cell r="A164">
            <v>100</v>
          </cell>
          <cell r="B164">
            <v>135</v>
          </cell>
          <cell r="C164" t="str">
            <v>Обмелюхин Геннадий/48</v>
          </cell>
          <cell r="D164" t="str">
            <v>Серпухов</v>
          </cell>
          <cell r="E164" t="str">
            <v>24.08.2014</v>
          </cell>
          <cell r="F164" t="str">
            <v>Москва</v>
          </cell>
        </row>
        <row r="165">
          <cell r="A165">
            <v>110</v>
          </cell>
          <cell r="B165"/>
          <cell r="C165"/>
          <cell r="D165"/>
          <cell r="E165"/>
          <cell r="F165"/>
        </row>
        <row r="166">
          <cell r="A166">
            <v>125</v>
          </cell>
          <cell r="B166"/>
          <cell r="C166"/>
          <cell r="D166"/>
          <cell r="E166"/>
          <cell r="F166"/>
        </row>
        <row r="167">
          <cell r="A167">
            <v>140</v>
          </cell>
          <cell r="B167"/>
          <cell r="C167"/>
          <cell r="D167"/>
          <cell r="E167"/>
          <cell r="F167"/>
        </row>
        <row r="168">
          <cell r="A168" t="str">
            <v>140+</v>
          </cell>
          <cell r="B168"/>
          <cell r="C168"/>
          <cell r="D168"/>
          <cell r="E168"/>
          <cell r="F168"/>
        </row>
        <row r="169">
          <cell r="A169"/>
          <cell r="B169"/>
          <cell r="C169"/>
          <cell r="D169"/>
          <cell r="E169"/>
          <cell r="F169"/>
        </row>
        <row r="170">
          <cell r="B170" t="str">
            <v>МУЖЧИНЫ - МАСТЕРС  7(70 - 74)</v>
          </cell>
        </row>
        <row r="171">
          <cell r="A171">
            <v>52</v>
          </cell>
          <cell r="B171"/>
          <cell r="C171"/>
          <cell r="D171"/>
          <cell r="E171"/>
          <cell r="F171"/>
        </row>
        <row r="172">
          <cell r="A172">
            <v>56</v>
          </cell>
          <cell r="B172"/>
          <cell r="C172"/>
          <cell r="D172"/>
          <cell r="E172"/>
          <cell r="F172"/>
        </row>
        <row r="173">
          <cell r="A173">
            <v>60</v>
          </cell>
          <cell r="B173"/>
          <cell r="C173"/>
          <cell r="D173"/>
          <cell r="E173"/>
          <cell r="F173"/>
        </row>
        <row r="174">
          <cell r="A174" t="str">
            <v>67.5</v>
          </cell>
          <cell r="B174">
            <v>102.5</v>
          </cell>
          <cell r="C174" t="str">
            <v>Ким Мирон/41</v>
          </cell>
          <cell r="D174" t="str">
            <v>Москва</v>
          </cell>
          <cell r="E174" t="str">
            <v>24.08.2014</v>
          </cell>
          <cell r="F174" t="str">
            <v>Москва</v>
          </cell>
        </row>
        <row r="175">
          <cell r="A175">
            <v>75</v>
          </cell>
          <cell r="B175"/>
          <cell r="C175"/>
          <cell r="D175"/>
          <cell r="E175"/>
          <cell r="F175"/>
        </row>
        <row r="176">
          <cell r="A176">
            <v>82.5</v>
          </cell>
          <cell r="B176">
            <v>95</v>
          </cell>
          <cell r="C176" t="str">
            <v>Санников Владислав/38</v>
          </cell>
          <cell r="D176" t="str">
            <v>Королев</v>
          </cell>
          <cell r="E176">
            <v>41257</v>
          </cell>
          <cell r="F176" t="str">
            <v>Суздаль</v>
          </cell>
        </row>
        <row r="177">
          <cell r="A177">
            <v>90</v>
          </cell>
          <cell r="B177"/>
          <cell r="C177"/>
          <cell r="D177"/>
          <cell r="E177"/>
          <cell r="F177"/>
        </row>
        <row r="178">
          <cell r="A178">
            <v>100</v>
          </cell>
          <cell r="B178"/>
          <cell r="C178"/>
          <cell r="D178"/>
          <cell r="E178"/>
          <cell r="F178"/>
        </row>
        <row r="179">
          <cell r="A179">
            <v>110</v>
          </cell>
          <cell r="B179"/>
          <cell r="C179"/>
          <cell r="D179"/>
          <cell r="E179"/>
          <cell r="F179"/>
        </row>
        <row r="180">
          <cell r="A180">
            <v>125</v>
          </cell>
          <cell r="B180"/>
          <cell r="C180"/>
          <cell r="D180"/>
          <cell r="E180"/>
          <cell r="F180"/>
        </row>
        <row r="181">
          <cell r="A181">
            <v>140</v>
          </cell>
          <cell r="B181"/>
          <cell r="C181"/>
          <cell r="D181"/>
          <cell r="E181"/>
          <cell r="F181"/>
        </row>
        <row r="182">
          <cell r="A182" t="str">
            <v>140+</v>
          </cell>
          <cell r="B182"/>
          <cell r="C182"/>
          <cell r="D182"/>
          <cell r="E182"/>
          <cell r="F182"/>
        </row>
        <row r="183">
          <cell r="B183"/>
          <cell r="E183"/>
        </row>
        <row r="184">
          <cell r="B184" t="str">
            <v>МУЖЧИНЫ - МАСТЕРС  8(75 - 79)</v>
          </cell>
        </row>
        <row r="185">
          <cell r="A185">
            <v>52</v>
          </cell>
          <cell r="B185"/>
          <cell r="C185"/>
          <cell r="D185"/>
          <cell r="E185"/>
          <cell r="F185"/>
        </row>
        <row r="186">
          <cell r="A186">
            <v>56</v>
          </cell>
          <cell r="B186"/>
          <cell r="C186"/>
          <cell r="D186"/>
          <cell r="E186"/>
          <cell r="F186"/>
        </row>
        <row r="187">
          <cell r="A187">
            <v>60</v>
          </cell>
          <cell r="B187"/>
          <cell r="C187"/>
          <cell r="D187"/>
          <cell r="E187"/>
          <cell r="F187"/>
        </row>
        <row r="188">
          <cell r="A188">
            <v>67.5</v>
          </cell>
          <cell r="B188"/>
          <cell r="C188"/>
          <cell r="D188"/>
          <cell r="E188"/>
          <cell r="F188"/>
        </row>
        <row r="189">
          <cell r="A189">
            <v>75</v>
          </cell>
          <cell r="B189"/>
          <cell r="C189"/>
          <cell r="D189"/>
          <cell r="E189"/>
          <cell r="F189"/>
        </row>
        <row r="190">
          <cell r="A190">
            <v>82.5</v>
          </cell>
          <cell r="B190">
            <v>95</v>
          </cell>
          <cell r="C190" t="str">
            <v>Санников Владислав/38</v>
          </cell>
          <cell r="D190" t="str">
            <v>Королев</v>
          </cell>
          <cell r="E190" t="str">
            <v>24.08.2014</v>
          </cell>
          <cell r="F190" t="str">
            <v>Москва</v>
          </cell>
        </row>
        <row r="191">
          <cell r="A191">
            <v>90</v>
          </cell>
          <cell r="B191"/>
          <cell r="C191"/>
          <cell r="D191"/>
          <cell r="E191"/>
          <cell r="F191"/>
        </row>
        <row r="192">
          <cell r="A192">
            <v>100</v>
          </cell>
          <cell r="B192"/>
          <cell r="C192"/>
          <cell r="D192"/>
          <cell r="E192"/>
          <cell r="F192"/>
        </row>
        <row r="193">
          <cell r="A193">
            <v>110</v>
          </cell>
          <cell r="B193"/>
          <cell r="C193"/>
          <cell r="D193"/>
          <cell r="E193"/>
          <cell r="F193"/>
        </row>
        <row r="194">
          <cell r="A194">
            <v>125</v>
          </cell>
          <cell r="B194"/>
          <cell r="C194"/>
          <cell r="D194"/>
          <cell r="E194"/>
          <cell r="F194"/>
        </row>
        <row r="195">
          <cell r="A195">
            <v>140</v>
          </cell>
          <cell r="B195"/>
          <cell r="C195"/>
          <cell r="D195"/>
          <cell r="E195"/>
          <cell r="F195"/>
        </row>
        <row r="196">
          <cell r="A196" t="str">
            <v>140+</v>
          </cell>
          <cell r="B196"/>
          <cell r="C196"/>
          <cell r="D196"/>
          <cell r="E196"/>
          <cell r="F19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5"/>
  <sheetViews>
    <sheetView tabSelected="1" workbookViewId="0"/>
  </sheetViews>
  <sheetFormatPr defaultRowHeight="15" x14ac:dyDescent="0.25"/>
  <cols>
    <col min="1" max="2" width="9.140625" style="1"/>
    <col min="3" max="3" width="23.28515625" bestFit="1" customWidth="1"/>
    <col min="4" max="4" width="25.7109375" customWidth="1"/>
    <col min="6" max="6" width="13.5703125" style="3" customWidth="1"/>
    <col min="7" max="7" width="14" customWidth="1"/>
  </cols>
  <sheetData>
    <row r="1" spans="1:8" ht="23.25" x14ac:dyDescent="0.35">
      <c r="B1" s="1">
        <v>4</v>
      </c>
      <c r="C1" s="2"/>
    </row>
    <row r="2" spans="1:8" x14ac:dyDescent="0.25">
      <c r="A2" s="1">
        <v>4</v>
      </c>
    </row>
    <row r="3" spans="1:8" s="1" customFormat="1" x14ac:dyDescent="0.25">
      <c r="F3" s="4"/>
    </row>
    <row r="4" spans="1:8" s="25" customFormat="1" ht="21" x14ac:dyDescent="0.35">
      <c r="A4" s="37"/>
      <c r="B4" s="38" t="str">
        <f>[2]men!B1</f>
        <v xml:space="preserve"> AWPC RAW Bench Records</v>
      </c>
      <c r="C4" s="37"/>
      <c r="D4" s="37"/>
      <c r="E4" s="37"/>
      <c r="F4" s="37"/>
      <c r="G4" s="37"/>
      <c r="H4" s="37"/>
    </row>
    <row r="5" spans="1:8" x14ac:dyDescent="0.25">
      <c r="C5" s="1"/>
      <c r="D5" s="1"/>
    </row>
    <row r="6" spans="1:8" s="11" customFormat="1" x14ac:dyDescent="0.25">
      <c r="A6" s="20" t="s">
        <v>0</v>
      </c>
      <c r="B6" s="20">
        <v>1</v>
      </c>
      <c r="C6" s="11">
        <v>-2</v>
      </c>
      <c r="D6" s="11" t="str">
        <f>[2]men!C2</f>
        <v>Men's Open</v>
      </c>
      <c r="F6" s="15"/>
    </row>
    <row r="7" spans="1:8" x14ac:dyDescent="0.25">
      <c r="A7" s="1">
        <f>[2]men!A3</f>
        <v>52</v>
      </c>
      <c r="B7" s="1">
        <f>[2]men!B3</f>
        <v>147.5</v>
      </c>
      <c r="C7" t="str">
        <f>[2]men!C3</f>
        <v>Shanin Alexandr</v>
      </c>
      <c r="D7">
        <f>[2]men!D3</f>
        <v>78</v>
      </c>
      <c r="E7" t="str">
        <f>[2]men!E3</f>
        <v>RUS</v>
      </c>
      <c r="F7" s="3">
        <f>[2]men!F3</f>
        <v>41608</v>
      </c>
      <c r="G7" t="str">
        <f>[2]men!G3</f>
        <v>Yekaterinburg</v>
      </c>
      <c r="H7" t="str">
        <f>[2]men!H3</f>
        <v xml:space="preserve"> </v>
      </c>
    </row>
    <row r="8" spans="1:8" x14ac:dyDescent="0.25">
      <c r="A8" s="1">
        <f>[2]men!A4</f>
        <v>56</v>
      </c>
      <c r="B8" s="1">
        <f>[2]men!B4</f>
        <v>155</v>
      </c>
      <c r="C8" t="str">
        <f>[2]men!C4</f>
        <v>Karaziya Sergei</v>
      </c>
      <c r="D8">
        <f>[2]men!D4</f>
        <v>87</v>
      </c>
      <c r="E8" t="str">
        <f>[2]men!E4</f>
        <v xml:space="preserve"> RUS</v>
      </c>
      <c r="F8" s="3" t="str">
        <f>[2]men!F4</f>
        <v>23.08.2014</v>
      </c>
      <c r="G8" t="str">
        <f>[2]men!G4</f>
        <v>Moscow</v>
      </c>
      <c r="H8" t="str">
        <f>[2]men!H4</f>
        <v xml:space="preserve"> </v>
      </c>
    </row>
    <row r="9" spans="1:8" x14ac:dyDescent="0.25">
      <c r="A9" s="1">
        <f>[2]men!A5</f>
        <v>60</v>
      </c>
      <c r="B9" s="1">
        <f>[2]men!B5</f>
        <v>170.5</v>
      </c>
      <c r="C9" t="str">
        <f>[2]men!C5</f>
        <v>Kalaychev Yanis</v>
      </c>
      <c r="D9">
        <f>[2]men!D5</f>
        <v>85</v>
      </c>
      <c r="E9" t="str">
        <f>[2]men!E5</f>
        <v>RUS</v>
      </c>
      <c r="F9" s="3">
        <f>[2]men!F5</f>
        <v>41503</v>
      </c>
      <c r="G9" t="str">
        <f>[2]men!G5</f>
        <v>Novosibirsk</v>
      </c>
      <c r="H9" t="str">
        <f>[2]men!H5</f>
        <v>4th</v>
      </c>
    </row>
    <row r="10" spans="1:8" x14ac:dyDescent="0.25">
      <c r="A10" s="1">
        <f>[2]men!A6</f>
        <v>67.5</v>
      </c>
      <c r="B10" s="1">
        <f>[2]men!B6</f>
        <v>175</v>
      </c>
      <c r="C10" t="str">
        <f>[2]men!C6</f>
        <v>Bezhashvili Tsotne</v>
      </c>
      <c r="D10">
        <f>[2]men!D6</f>
        <v>85</v>
      </c>
      <c r="E10" t="str">
        <f>[2]men!E6</f>
        <v>GEO</v>
      </c>
      <c r="F10" s="3">
        <f>[2]men!F6</f>
        <v>41128</v>
      </c>
      <c r="G10" t="str">
        <f>[2]men!G6</f>
        <v>Kryvyi Rig</v>
      </c>
      <c r="H10" t="str">
        <f>[2]men!H6</f>
        <v>4th</v>
      </c>
    </row>
    <row r="11" spans="1:8" x14ac:dyDescent="0.25">
      <c r="A11" s="1">
        <f>[2]men!A7</f>
        <v>75</v>
      </c>
      <c r="B11" s="1">
        <f>[2]men!B7</f>
        <v>195.5</v>
      </c>
      <c r="C11" t="str">
        <f>[2]men!C7</f>
        <v>Milostnoy Stanislav</v>
      </c>
      <c r="D11">
        <f>[2]men!D7</f>
        <v>78</v>
      </c>
      <c r="E11" t="str">
        <f>[2]men!E7</f>
        <v xml:space="preserve"> RUS</v>
      </c>
      <c r="F11" s="3">
        <f>[2]men!F7</f>
        <v>40814</v>
      </c>
      <c r="G11" t="str">
        <f>[2]men!G7</f>
        <v>Yekaterinburg</v>
      </c>
      <c r="H11" t="str">
        <f>[2]men!H7</f>
        <v xml:space="preserve">  </v>
      </c>
    </row>
    <row r="12" spans="1:8" x14ac:dyDescent="0.25">
      <c r="A12" s="1">
        <f>[2]men!A8</f>
        <v>82.5</v>
      </c>
      <c r="B12" s="1">
        <f>[2]men!B8</f>
        <v>212.5</v>
      </c>
      <c r="C12" t="str">
        <f>[2]men!C8</f>
        <v>Sapozhonkov Andrei</v>
      </c>
      <c r="D12">
        <f>[2]men!D8</f>
        <v>87</v>
      </c>
      <c r="E12" t="str">
        <f>[2]men!E8</f>
        <v>RUS</v>
      </c>
      <c r="F12" s="3" t="str">
        <f>[2]men!F8</f>
        <v>23.08.2014</v>
      </c>
      <c r="G12" t="str">
        <f>[2]men!G8</f>
        <v>Moscow</v>
      </c>
      <c r="H12">
        <f>[2]men!H8</f>
        <v>0</v>
      </c>
    </row>
    <row r="13" spans="1:8" x14ac:dyDescent="0.25">
      <c r="A13" s="1">
        <f>[2]men!A9</f>
        <v>90</v>
      </c>
      <c r="B13" s="1">
        <f>[2]men!B9</f>
        <v>215</v>
      </c>
      <c r="C13" t="str">
        <f>[2]men!C9</f>
        <v>Knurek Gary</v>
      </c>
      <c r="D13">
        <f>[2]men!D9</f>
        <v>81</v>
      </c>
      <c r="E13" t="str">
        <f>[2]men!E9</f>
        <v>USA</v>
      </c>
      <c r="F13" s="3">
        <f>[2]men!F9</f>
        <v>41111</v>
      </c>
      <c r="G13" t="str">
        <f>[2]men!G9</f>
        <v>Detroit</v>
      </c>
      <c r="H13" t="str">
        <f>[2]men!H9</f>
        <v xml:space="preserve">  </v>
      </c>
    </row>
    <row r="14" spans="1:8" x14ac:dyDescent="0.25">
      <c r="A14" s="1">
        <f>[2]men!A10</f>
        <v>100</v>
      </c>
      <c r="B14" s="1">
        <f>[2]men!B10</f>
        <v>232.5</v>
      </c>
      <c r="C14" t="str">
        <f>[2]men!C10</f>
        <v>Filimonov Oleg</v>
      </c>
      <c r="D14">
        <f>[2]men!D10</f>
        <v>87</v>
      </c>
      <c r="E14" t="str">
        <f>[2]men!E10</f>
        <v xml:space="preserve"> RUS</v>
      </c>
      <c r="F14" s="3" t="str">
        <f>[2]men!F10</f>
        <v>23.08.2014</v>
      </c>
      <c r="G14" t="str">
        <f>[2]men!G10</f>
        <v>Moscow</v>
      </c>
      <c r="H14" t="str">
        <f>[2]men!H10</f>
        <v xml:space="preserve"> </v>
      </c>
    </row>
    <row r="15" spans="1:8" x14ac:dyDescent="0.25">
      <c r="A15" s="1">
        <f>[2]men!A11</f>
        <v>110</v>
      </c>
      <c r="B15" s="1">
        <f>[2]men!B11</f>
        <v>232.5</v>
      </c>
      <c r="C15" t="str">
        <f>[2]men!C11</f>
        <v>Tenetko Dmitriy</v>
      </c>
      <c r="D15">
        <f>[2]men!D11</f>
        <v>75</v>
      </c>
      <c r="E15" t="str">
        <f>[2]men!E11</f>
        <v xml:space="preserve"> RUS</v>
      </c>
      <c r="F15" s="3" t="str">
        <f>[2]men!F11</f>
        <v>23.08.2014</v>
      </c>
      <c r="G15" t="str">
        <f>[2]men!G11</f>
        <v>Moscow</v>
      </c>
      <c r="H15">
        <f>[2]men!H11</f>
        <v>0</v>
      </c>
    </row>
    <row r="16" spans="1:8" x14ac:dyDescent="0.25">
      <c r="A16" s="1">
        <f>[2]men!A12</f>
        <v>125</v>
      </c>
      <c r="B16" s="1">
        <f>[2]men!B12</f>
        <v>250</v>
      </c>
      <c r="C16" t="str">
        <f>[2]men!C12</f>
        <v>Zavgorodniy Andrei</v>
      </c>
      <c r="D16">
        <f>[2]men!D12</f>
        <v>81</v>
      </c>
      <c r="E16" t="str">
        <f>[2]men!E12</f>
        <v>RUS</v>
      </c>
      <c r="F16" s="3">
        <f>[2]men!F12</f>
        <v>41020</v>
      </c>
      <c r="G16" t="str">
        <f>[2]men!G12</f>
        <v>Rostov</v>
      </c>
      <c r="H16" t="str">
        <f>[2]men!H12</f>
        <v xml:space="preserve"> </v>
      </c>
    </row>
    <row r="17" spans="1:8" x14ac:dyDescent="0.25">
      <c r="A17" s="1">
        <f>[2]men!A13</f>
        <v>140</v>
      </c>
      <c r="B17" s="1">
        <f>[2]men!B13</f>
        <v>250</v>
      </c>
      <c r="C17" t="str">
        <f>[2]men!C13</f>
        <v>Gulyan Artur</v>
      </c>
      <c r="D17">
        <f>[2]men!D13</f>
        <v>82</v>
      </c>
      <c r="E17" t="str">
        <f>[2]men!E13</f>
        <v>RUS</v>
      </c>
      <c r="F17" s="3" t="str">
        <f>[2]men!F13</f>
        <v>30.05.2014</v>
      </c>
      <c r="G17" t="str">
        <f>[2]men!G13</f>
        <v>Kursk</v>
      </c>
      <c r="H17" t="str">
        <f>[2]men!H13</f>
        <v xml:space="preserve"> </v>
      </c>
    </row>
    <row r="18" spans="1:8" x14ac:dyDescent="0.25">
      <c r="A18" s="1" t="str">
        <f>[2]men!A14</f>
        <v>140+</v>
      </c>
      <c r="B18" s="1">
        <f>[2]men!B14</f>
        <v>262.5</v>
      </c>
      <c r="C18" t="str">
        <f>[2]men!C14</f>
        <v>Wolfe Mike</v>
      </c>
      <c r="D18">
        <f>[2]men!D14</f>
        <v>75</v>
      </c>
      <c r="E18" t="str">
        <f>[2]men!E14</f>
        <v>USA</v>
      </c>
      <c r="F18" s="3">
        <f>[2]men!F14</f>
        <v>41475</v>
      </c>
      <c r="G18" t="str">
        <f>[2]men!G14</f>
        <v>Detroit</v>
      </c>
      <c r="H18" t="str">
        <f>[2]men!H14</f>
        <v xml:space="preserve"> </v>
      </c>
    </row>
    <row r="19" spans="1:8" x14ac:dyDescent="0.25">
      <c r="B19" s="1" t="str">
        <f>[2]men!B15</f>
        <v xml:space="preserve"> </v>
      </c>
      <c r="C19" t="str">
        <f>[2]men!C15</f>
        <v xml:space="preserve"> </v>
      </c>
    </row>
    <row r="20" spans="1:8" s="11" customFormat="1" x14ac:dyDescent="0.25">
      <c r="A20" s="22" t="s">
        <v>0</v>
      </c>
      <c r="B20" s="22">
        <v>1</v>
      </c>
      <c r="C20" s="11">
        <v>20</v>
      </c>
      <c r="D20" s="11" t="str">
        <f>[2]men!C16</f>
        <v xml:space="preserve">Men's Junior 20-23 </v>
      </c>
      <c r="F20" s="15"/>
    </row>
    <row r="21" spans="1:8" x14ac:dyDescent="0.25">
      <c r="A21" s="1">
        <f>[2]men!A17</f>
        <v>52</v>
      </c>
      <c r="B21" s="1">
        <f>[2]men!B17</f>
        <v>97.5</v>
      </c>
      <c r="C21" t="str">
        <f>[2]men!C17</f>
        <v>Skhalyakho Kaplan</v>
      </c>
      <c r="D21">
        <f>[2]men!D17</f>
        <v>90</v>
      </c>
      <c r="E21" t="str">
        <f>[2]men!E17</f>
        <v>RUS</v>
      </c>
      <c r="F21" s="3">
        <f>[2]men!F17</f>
        <v>41201</v>
      </c>
      <c r="G21" t="str">
        <f>[2]men!G17</f>
        <v>Krasnodar</v>
      </c>
      <c r="H21" t="str">
        <f>[2]men!H17</f>
        <v xml:space="preserve"> </v>
      </c>
    </row>
    <row r="22" spans="1:8" x14ac:dyDescent="0.25">
      <c r="A22" s="1">
        <f>[2]men!A18</f>
        <v>56</v>
      </c>
      <c r="B22" s="1">
        <f>[2]men!B18</f>
        <v>130</v>
      </c>
      <c r="C22" t="str">
        <f>[2]men!C18</f>
        <v>Karaziya Sergei</v>
      </c>
      <c r="D22">
        <f>[2]men!D18</f>
        <v>87</v>
      </c>
      <c r="E22" t="str">
        <f>[2]men!E18</f>
        <v>RUS</v>
      </c>
      <c r="F22" s="3">
        <f>[2]men!F18</f>
        <v>40409</v>
      </c>
      <c r="G22" t="str">
        <f>[2]men!G18</f>
        <v>Moscow</v>
      </c>
      <c r="H22" t="str">
        <f>[2]men!H18</f>
        <v xml:space="preserve"> </v>
      </c>
    </row>
    <row r="23" spans="1:8" x14ac:dyDescent="0.25">
      <c r="A23" s="1">
        <f>[2]men!A19</f>
        <v>60</v>
      </c>
      <c r="B23" s="1">
        <f>[2]men!B19</f>
        <v>125</v>
      </c>
      <c r="C23" t="str">
        <f>[2]men!C19</f>
        <v>Suyetnov Dmitry</v>
      </c>
      <c r="D23">
        <f>[2]men!D19</f>
        <v>88</v>
      </c>
      <c r="E23" t="str">
        <f>[2]men!E19</f>
        <v>RUS</v>
      </c>
      <c r="F23" s="3">
        <f>[2]men!F19</f>
        <v>39871</v>
      </c>
      <c r="G23" t="str">
        <f>[2]men!G19</f>
        <v>Chelyabinsk</v>
      </c>
      <c r="H23" t="str">
        <f>[2]men!H19</f>
        <v xml:space="preserve"> </v>
      </c>
    </row>
    <row r="24" spans="1:8" x14ac:dyDescent="0.25">
      <c r="A24" s="1">
        <f>[2]men!A20</f>
        <v>67.5</v>
      </c>
      <c r="B24" s="1">
        <f>[2]men!B20</f>
        <v>160</v>
      </c>
      <c r="C24" t="str">
        <f>[2]men!C20</f>
        <v>Maklakov Alexei</v>
      </c>
      <c r="D24">
        <f>[2]men!D20</f>
        <v>92</v>
      </c>
      <c r="E24" t="str">
        <f>[2]men!E20</f>
        <v>RUS</v>
      </c>
      <c r="F24" s="3" t="str">
        <f>[2]men!F20</f>
        <v>08.02.2014</v>
      </c>
      <c r="G24" t="str">
        <f>[2]men!G20</f>
        <v>Yekaterinburg</v>
      </c>
      <c r="H24" t="str">
        <f>[2]men!H20</f>
        <v>4th</v>
      </c>
    </row>
    <row r="25" spans="1:8" x14ac:dyDescent="0.25">
      <c r="A25" s="1">
        <f>[2]men!A21</f>
        <v>75</v>
      </c>
      <c r="B25" s="1">
        <f>[2]men!B21</f>
        <v>182.5</v>
      </c>
      <c r="C25" t="str">
        <f>[2]men!C21</f>
        <v>Bogdanov Maxim</v>
      </c>
      <c r="D25">
        <f>[2]men!D21</f>
        <v>92</v>
      </c>
      <c r="E25" t="str">
        <f>[2]men!E21</f>
        <v>RUS</v>
      </c>
      <c r="F25" s="3" t="str">
        <f>[2]men!F21</f>
        <v>23.08.2014</v>
      </c>
      <c r="G25" t="str">
        <f>[2]men!G21</f>
        <v>Moscow</v>
      </c>
      <c r="H25" t="str">
        <f>[2]men!H21</f>
        <v>4th</v>
      </c>
    </row>
    <row r="26" spans="1:8" x14ac:dyDescent="0.25">
      <c r="A26" s="1">
        <f>[2]men!A22</f>
        <v>82.5</v>
      </c>
      <c r="B26" s="1">
        <f>[2]men!B22</f>
        <v>178</v>
      </c>
      <c r="C26" t="str">
        <f>[2]men!C22</f>
        <v>Zhitomirskiy Yevgeniy</v>
      </c>
      <c r="D26">
        <f>[2]men!D22</f>
        <v>92</v>
      </c>
      <c r="E26" t="str">
        <f>[2]men!E22</f>
        <v>RUS</v>
      </c>
      <c r="F26" s="3" t="str">
        <f>[2]men!F22</f>
        <v>23.08.2014</v>
      </c>
      <c r="G26" t="str">
        <f>[2]men!G22</f>
        <v>Moscow</v>
      </c>
      <c r="H26" t="str">
        <f>[2]men!H22</f>
        <v xml:space="preserve"> </v>
      </c>
    </row>
    <row r="27" spans="1:8" x14ac:dyDescent="0.25">
      <c r="A27" s="1">
        <f>[2]men!A23</f>
        <v>90</v>
      </c>
      <c r="B27" s="1">
        <f>[2]men!B23</f>
        <v>202.5</v>
      </c>
      <c r="C27" t="str">
        <f>[2]men!C23</f>
        <v>Yusupov Khasan</v>
      </c>
      <c r="D27">
        <f>[2]men!D23</f>
        <v>89</v>
      </c>
      <c r="E27" t="str">
        <f>[2]men!E23</f>
        <v>RUS</v>
      </c>
      <c r="F27" s="3">
        <f>[2]men!F23</f>
        <v>41438</v>
      </c>
      <c r="G27" t="str">
        <f>[2]men!G23</f>
        <v>Moscow</v>
      </c>
      <c r="H27" t="str">
        <f>[2]men!H23</f>
        <v>4th</v>
      </c>
    </row>
    <row r="28" spans="1:8" x14ac:dyDescent="0.25">
      <c r="A28" s="1">
        <f>[2]men!A24</f>
        <v>100</v>
      </c>
      <c r="B28" s="1">
        <f>[2]men!B24</f>
        <v>192.5</v>
      </c>
      <c r="C28" t="str">
        <f>[2]men!C24</f>
        <v>Lytvynenko Dmytro</v>
      </c>
      <c r="D28">
        <f>[2]men!D24</f>
        <v>89</v>
      </c>
      <c r="E28" t="str">
        <f>[2]men!E24</f>
        <v>UKR</v>
      </c>
      <c r="F28" s="3">
        <f>[2]men!F24</f>
        <v>41129</v>
      </c>
      <c r="G28" t="str">
        <f>[2]men!G24</f>
        <v>Kryvyi Rig</v>
      </c>
      <c r="H28" t="str">
        <f>[2]men!H24</f>
        <v xml:space="preserve"> </v>
      </c>
    </row>
    <row r="29" spans="1:8" x14ac:dyDescent="0.25">
      <c r="A29" s="1">
        <f>[2]men!A25</f>
        <v>110</v>
      </c>
      <c r="B29" s="1">
        <f>[2]men!B25</f>
        <v>220</v>
      </c>
      <c r="C29" t="str">
        <f>[2]men!C25</f>
        <v>Sarsht Alexander</v>
      </c>
      <c r="D29">
        <f>[2]men!D25</f>
        <v>87</v>
      </c>
      <c r="E29" t="str">
        <f>[2]men!E25</f>
        <v>RUS</v>
      </c>
      <c r="F29" s="3">
        <f>[2]men!F25</f>
        <v>39871</v>
      </c>
      <c r="G29" t="str">
        <f>[2]men!G25</f>
        <v>Chelyabinsk</v>
      </c>
      <c r="H29" t="str">
        <f>[2]men!H25</f>
        <v xml:space="preserve"> </v>
      </c>
    </row>
    <row r="30" spans="1:8" x14ac:dyDescent="0.25">
      <c r="A30" s="1">
        <f>[2]men!A26</f>
        <v>125</v>
      </c>
      <c r="B30" s="1">
        <f>[2]men!B26</f>
        <v>215</v>
      </c>
      <c r="C30" t="str">
        <f>[2]men!C26</f>
        <v>Serbin Anatoly</v>
      </c>
      <c r="D30">
        <f>[2]men!D26</f>
        <v>90</v>
      </c>
      <c r="E30" t="str">
        <f>[2]men!E26</f>
        <v>RUS</v>
      </c>
      <c r="F30" s="3">
        <f>[2]men!F26</f>
        <v>41201</v>
      </c>
      <c r="G30" t="str">
        <f>[2]men!G26</f>
        <v>Krasnodar</v>
      </c>
      <c r="H30" t="str">
        <f>[2]men!H26</f>
        <v>4th</v>
      </c>
    </row>
    <row r="31" spans="1:8" x14ac:dyDescent="0.25">
      <c r="A31" s="1">
        <f>[2]men!A27</f>
        <v>140</v>
      </c>
      <c r="B31" s="1">
        <f>[2]men!B27</f>
        <v>205</v>
      </c>
      <c r="C31" t="str">
        <f>[2]men!C27</f>
        <v>Pavlenko Andriy</v>
      </c>
      <c r="D31">
        <f>[2]men!D27</f>
        <v>89</v>
      </c>
      <c r="E31" t="str">
        <f>[2]men!E27</f>
        <v>UKR</v>
      </c>
      <c r="F31" s="3">
        <f>[2]men!F27</f>
        <v>41129</v>
      </c>
      <c r="G31" t="str">
        <f>[2]men!G27</f>
        <v>Kryvyi Rig</v>
      </c>
      <c r="H31" t="str">
        <f>[2]men!H27</f>
        <v xml:space="preserve"> </v>
      </c>
    </row>
    <row r="32" spans="1:8" x14ac:dyDescent="0.25">
      <c r="A32" s="1" t="str">
        <f>[2]men!A28</f>
        <v>140+</v>
      </c>
      <c r="B32" s="1">
        <f>[2]men!B28</f>
        <v>0</v>
      </c>
      <c r="C32">
        <f>[2]men!C28</f>
        <v>0</v>
      </c>
      <c r="D32">
        <f>[2]men!D28</f>
        <v>0</v>
      </c>
      <c r="E32">
        <f>[2]men!E28</f>
        <v>0</v>
      </c>
      <c r="F32" s="3">
        <f>[2]men!F28</f>
        <v>0</v>
      </c>
      <c r="G32">
        <f>[2]men!G28</f>
        <v>0</v>
      </c>
      <c r="H32" t="str">
        <f>[2]men!H28</f>
        <v xml:space="preserve"> </v>
      </c>
    </row>
    <row r="34" spans="1:8" s="11" customFormat="1" x14ac:dyDescent="0.25">
      <c r="A34" s="22" t="s">
        <v>0</v>
      </c>
      <c r="B34" s="22">
        <v>1</v>
      </c>
      <c r="C34" s="11">
        <v>13</v>
      </c>
      <c r="D34" s="11" t="str">
        <f>[2]men!C29</f>
        <v xml:space="preserve">13-15 </v>
      </c>
      <c r="F34" s="15"/>
    </row>
    <row r="35" spans="1:8" x14ac:dyDescent="0.25">
      <c r="A35" s="1">
        <f>[2]men!A30</f>
        <v>52</v>
      </c>
      <c r="B35" s="1">
        <f>[2]men!B30</f>
        <v>82.5</v>
      </c>
      <c r="C35" t="str">
        <f>[2]men!C30</f>
        <v>Starilov Vitaliy</v>
      </c>
      <c r="D35">
        <f>[2]men!D30</f>
        <v>94</v>
      </c>
      <c r="E35" t="str">
        <f>[2]men!E30</f>
        <v>RUS</v>
      </c>
      <c r="F35" s="3">
        <f>[2]men!F30</f>
        <v>40257</v>
      </c>
      <c r="G35" t="str">
        <f>[2]men!G30</f>
        <v>Курск</v>
      </c>
      <c r="H35" t="str">
        <f>[2]men!H30</f>
        <v xml:space="preserve"> </v>
      </c>
    </row>
    <row r="36" spans="1:8" x14ac:dyDescent="0.25">
      <c r="A36" s="1">
        <f>[2]men!A31</f>
        <v>56</v>
      </c>
      <c r="B36" s="1">
        <f>[2]men!B31</f>
        <v>92.5</v>
      </c>
      <c r="C36" t="str">
        <f>[2]men!C31</f>
        <v>Kudryavtsev Ivan</v>
      </c>
      <c r="D36">
        <f>[2]men!D31</f>
        <v>93</v>
      </c>
      <c r="E36" t="str">
        <f>[2]men!E31</f>
        <v>RUS</v>
      </c>
      <c r="F36" s="3">
        <f>[2]men!F31</f>
        <v>39871</v>
      </c>
      <c r="G36" t="str">
        <f>[2]men!G31</f>
        <v>Chelyabinsk</v>
      </c>
      <c r="H36" t="str">
        <f>[2]men!H31</f>
        <v xml:space="preserve"> </v>
      </c>
    </row>
    <row r="37" spans="1:8" x14ac:dyDescent="0.25">
      <c r="A37" s="1">
        <f>[2]men!A32</f>
        <v>60</v>
      </c>
      <c r="B37" s="1">
        <f>[2]men!B32</f>
        <v>105</v>
      </c>
      <c r="C37" t="str">
        <f>[2]men!C32</f>
        <v>Yazovskikh Yaroslav</v>
      </c>
      <c r="D37">
        <f>[2]men!D32</f>
        <v>97</v>
      </c>
      <c r="E37" t="str">
        <f>[2]men!E32</f>
        <v xml:space="preserve"> RUS</v>
      </c>
      <c r="F37" s="3">
        <f>[2]men!F32</f>
        <v>40814</v>
      </c>
      <c r="G37" t="str">
        <f>[2]men!G32</f>
        <v>Yekaterinbourg</v>
      </c>
      <c r="H37" t="str">
        <f>[2]men!H32</f>
        <v xml:space="preserve"> </v>
      </c>
    </row>
    <row r="38" spans="1:8" x14ac:dyDescent="0.25">
      <c r="A38" s="1">
        <f>[2]men!A33</f>
        <v>67.5</v>
      </c>
      <c r="B38" s="1">
        <f>[2]men!B33</f>
        <v>112.5</v>
      </c>
      <c r="C38" t="str">
        <f>[2]men!C33</f>
        <v>Yung Alexander</v>
      </c>
      <c r="D38">
        <f>[2]men!D33</f>
        <v>98</v>
      </c>
      <c r="E38" t="str">
        <f>[2]men!E33</f>
        <v>RUS</v>
      </c>
      <c r="F38" s="3">
        <f>[2]men!F33</f>
        <v>41503</v>
      </c>
      <c r="G38" t="str">
        <f>[2]men!G33</f>
        <v>Novosibirsk</v>
      </c>
      <c r="H38">
        <f>[2]men!H33</f>
        <v>0</v>
      </c>
    </row>
    <row r="39" spans="1:8" x14ac:dyDescent="0.25">
      <c r="A39" s="1">
        <f>[2]men!A34</f>
        <v>75</v>
      </c>
      <c r="B39" s="1">
        <f>[2]men!B34</f>
        <v>112.5</v>
      </c>
      <c r="C39" t="str">
        <f>[2]men!C34</f>
        <v>Rezitsky Nikita</v>
      </c>
      <c r="D39">
        <f>[2]men!D34</f>
        <v>93</v>
      </c>
      <c r="E39" t="str">
        <f>[2]men!E34</f>
        <v>RUS</v>
      </c>
      <c r="F39" s="3">
        <f>[2]men!F34</f>
        <v>39871</v>
      </c>
      <c r="G39" t="str">
        <f>[2]men!G34</f>
        <v>Chelyabinsk</v>
      </c>
      <c r="H39" t="str">
        <f>[2]men!H34</f>
        <v xml:space="preserve"> </v>
      </c>
    </row>
    <row r="40" spans="1:8" x14ac:dyDescent="0.25">
      <c r="A40" s="1">
        <f>[2]men!A35</f>
        <v>82.5</v>
      </c>
      <c r="B40" s="1">
        <f>[2]men!B35</f>
        <v>115</v>
      </c>
      <c r="C40" t="str">
        <f>[2]men!C35</f>
        <v>Zhukov Igor</v>
      </c>
      <c r="D40">
        <f>[2]men!D35</f>
        <v>93</v>
      </c>
      <c r="E40" t="str">
        <f>[2]men!E35</f>
        <v>RUS</v>
      </c>
      <c r="F40" s="3">
        <f>[2]men!F35</f>
        <v>39871</v>
      </c>
      <c r="G40" t="str">
        <f>[2]men!G35</f>
        <v>Chelyabinsk</v>
      </c>
      <c r="H40" t="str">
        <f>[2]men!H35</f>
        <v xml:space="preserve"> </v>
      </c>
    </row>
    <row r="41" spans="1:8" x14ac:dyDescent="0.25">
      <c r="A41" s="1">
        <f>[2]men!A36</f>
        <v>90</v>
      </c>
      <c r="B41" s="1">
        <f>[2]men!B36</f>
        <v>132.5</v>
      </c>
      <c r="C41" t="str">
        <f>[2]men!C36</f>
        <v>O'Halloran Gabe</v>
      </c>
      <c r="D41">
        <f>[2]men!D36</f>
        <v>97</v>
      </c>
      <c r="E41" t="str">
        <f>[2]men!E36</f>
        <v>CAN</v>
      </c>
      <c r="F41" s="3">
        <f>[2]men!F36</f>
        <v>41434</v>
      </c>
      <c r="G41" t="str">
        <f>[2]men!G36</f>
        <v>Ontario</v>
      </c>
      <c r="H41">
        <f>[2]men!H36</f>
        <v>0</v>
      </c>
    </row>
    <row r="42" spans="1:8" x14ac:dyDescent="0.25">
      <c r="A42" s="1">
        <f>[2]men!A37</f>
        <v>100</v>
      </c>
      <c r="B42" s="1">
        <f>[2]men!B37</f>
        <v>145</v>
      </c>
      <c r="C42" t="str">
        <f>[2]men!C37</f>
        <v>Bukharin Alexander</v>
      </c>
      <c r="D42">
        <f>[2]men!D37</f>
        <v>99</v>
      </c>
      <c r="E42" t="str">
        <f>[2]men!E37</f>
        <v>RUS</v>
      </c>
      <c r="F42" s="3" t="str">
        <f>[2]men!F37</f>
        <v>22.08.2014</v>
      </c>
      <c r="G42" t="str">
        <f>[2]men!G37</f>
        <v>Moscow</v>
      </c>
      <c r="H42" t="str">
        <f>[2]men!H37</f>
        <v>4th</v>
      </c>
    </row>
    <row r="43" spans="1:8" x14ac:dyDescent="0.25">
      <c r="A43" s="1">
        <f>[2]men!A38</f>
        <v>110</v>
      </c>
      <c r="B43" s="1" t="str">
        <f>[2]men!B38</f>
        <v xml:space="preserve"> </v>
      </c>
      <c r="C43" t="str">
        <f>[2]men!C38</f>
        <v xml:space="preserve"> </v>
      </c>
      <c r="D43" t="str">
        <f>[2]men!D38</f>
        <v xml:space="preserve"> </v>
      </c>
      <c r="E43" t="str">
        <f>[2]men!E38</f>
        <v xml:space="preserve"> </v>
      </c>
      <c r="F43" s="3" t="str">
        <f>[2]men!F38</f>
        <v xml:space="preserve"> </v>
      </c>
      <c r="G43" t="str">
        <f>[2]men!G38</f>
        <v xml:space="preserve"> </v>
      </c>
      <c r="H43" t="str">
        <f>[2]men!H38</f>
        <v xml:space="preserve"> </v>
      </c>
    </row>
    <row r="44" spans="1:8" x14ac:dyDescent="0.25">
      <c r="A44" s="1">
        <f>[2]men!A39</f>
        <v>125</v>
      </c>
      <c r="B44" s="1">
        <f>[2]men!B39</f>
        <v>137.5</v>
      </c>
      <c r="C44" t="str">
        <f>[2]men!C39</f>
        <v>Howard Triston</v>
      </c>
      <c r="D44">
        <f>[2]men!D39</f>
        <v>96</v>
      </c>
      <c r="E44" t="str">
        <f>[2]men!E39</f>
        <v>USA</v>
      </c>
      <c r="F44" s="3">
        <f>[2]men!F39</f>
        <v>40787</v>
      </c>
      <c r="G44" t="str">
        <f>[2]men!G39</f>
        <v>Idaho Falls</v>
      </c>
      <c r="H44" t="str">
        <f>[2]men!H39</f>
        <v xml:space="preserve"> </v>
      </c>
    </row>
    <row r="45" spans="1:8" x14ac:dyDescent="0.25">
      <c r="A45" s="1">
        <f>[2]men!A40</f>
        <v>140</v>
      </c>
      <c r="B45" s="1" t="str">
        <f>[2]men!B40</f>
        <v xml:space="preserve"> </v>
      </c>
      <c r="C45" t="str">
        <f>[2]men!C40</f>
        <v xml:space="preserve"> </v>
      </c>
      <c r="D45" t="str">
        <f>[2]men!D40</f>
        <v xml:space="preserve"> </v>
      </c>
      <c r="E45" t="str">
        <f>[2]men!E40</f>
        <v xml:space="preserve"> </v>
      </c>
      <c r="F45" s="3" t="str">
        <f>[2]men!F40</f>
        <v xml:space="preserve"> </v>
      </c>
      <c r="G45" t="str">
        <f>[2]men!G40</f>
        <v xml:space="preserve"> </v>
      </c>
      <c r="H45" t="str">
        <f>[2]men!H40</f>
        <v xml:space="preserve"> </v>
      </c>
    </row>
    <row r="46" spans="1:8" x14ac:dyDescent="0.25">
      <c r="A46" s="1" t="str">
        <f>[2]men!A41</f>
        <v>140+</v>
      </c>
      <c r="B46" s="1" t="str">
        <f>[2]men!B41</f>
        <v xml:space="preserve"> </v>
      </c>
      <c r="C46" t="str">
        <f>[2]men!C41</f>
        <v xml:space="preserve"> </v>
      </c>
      <c r="D46" t="str">
        <f>[2]men!D41</f>
        <v xml:space="preserve"> </v>
      </c>
      <c r="E46" t="str">
        <f>[2]men!E41</f>
        <v xml:space="preserve"> </v>
      </c>
      <c r="F46" s="3" t="str">
        <f>[2]men!F41</f>
        <v xml:space="preserve"> </v>
      </c>
      <c r="G46" t="str">
        <f>[2]men!G41</f>
        <v xml:space="preserve"> </v>
      </c>
      <c r="H46" t="str">
        <f>[2]men!H41</f>
        <v xml:space="preserve"> </v>
      </c>
    </row>
    <row r="48" spans="1:8" s="11" customFormat="1" x14ac:dyDescent="0.25">
      <c r="A48" s="22" t="s">
        <v>0</v>
      </c>
      <c r="B48" s="22">
        <v>1</v>
      </c>
      <c r="C48" s="11">
        <v>16</v>
      </c>
      <c r="D48" s="11" t="str">
        <f>[2]men!C42</f>
        <v xml:space="preserve">16-17 </v>
      </c>
      <c r="F48" s="15"/>
    </row>
    <row r="49" spans="1:8" x14ac:dyDescent="0.25">
      <c r="A49" s="1">
        <f>[2]men!A43</f>
        <v>52</v>
      </c>
      <c r="B49" s="1">
        <f>[2]men!B43</f>
        <v>85</v>
      </c>
      <c r="C49" t="str">
        <f>[2]men!C43</f>
        <v>Gorelkin Ivan</v>
      </c>
      <c r="D49">
        <f>[2]men!D43</f>
        <v>94</v>
      </c>
      <c r="E49" t="str">
        <f>[2]men!E43</f>
        <v>RUS</v>
      </c>
      <c r="F49" s="3">
        <f>[2]men!F43</f>
        <v>40769</v>
      </c>
      <c r="G49" t="str">
        <f>[2]men!G43</f>
        <v>Kursk</v>
      </c>
      <c r="H49" t="str">
        <f>[2]men!H43</f>
        <v xml:space="preserve"> </v>
      </c>
    </row>
    <row r="50" spans="1:8" x14ac:dyDescent="0.25">
      <c r="A50" s="1">
        <f>[2]men!A44</f>
        <v>56</v>
      </c>
      <c r="B50" s="1">
        <f>[2]men!B44</f>
        <v>110</v>
      </c>
      <c r="C50" t="str">
        <f>[2]men!C44</f>
        <v>Istomin Alexei</v>
      </c>
      <c r="D50">
        <f>[2]men!D44</f>
        <v>96</v>
      </c>
      <c r="E50" t="str">
        <f>[2]men!E44</f>
        <v>RUS</v>
      </c>
      <c r="F50" s="3">
        <f>[2]men!F44</f>
        <v>41720</v>
      </c>
      <c r="G50" t="str">
        <f>[2]men!G44</f>
        <v>Vologda</v>
      </c>
      <c r="H50" t="str">
        <f>[2]men!H44</f>
        <v xml:space="preserve"> </v>
      </c>
    </row>
    <row r="51" spans="1:8" x14ac:dyDescent="0.25">
      <c r="A51" s="1">
        <f>[2]men!A45</f>
        <v>60</v>
      </c>
      <c r="B51" s="1">
        <f>[2]men!B45</f>
        <v>120</v>
      </c>
      <c r="C51" t="str">
        <f>[2]men!C45</f>
        <v>Gladyshchev Artur</v>
      </c>
      <c r="D51">
        <f>[2]men!D45</f>
        <v>96</v>
      </c>
      <c r="E51" t="str">
        <f>[2]men!E45</f>
        <v>RUS</v>
      </c>
      <c r="F51" s="3" t="str">
        <f>[2]men!F45</f>
        <v>22.08.2014</v>
      </c>
      <c r="G51" t="str">
        <f>[2]men!G45</f>
        <v>Moscow</v>
      </c>
      <c r="H51" t="str">
        <f>[2]men!H45</f>
        <v xml:space="preserve"> </v>
      </c>
    </row>
    <row r="52" spans="1:8" x14ac:dyDescent="0.25">
      <c r="A52" s="1">
        <f>[2]men!A46</f>
        <v>67.5</v>
      </c>
      <c r="B52" s="1">
        <f>[2]men!B46</f>
        <v>130</v>
      </c>
      <c r="C52" t="str">
        <f>[2]men!C46</f>
        <v>Rzhevskiy Dmitriy</v>
      </c>
      <c r="D52">
        <f>[2]men!D46</f>
        <v>96</v>
      </c>
      <c r="E52" t="str">
        <f>[2]men!E46</f>
        <v>RUS</v>
      </c>
      <c r="F52" s="3">
        <f>[2]men!F46</f>
        <v>41618</v>
      </c>
      <c r="G52" t="str">
        <f>[2]men!G46</f>
        <v>Kursk</v>
      </c>
      <c r="H52" t="str">
        <f>[2]men!H46</f>
        <v xml:space="preserve"> </v>
      </c>
    </row>
    <row r="53" spans="1:8" x14ac:dyDescent="0.25">
      <c r="A53" s="1">
        <f>[2]men!A47</f>
        <v>75</v>
      </c>
      <c r="B53" s="1">
        <f>[2]men!B47</f>
        <v>150</v>
      </c>
      <c r="C53" t="str">
        <f>[2]men!C47</f>
        <v>Yazovskikh Yaroslav</v>
      </c>
      <c r="D53">
        <f>[2]men!D47</f>
        <v>97</v>
      </c>
      <c r="E53" t="str">
        <f>[2]men!E47</f>
        <v>RUS</v>
      </c>
      <c r="F53" s="3">
        <f>[2]men!F47</f>
        <v>41608</v>
      </c>
      <c r="G53" t="str">
        <f>[2]men!G47</f>
        <v>Yekaterinburg</v>
      </c>
      <c r="H53" t="str">
        <f>[2]men!H47</f>
        <v xml:space="preserve"> </v>
      </c>
    </row>
    <row r="54" spans="1:8" x14ac:dyDescent="0.25">
      <c r="A54" s="1">
        <f>[2]men!A48</f>
        <v>82.5</v>
      </c>
      <c r="B54" s="1">
        <f>[2]men!B48</f>
        <v>160</v>
      </c>
      <c r="C54" t="str">
        <f>[2]men!C48</f>
        <v>Grigoryan Armand</v>
      </c>
      <c r="D54">
        <f>[2]men!D48</f>
        <v>94</v>
      </c>
      <c r="E54" t="str">
        <f>[2]men!E48</f>
        <v>RUS</v>
      </c>
      <c r="F54" s="3">
        <f>[2]men!F48</f>
        <v>40769</v>
      </c>
      <c r="G54" t="str">
        <f>[2]men!G48</f>
        <v>Kursk</v>
      </c>
      <c r="H54" t="str">
        <f>[2]men!H48</f>
        <v xml:space="preserve"> </v>
      </c>
    </row>
    <row r="55" spans="1:8" x14ac:dyDescent="0.25">
      <c r="A55" s="1">
        <f>[2]men!A49</f>
        <v>90</v>
      </c>
      <c r="B55" s="1">
        <f>[2]men!B49</f>
        <v>155</v>
      </c>
      <c r="C55" t="str">
        <f>[2]men!C49</f>
        <v>Zaborovsky Georgy</v>
      </c>
      <c r="D55">
        <f>[2]men!D49</f>
        <v>92</v>
      </c>
      <c r="E55" t="str">
        <f>[2]men!E49</f>
        <v>RUS</v>
      </c>
      <c r="F55" s="3">
        <f>[2]men!F49</f>
        <v>40088</v>
      </c>
      <c r="G55" t="str">
        <f>[2]men!G49</f>
        <v>Rostov</v>
      </c>
      <c r="H55" t="str">
        <f>[2]men!H49</f>
        <v xml:space="preserve"> </v>
      </c>
    </row>
    <row r="56" spans="1:8" x14ac:dyDescent="0.25">
      <c r="A56" s="1">
        <f>[2]men!A50</f>
        <v>100</v>
      </c>
      <c r="B56" s="1">
        <f>[2]men!B50</f>
        <v>170</v>
      </c>
      <c r="C56" t="str">
        <f>[2]men!C50</f>
        <v>Moskalenko Stanislav</v>
      </c>
      <c r="D56">
        <f>[2]men!D50</f>
        <v>92</v>
      </c>
      <c r="E56" t="str">
        <f>[2]men!E50</f>
        <v>RUS</v>
      </c>
      <c r="F56" s="3">
        <f>[2]men!F50</f>
        <v>39871</v>
      </c>
      <c r="G56" t="str">
        <f>[2]men!G50</f>
        <v>Chelyabinsk</v>
      </c>
      <c r="H56" t="str">
        <f>[2]men!H50</f>
        <v>4th</v>
      </c>
    </row>
    <row r="57" spans="1:8" x14ac:dyDescent="0.25">
      <c r="A57" s="1">
        <f>[2]men!A51</f>
        <v>110</v>
      </c>
      <c r="B57" s="1">
        <f>[2]men!B51</f>
        <v>155</v>
      </c>
      <c r="C57" t="str">
        <f>[2]men!C51</f>
        <v>Petrov Yevgeniy</v>
      </c>
      <c r="D57">
        <f>[2]men!D51</f>
        <v>96</v>
      </c>
      <c r="E57" t="str">
        <f>[2]men!E51</f>
        <v>RUS</v>
      </c>
      <c r="F57" s="3" t="str">
        <f>[2]men!F51</f>
        <v>22.08.2014</v>
      </c>
      <c r="G57" t="str">
        <f>[2]men!G51</f>
        <v>Moscow</v>
      </c>
      <c r="H57" t="str">
        <f>[2]men!H51</f>
        <v xml:space="preserve"> </v>
      </c>
    </row>
    <row r="58" spans="1:8" x14ac:dyDescent="0.25">
      <c r="A58" s="1">
        <f>[2]men!A52</f>
        <v>125</v>
      </c>
      <c r="B58" s="1">
        <f>[2]men!B52</f>
        <v>160</v>
      </c>
      <c r="C58" t="str">
        <f>[2]men!C52</f>
        <v>Mashak Jesse</v>
      </c>
      <c r="D58">
        <f>[2]men!D52</f>
        <v>94</v>
      </c>
      <c r="E58" t="str">
        <f>[2]men!E52</f>
        <v>USA</v>
      </c>
      <c r="F58" s="3">
        <f>[2]men!F52</f>
        <v>41012</v>
      </c>
      <c r="G58" t="str">
        <f>[2]men!G52</f>
        <v>Burr Ridge</v>
      </c>
      <c r="H58" t="str">
        <f>[2]men!H52</f>
        <v>4th</v>
      </c>
    </row>
    <row r="59" spans="1:8" x14ac:dyDescent="0.25">
      <c r="A59" s="1">
        <f>[2]men!A53</f>
        <v>140</v>
      </c>
      <c r="B59" s="1" t="str">
        <f>[2]men!B53</f>
        <v xml:space="preserve"> </v>
      </c>
      <c r="C59" t="str">
        <f>[2]men!C53</f>
        <v xml:space="preserve"> </v>
      </c>
      <c r="D59" t="str">
        <f>[2]men!D53</f>
        <v xml:space="preserve"> </v>
      </c>
      <c r="E59" t="str">
        <f>[2]men!E53</f>
        <v xml:space="preserve"> </v>
      </c>
      <c r="F59" s="3" t="str">
        <f>[2]men!F53</f>
        <v xml:space="preserve"> </v>
      </c>
      <c r="G59" t="str">
        <f>[2]men!G53</f>
        <v xml:space="preserve"> </v>
      </c>
      <c r="H59" t="str">
        <f>[2]men!H53</f>
        <v xml:space="preserve"> </v>
      </c>
    </row>
    <row r="60" spans="1:8" x14ac:dyDescent="0.25">
      <c r="A60" s="1" t="str">
        <f>[2]men!A54</f>
        <v>140+</v>
      </c>
      <c r="B60" s="1">
        <f>[2]men!B54</f>
        <v>107.5</v>
      </c>
      <c r="C60" t="str">
        <f>[2]men!C54</f>
        <v>Savenkov Kirill</v>
      </c>
      <c r="D60">
        <f>[2]men!D54</f>
        <v>95</v>
      </c>
      <c r="E60" t="str">
        <f>[2]men!E54</f>
        <v>RUS</v>
      </c>
      <c r="F60" s="3">
        <f>[2]men!F54</f>
        <v>41137</v>
      </c>
      <c r="G60" t="str">
        <f>[2]men!G54</f>
        <v>Novosibirsk</v>
      </c>
      <c r="H60" t="str">
        <f>[2]men!H54</f>
        <v xml:space="preserve"> </v>
      </c>
    </row>
    <row r="62" spans="1:8" s="11" customFormat="1" x14ac:dyDescent="0.25">
      <c r="A62" s="22" t="s">
        <v>0</v>
      </c>
      <c r="B62" s="22">
        <v>1</v>
      </c>
      <c r="C62" s="11">
        <v>18</v>
      </c>
      <c r="D62" s="11" t="str">
        <f>[2]men!C55</f>
        <v xml:space="preserve">18-19 </v>
      </c>
      <c r="F62" s="15"/>
    </row>
    <row r="63" spans="1:8" x14ac:dyDescent="0.25">
      <c r="A63" s="1">
        <f>[2]men!A56</f>
        <v>52</v>
      </c>
      <c r="B63" s="1">
        <f>[2]men!B56</f>
        <v>105</v>
      </c>
      <c r="C63" t="str">
        <f>[2]men!C56</f>
        <v>Gorelkin Ivan</v>
      </c>
      <c r="D63">
        <f>[2]men!D56</f>
        <v>94</v>
      </c>
      <c r="E63" t="str">
        <f>[2]men!E56</f>
        <v>RUS</v>
      </c>
      <c r="F63" s="3">
        <f>[2]men!F56</f>
        <v>41128</v>
      </c>
      <c r="G63" t="str">
        <f>[2]men!G56</f>
        <v>Kryvyi Rig</v>
      </c>
      <c r="H63" t="str">
        <f>[2]men!H56</f>
        <v xml:space="preserve"> </v>
      </c>
    </row>
    <row r="64" spans="1:8" x14ac:dyDescent="0.25">
      <c r="A64" s="1">
        <f>[2]men!A57</f>
        <v>56</v>
      </c>
      <c r="B64" s="1">
        <f>[2]men!B57</f>
        <v>122.5</v>
      </c>
      <c r="C64" t="str">
        <f>[2]men!C57</f>
        <v>Malyshev Andrei</v>
      </c>
      <c r="D64">
        <f>[2]men!D57</f>
        <v>94</v>
      </c>
      <c r="E64" t="str">
        <f>[2]men!E57</f>
        <v>RUS</v>
      </c>
      <c r="F64" s="3">
        <f>[2]men!F57</f>
        <v>41586</v>
      </c>
      <c r="G64" t="str">
        <f>[2]men!G57</f>
        <v>Vologda</v>
      </c>
      <c r="H64" t="str">
        <f>[2]men!H57</f>
        <v xml:space="preserve"> </v>
      </c>
    </row>
    <row r="65" spans="1:8" x14ac:dyDescent="0.25">
      <c r="A65" s="1">
        <f>[2]men!A58</f>
        <v>60</v>
      </c>
      <c r="B65" s="1">
        <f>[2]men!B58</f>
        <v>140</v>
      </c>
      <c r="C65" t="str">
        <f>[2]men!C58</f>
        <v>Bragin Sergiy</v>
      </c>
      <c r="D65">
        <f>[2]men!D58</f>
        <v>91</v>
      </c>
      <c r="E65" t="str">
        <f>[2]men!E58</f>
        <v>UKR</v>
      </c>
      <c r="F65" s="3">
        <f>[2]men!F58</f>
        <v>40088</v>
      </c>
      <c r="G65" t="str">
        <f>[2]men!G58</f>
        <v>Rostov</v>
      </c>
      <c r="H65" t="str">
        <f>[2]men!H58</f>
        <v>4th</v>
      </c>
    </row>
    <row r="66" spans="1:8" x14ac:dyDescent="0.25">
      <c r="A66" s="1">
        <f>[2]men!A59</f>
        <v>67.5</v>
      </c>
      <c r="B66" s="1">
        <f>[2]men!B59</f>
        <v>135</v>
      </c>
      <c r="C66" t="str">
        <f>[2]men!C59</f>
        <v>Semerenko Alexander</v>
      </c>
      <c r="D66">
        <f>[2]men!D59</f>
        <v>96</v>
      </c>
      <c r="E66" t="str">
        <f>[2]men!E59</f>
        <v>RUS</v>
      </c>
      <c r="F66" s="3" t="str">
        <f>[2]men!F59</f>
        <v>22.08.2014</v>
      </c>
      <c r="G66" t="str">
        <f>[2]men!G59</f>
        <v>Moscow</v>
      </c>
      <c r="H66" t="str">
        <f>[2]men!H59</f>
        <v xml:space="preserve"> </v>
      </c>
    </row>
    <row r="67" spans="1:8" x14ac:dyDescent="0.25">
      <c r="A67" s="1">
        <f>[2]men!A60</f>
        <v>75</v>
      </c>
      <c r="B67" s="1">
        <f>[2]men!B60</f>
        <v>160</v>
      </c>
      <c r="C67" t="str">
        <f>[2]men!C60</f>
        <v>Khadziev Vakha</v>
      </c>
      <c r="D67">
        <f>[2]men!D60</f>
        <v>94</v>
      </c>
      <c r="E67" t="str">
        <f>[2]men!E60</f>
        <v>RUS</v>
      </c>
      <c r="F67" s="3" t="str">
        <f>[2]men!F60</f>
        <v>22.08.2014</v>
      </c>
      <c r="G67" t="str">
        <f>[2]men!G60</f>
        <v>Moscow</v>
      </c>
      <c r="H67" t="str">
        <f>[2]men!H60</f>
        <v>4th</v>
      </c>
    </row>
    <row r="68" spans="1:8" x14ac:dyDescent="0.25">
      <c r="A68" s="1">
        <f>[2]men!A61</f>
        <v>82.5</v>
      </c>
      <c r="B68" s="1">
        <f>[2]men!B61</f>
        <v>175</v>
      </c>
      <c r="C68" t="str">
        <f>[2]men!C61</f>
        <v>Dronov Bogdan</v>
      </c>
      <c r="D68">
        <f>[2]men!D61</f>
        <v>94</v>
      </c>
      <c r="E68" t="str">
        <f>[2]men!E61</f>
        <v>RUS</v>
      </c>
      <c r="F68" s="3">
        <f>[2]men!F61</f>
        <v>41438</v>
      </c>
      <c r="G68" t="str">
        <f>[2]men!G61</f>
        <v>Moscow</v>
      </c>
      <c r="H68">
        <f>[2]men!H61</f>
        <v>0</v>
      </c>
    </row>
    <row r="69" spans="1:8" x14ac:dyDescent="0.25">
      <c r="A69" s="1">
        <f>[2]men!A62</f>
        <v>90</v>
      </c>
      <c r="B69" s="1">
        <f>[2]men!B62</f>
        <v>191</v>
      </c>
      <c r="C69" t="str">
        <f>[2]men!C62</f>
        <v>Grigoryan Armand</v>
      </c>
      <c r="D69">
        <f>[2]men!D62</f>
        <v>94</v>
      </c>
      <c r="E69" t="str">
        <f>[2]men!E62</f>
        <v>RUS</v>
      </c>
      <c r="F69" s="3">
        <f>[2]men!F62</f>
        <v>41128</v>
      </c>
      <c r="G69" t="str">
        <f>[2]men!G62</f>
        <v>Kryvyi Rig</v>
      </c>
      <c r="H69" t="str">
        <f>[2]men!H62</f>
        <v>4th</v>
      </c>
    </row>
    <row r="70" spans="1:8" x14ac:dyDescent="0.25">
      <c r="A70" s="1">
        <f>[2]men!A63</f>
        <v>100</v>
      </c>
      <c r="B70" s="1">
        <f>[2]men!B63</f>
        <v>160</v>
      </c>
      <c r="C70" t="str">
        <f>[2]men!C63</f>
        <v>Fedoseev Olexandr</v>
      </c>
      <c r="D70">
        <f>[2]men!D63</f>
        <v>91</v>
      </c>
      <c r="E70" t="str">
        <f>[2]men!E63</f>
        <v>UKR</v>
      </c>
      <c r="F70" s="3">
        <f>[2]men!F63</f>
        <v>40088</v>
      </c>
      <c r="G70" t="str">
        <f>[2]men!G63</f>
        <v>Rostov</v>
      </c>
      <c r="H70" t="str">
        <f>[2]men!H63</f>
        <v xml:space="preserve"> </v>
      </c>
    </row>
    <row r="71" spans="1:8" x14ac:dyDescent="0.25">
      <c r="A71" s="1">
        <f>[2]men!A64</f>
        <v>110</v>
      </c>
      <c r="B71" s="1">
        <f>[2]men!B64</f>
        <v>172.5</v>
      </c>
      <c r="C71" t="str">
        <f>[2]men!C64</f>
        <v>Lemeschenko Yevgeniy</v>
      </c>
      <c r="D71">
        <f>[2]men!D64</f>
        <v>95</v>
      </c>
      <c r="E71" t="str">
        <f>[2]men!E64</f>
        <v>RUS</v>
      </c>
      <c r="F71" s="3">
        <f>[2]men!F64</f>
        <v>41496</v>
      </c>
      <c r="G71" t="str">
        <f>[2]men!G64</f>
        <v>Kursk</v>
      </c>
      <c r="H71" t="str">
        <f>[2]men!H64</f>
        <v xml:space="preserve"> </v>
      </c>
    </row>
    <row r="72" spans="1:8" x14ac:dyDescent="0.25">
      <c r="A72" s="1">
        <f>[2]men!A65</f>
        <v>125</v>
      </c>
      <c r="B72" s="1">
        <f>[2]men!B65</f>
        <v>207.5</v>
      </c>
      <c r="C72" t="str">
        <f>[2]men!C65</f>
        <v>Yuzhakov Anton</v>
      </c>
      <c r="D72">
        <f>[2]men!D65</f>
        <v>93</v>
      </c>
      <c r="E72" t="str">
        <f>[2]men!E65</f>
        <v>UKR</v>
      </c>
      <c r="F72" s="3">
        <f>[2]men!F65</f>
        <v>41129</v>
      </c>
      <c r="G72" t="str">
        <f>[2]men!G65</f>
        <v>Kryvyi Rig</v>
      </c>
      <c r="H72" t="str">
        <f>[2]men!H65</f>
        <v xml:space="preserve"> </v>
      </c>
    </row>
    <row r="73" spans="1:8" x14ac:dyDescent="0.25">
      <c r="A73" s="1">
        <f>[2]men!A66</f>
        <v>140</v>
      </c>
      <c r="B73" s="1">
        <f>[2]men!B66</f>
        <v>215</v>
      </c>
      <c r="C73" t="str">
        <f>[2]men!C66</f>
        <v>Hipply Seth</v>
      </c>
      <c r="D73">
        <f>[2]men!D66</f>
        <v>94</v>
      </c>
      <c r="E73" t="str">
        <f>[2]men!E66</f>
        <v>USA</v>
      </c>
      <c r="F73" s="3">
        <f>[2]men!F66</f>
        <v>41475</v>
      </c>
      <c r="G73" t="str">
        <f>[2]men!G66</f>
        <v>Detroit</v>
      </c>
      <c r="H73" t="str">
        <f>[2]men!H66</f>
        <v xml:space="preserve"> </v>
      </c>
    </row>
    <row r="74" spans="1:8" x14ac:dyDescent="0.25">
      <c r="A74" s="1" t="str">
        <f>[2]men!A67</f>
        <v>140+</v>
      </c>
      <c r="B74" s="1">
        <f>[2]men!B67</f>
        <v>177.5</v>
      </c>
      <c r="C74" t="str">
        <f>[2]men!C67</f>
        <v>Kaiser Mason</v>
      </c>
      <c r="D74">
        <f>[2]men!D67</f>
        <v>91</v>
      </c>
      <c r="E74" t="str">
        <f>[2]men!E67</f>
        <v>USA</v>
      </c>
      <c r="F74" s="3">
        <f>[2]men!F67</f>
        <v>40424</v>
      </c>
      <c r="G74" t="str">
        <f>[2]men!G67</f>
        <v>Idaho Falls</v>
      </c>
      <c r="H74" t="str">
        <f>[2]men!H67</f>
        <v xml:space="preserve"> </v>
      </c>
    </row>
    <row r="76" spans="1:8" s="11" customFormat="1" x14ac:dyDescent="0.25">
      <c r="A76" s="22" t="s">
        <v>0</v>
      </c>
      <c r="B76" s="22">
        <v>1</v>
      </c>
      <c r="C76" s="11">
        <v>-4</v>
      </c>
      <c r="D76" s="11" t="str">
        <f>[2]men!C68</f>
        <v>Men's Submaster 33-39</v>
      </c>
      <c r="F76" s="15"/>
    </row>
    <row r="77" spans="1:8" x14ac:dyDescent="0.25">
      <c r="A77" s="1">
        <f>[2]men!A69</f>
        <v>52</v>
      </c>
      <c r="B77" s="1">
        <f>[2]men!B69</f>
        <v>147.5</v>
      </c>
      <c r="C77" t="str">
        <f>[2]men!C69</f>
        <v>Shanin Alexandr</v>
      </c>
      <c r="D77">
        <f>[2]men!D69</f>
        <v>78</v>
      </c>
      <c r="E77" t="str">
        <f>[2]men!E69</f>
        <v>RUS</v>
      </c>
      <c r="F77" s="3">
        <f>[2]men!F69</f>
        <v>41608</v>
      </c>
      <c r="G77" t="str">
        <f>[2]men!G69</f>
        <v>Yekaterinburg</v>
      </c>
      <c r="H77" t="str">
        <f>[2]men!H69</f>
        <v xml:space="preserve"> </v>
      </c>
    </row>
    <row r="78" spans="1:8" x14ac:dyDescent="0.25">
      <c r="A78" s="1">
        <f>[2]men!A70</f>
        <v>56</v>
      </c>
      <c r="B78" s="1">
        <f>[2]men!B70</f>
        <v>127.5</v>
      </c>
      <c r="C78" t="str">
        <f>[2]men!C70</f>
        <v>Artemyev Oleg</v>
      </c>
      <c r="D78">
        <f>[2]men!D70</f>
        <v>71</v>
      </c>
      <c r="E78" t="str">
        <f>[2]men!E70</f>
        <v>RUS</v>
      </c>
      <c r="F78" s="3">
        <f>[2]men!F70</f>
        <v>40088</v>
      </c>
      <c r="G78" t="str">
        <f>[2]men!G70</f>
        <v>Rostov</v>
      </c>
      <c r="H78" t="str">
        <f>[2]men!H70</f>
        <v xml:space="preserve"> </v>
      </c>
    </row>
    <row r="79" spans="1:8" x14ac:dyDescent="0.25">
      <c r="A79" s="1">
        <f>[2]men!A71</f>
        <v>60</v>
      </c>
      <c r="B79" s="1">
        <f>[2]men!B71</f>
        <v>117.5</v>
      </c>
      <c r="C79" t="str">
        <f>[2]men!C71</f>
        <v>Fedorov Alexander</v>
      </c>
      <c r="D79">
        <f>[2]men!D71</f>
        <v>76</v>
      </c>
      <c r="E79" t="str">
        <f>[2]men!E71</f>
        <v>RUS</v>
      </c>
      <c r="F79" s="3">
        <f>[2]men!F71</f>
        <v>40409</v>
      </c>
      <c r="G79" t="str">
        <f>[2]men!G71</f>
        <v>Moscow</v>
      </c>
      <c r="H79" t="str">
        <f>[2]men!H71</f>
        <v xml:space="preserve"> </v>
      </c>
    </row>
    <row r="80" spans="1:8" x14ac:dyDescent="0.25">
      <c r="A80" s="1">
        <f>[2]men!A72</f>
        <v>67.5</v>
      </c>
      <c r="B80" s="1">
        <f>[2]men!B72</f>
        <v>162.5</v>
      </c>
      <c r="C80" t="str">
        <f>[2]men!C72</f>
        <v>Alexandrov Alexander</v>
      </c>
      <c r="D80">
        <f>[2]men!D72</f>
        <v>79</v>
      </c>
      <c r="E80" t="str">
        <f>[2]men!E72</f>
        <v xml:space="preserve"> RUS</v>
      </c>
      <c r="F80" s="3">
        <f>[2]men!F72</f>
        <v>41137</v>
      </c>
      <c r="G80" t="str">
        <f>[2]men!G72</f>
        <v>Novosibirsk</v>
      </c>
      <c r="H80" t="str">
        <f>[2]men!H72</f>
        <v xml:space="preserve"> </v>
      </c>
    </row>
    <row r="81" spans="1:8" x14ac:dyDescent="0.25">
      <c r="A81" s="1">
        <f>[2]men!A73</f>
        <v>75</v>
      </c>
      <c r="B81" s="1">
        <f>[2]men!B73</f>
        <v>180</v>
      </c>
      <c r="C81" t="str">
        <f>[2]men!C73</f>
        <v>Babin Ilya</v>
      </c>
      <c r="D81">
        <f>[2]men!D73</f>
        <v>80</v>
      </c>
      <c r="E81" t="str">
        <f>[2]men!E73</f>
        <v>RUS</v>
      </c>
      <c r="F81" s="3">
        <f>[2]men!F73</f>
        <v>41618</v>
      </c>
      <c r="G81" t="str">
        <f>[2]men!G73</f>
        <v>Kursk</v>
      </c>
      <c r="H81" t="str">
        <f>[2]men!H73</f>
        <v xml:space="preserve"> </v>
      </c>
    </row>
    <row r="82" spans="1:8" x14ac:dyDescent="0.25">
      <c r="A82" s="1">
        <f>[2]men!A74</f>
        <v>82.5</v>
      </c>
      <c r="B82" s="1">
        <f>[2]men!B74</f>
        <v>185</v>
      </c>
      <c r="C82" t="str">
        <f>[2]men!C74</f>
        <v>Galaida Andrei</v>
      </c>
      <c r="D82">
        <f>[2]men!D74</f>
        <v>72</v>
      </c>
      <c r="E82" t="str">
        <f>[2]men!E74</f>
        <v>RUS</v>
      </c>
      <c r="F82" s="3">
        <f>[2]men!F74</f>
        <v>40088</v>
      </c>
      <c r="G82" t="str">
        <f>[2]men!G74</f>
        <v>Rostov</v>
      </c>
      <c r="H82" t="str">
        <f>[2]men!H74</f>
        <v xml:space="preserve"> </v>
      </c>
    </row>
    <row r="83" spans="1:8" x14ac:dyDescent="0.25">
      <c r="A83" s="1">
        <f>[2]men!A75</f>
        <v>90</v>
      </c>
      <c r="B83" s="1">
        <f>[2]men!B75</f>
        <v>203</v>
      </c>
      <c r="C83" t="str">
        <f>[2]men!C75</f>
        <v>Kharauzov Alexei</v>
      </c>
      <c r="D83">
        <f>[2]men!D75</f>
        <v>73</v>
      </c>
      <c r="E83" t="str">
        <f>[2]men!E75</f>
        <v>RUS</v>
      </c>
      <c r="F83" s="3">
        <f>[2]men!F75</f>
        <v>41546</v>
      </c>
      <c r="G83" t="str">
        <f>[2]men!G75</f>
        <v>Yekaterinburg</v>
      </c>
      <c r="H83" t="str">
        <f>[2]men!H75</f>
        <v xml:space="preserve"> </v>
      </c>
    </row>
    <row r="84" spans="1:8" x14ac:dyDescent="0.25">
      <c r="A84" s="1">
        <f>[2]men!A76</f>
        <v>100</v>
      </c>
      <c r="B84" s="1">
        <f>[2]men!B76</f>
        <v>210</v>
      </c>
      <c r="C84" t="str">
        <f>[2]men!C76</f>
        <v>Koshechkin Konstantin</v>
      </c>
      <c r="D84">
        <f>[2]men!D76</f>
        <v>73</v>
      </c>
      <c r="E84" t="str">
        <f>[2]men!E76</f>
        <v>RUS</v>
      </c>
      <c r="F84" s="3">
        <f>[2]men!F76</f>
        <v>40787</v>
      </c>
      <c r="G84" t="str">
        <f>[2]men!G76</f>
        <v>Idaho Falls</v>
      </c>
      <c r="H84" t="str">
        <f>[2]men!H76</f>
        <v xml:space="preserve"> </v>
      </c>
    </row>
    <row r="85" spans="1:8" x14ac:dyDescent="0.25">
      <c r="A85" s="1">
        <f>[2]men!A77</f>
        <v>110</v>
      </c>
      <c r="B85" s="1">
        <f>[2]men!B77</f>
        <v>232.5</v>
      </c>
      <c r="C85" t="str">
        <f>[2]men!C77</f>
        <v>Tenetko Dmitriy</v>
      </c>
      <c r="D85">
        <f>[2]men!D77</f>
        <v>75</v>
      </c>
      <c r="E85" t="str">
        <f>[2]men!E77</f>
        <v>RUS</v>
      </c>
      <c r="F85" s="3" t="str">
        <f>[2]men!F77</f>
        <v>23.08.2014</v>
      </c>
      <c r="G85" t="str">
        <f>[2]men!G77</f>
        <v>Moscow</v>
      </c>
      <c r="H85" t="str">
        <f>[2]men!H77</f>
        <v xml:space="preserve"> </v>
      </c>
    </row>
    <row r="86" spans="1:8" x14ac:dyDescent="0.25">
      <c r="A86" s="1">
        <f>[2]men!A78</f>
        <v>125</v>
      </c>
      <c r="B86" s="1">
        <f>[2]men!B78</f>
        <v>237.5</v>
      </c>
      <c r="C86" t="str">
        <f>[2]men!C78</f>
        <v>Bujinlkham Altangerel</v>
      </c>
      <c r="D86">
        <f>[2]men!D78</f>
        <v>76</v>
      </c>
      <c r="E86" t="str">
        <f>[2]men!E78</f>
        <v>MGL</v>
      </c>
      <c r="F86" s="3" t="str">
        <f>[2]men!F78</f>
        <v>23.08.2014</v>
      </c>
      <c r="G86" t="str">
        <f>[2]men!G78</f>
        <v>Moscow</v>
      </c>
      <c r="H86" t="str">
        <f>[2]men!H78</f>
        <v xml:space="preserve"> </v>
      </c>
    </row>
    <row r="87" spans="1:8" x14ac:dyDescent="0.25">
      <c r="A87" s="1">
        <f>[2]men!A79</f>
        <v>140</v>
      </c>
      <c r="B87" s="1">
        <f>[2]men!B79</f>
        <v>230</v>
      </c>
      <c r="C87" t="str">
        <f>[2]men!C79</f>
        <v>Khudyakov Sergei</v>
      </c>
      <c r="D87">
        <f>[2]men!D79</f>
        <v>75</v>
      </c>
      <c r="E87" t="str">
        <f>[2]men!E79</f>
        <v>RUS</v>
      </c>
      <c r="F87" s="3">
        <f>[2]men!F79</f>
        <v>41608</v>
      </c>
      <c r="G87" t="str">
        <f>[2]men!G79</f>
        <v>Yekaterinburg</v>
      </c>
      <c r="H87" t="str">
        <f>[2]men!H79</f>
        <v xml:space="preserve"> </v>
      </c>
    </row>
    <row r="88" spans="1:8" x14ac:dyDescent="0.25">
      <c r="A88" s="1" t="str">
        <f>[2]men!A80</f>
        <v>140+</v>
      </c>
      <c r="B88" s="1">
        <f>[2]men!B80</f>
        <v>262.5</v>
      </c>
      <c r="C88" t="str">
        <f>[2]men!C80</f>
        <v>Likens Wade</v>
      </c>
      <c r="D88">
        <f>[2]men!D80</f>
        <v>73</v>
      </c>
      <c r="E88" t="str">
        <f>[2]men!E80</f>
        <v>USA</v>
      </c>
      <c r="F88" s="3">
        <f>[2]men!F80</f>
        <v>41475</v>
      </c>
      <c r="G88" t="str">
        <f>[2]men!G80</f>
        <v>Detroit</v>
      </c>
      <c r="H88">
        <f>[2]men!H80</f>
        <v>0</v>
      </c>
    </row>
    <row r="89" spans="1:8" x14ac:dyDescent="0.25">
      <c r="B89" s="1" t="str">
        <f>[2]men!B81</f>
        <v xml:space="preserve"> </v>
      </c>
      <c r="C89" t="str">
        <f>[2]men!C81</f>
        <v>Men's Master</v>
      </c>
    </row>
    <row r="90" spans="1:8" s="11" customFormat="1" x14ac:dyDescent="0.25">
      <c r="A90" s="22" t="s">
        <v>0</v>
      </c>
      <c r="B90" s="22">
        <v>1</v>
      </c>
      <c r="C90" s="11">
        <v>40</v>
      </c>
      <c r="D90" s="11" t="str">
        <f>[2]men!C82</f>
        <v xml:space="preserve">40-44 </v>
      </c>
      <c r="F90" s="15"/>
    </row>
    <row r="91" spans="1:8" x14ac:dyDescent="0.25">
      <c r="A91" s="1">
        <f>[2]men!A83</f>
        <v>52</v>
      </c>
      <c r="B91" s="1" t="str">
        <f>[2]men!B83</f>
        <v xml:space="preserve"> </v>
      </c>
      <c r="C91" t="str">
        <f>[2]men!C83</f>
        <v xml:space="preserve"> </v>
      </c>
      <c r="D91" t="str">
        <f>[2]men!D83</f>
        <v xml:space="preserve"> </v>
      </c>
      <c r="E91" t="str">
        <f>[2]men!E83</f>
        <v xml:space="preserve"> </v>
      </c>
      <c r="F91" s="3" t="str">
        <f>[2]men!F83</f>
        <v xml:space="preserve"> </v>
      </c>
      <c r="G91" t="str">
        <f>[2]men!G83</f>
        <v xml:space="preserve"> </v>
      </c>
      <c r="H91" t="str">
        <f>[2]men!H83</f>
        <v xml:space="preserve"> </v>
      </c>
    </row>
    <row r="92" spans="1:8" x14ac:dyDescent="0.25">
      <c r="A92" s="1">
        <f>[2]men!A84</f>
        <v>56</v>
      </c>
      <c r="B92" s="1">
        <f>[2]men!B84</f>
        <v>117.5</v>
      </c>
      <c r="C92" t="str">
        <f>[2]men!C84</f>
        <v>Artemyev Igor</v>
      </c>
      <c r="D92">
        <f>[2]men!D84</f>
        <v>71</v>
      </c>
      <c r="E92" t="str">
        <f>[2]men!E84</f>
        <v>RUS</v>
      </c>
      <c r="F92" s="3">
        <f>[2]men!F84</f>
        <v>41128</v>
      </c>
      <c r="G92" t="str">
        <f>[2]men!G84</f>
        <v>Kryvyi Rig</v>
      </c>
      <c r="H92" t="str">
        <f>[2]men!H84</f>
        <v xml:space="preserve"> </v>
      </c>
    </row>
    <row r="93" spans="1:8" x14ac:dyDescent="0.25">
      <c r="A93" s="1">
        <f>[2]men!A85</f>
        <v>60</v>
      </c>
      <c r="B93" s="1">
        <f>[2]men!B85</f>
        <v>125</v>
      </c>
      <c r="C93" t="str">
        <f>[2]men!C85</f>
        <v>Artemyev Oleg</v>
      </c>
      <c r="D93">
        <f>[2]men!D85</f>
        <v>71</v>
      </c>
      <c r="E93" t="str">
        <f>[2]men!E85</f>
        <v>RUS</v>
      </c>
      <c r="F93" s="3">
        <f>[2]men!F85</f>
        <v>41128</v>
      </c>
      <c r="G93" t="str">
        <f>[2]men!G85</f>
        <v>Kryvyi Rig</v>
      </c>
      <c r="H93" t="str">
        <f>[2]men!H85</f>
        <v xml:space="preserve"> </v>
      </c>
    </row>
    <row r="94" spans="1:8" x14ac:dyDescent="0.25">
      <c r="A94" s="1">
        <f>[2]men!A86</f>
        <v>67.5</v>
      </c>
      <c r="B94" s="1">
        <f>[2]men!B86</f>
        <v>150</v>
      </c>
      <c r="C94" t="str">
        <f>[2]men!C86</f>
        <v>Zabolotnev Vladimir</v>
      </c>
      <c r="D94">
        <f>[2]men!D86</f>
        <v>68</v>
      </c>
      <c r="E94" t="str">
        <f>[2]men!E86</f>
        <v>RUS</v>
      </c>
      <c r="F94" s="3">
        <f>[2]men!F86</f>
        <v>40640</v>
      </c>
      <c r="G94" t="str">
        <f>[2]men!G86</f>
        <v>Chelyabinsk</v>
      </c>
      <c r="H94" t="str">
        <f>[2]men!H86</f>
        <v xml:space="preserve"> </v>
      </c>
    </row>
    <row r="95" spans="1:8" x14ac:dyDescent="0.25">
      <c r="A95" s="1">
        <f>[2]men!A87</f>
        <v>75</v>
      </c>
      <c r="B95" s="1">
        <f>[2]men!B87</f>
        <v>170</v>
      </c>
      <c r="C95" t="str">
        <f>[2]men!C87</f>
        <v>Schegolkov Vladimir</v>
      </c>
      <c r="D95">
        <f>[2]men!D87</f>
        <v>73</v>
      </c>
      <c r="E95" t="str">
        <f>[2]men!E87</f>
        <v>RUS</v>
      </c>
      <c r="F95" s="3">
        <f>[2]men!F87</f>
        <v>41496</v>
      </c>
      <c r="G95" t="str">
        <f>[2]men!G87</f>
        <v>Kursk</v>
      </c>
      <c r="H95">
        <f>[2]men!H87</f>
        <v>0</v>
      </c>
    </row>
    <row r="96" spans="1:8" x14ac:dyDescent="0.25">
      <c r="A96" s="1">
        <f>[2]men!A88</f>
        <v>82.5</v>
      </c>
      <c r="B96" s="1">
        <f>[2]men!B88</f>
        <v>205</v>
      </c>
      <c r="C96" t="str">
        <f>[2]men!C88</f>
        <v>Melyaev Eduard</v>
      </c>
      <c r="D96">
        <f>[2]men!D88</f>
        <v>70</v>
      </c>
      <c r="E96" t="str">
        <f>[2]men!E88</f>
        <v>RUS</v>
      </c>
      <c r="F96" s="3">
        <f>[2]men!F88</f>
        <v>40814</v>
      </c>
      <c r="G96" t="str">
        <f>[2]men!G88</f>
        <v>Yekaterinbourg</v>
      </c>
      <c r="H96" t="str">
        <f>[2]men!H88</f>
        <v xml:space="preserve"> </v>
      </c>
    </row>
    <row r="97" spans="1:8" x14ac:dyDescent="0.25">
      <c r="A97" s="1">
        <f>[2]men!A89</f>
        <v>90</v>
      </c>
      <c r="B97" s="1">
        <f>[2]men!B89</f>
        <v>207.5</v>
      </c>
      <c r="C97" t="str">
        <f>[2]men!C89</f>
        <v>Galaida Andrei</v>
      </c>
      <c r="D97">
        <f>[2]men!D89</f>
        <v>72</v>
      </c>
      <c r="E97" t="str">
        <f>[2]men!E89</f>
        <v>RUS</v>
      </c>
      <c r="F97" s="3" t="str">
        <f>[2]men!F89</f>
        <v>23.08.2014</v>
      </c>
      <c r="G97" t="str">
        <f>[2]men!G89</f>
        <v>Moscow</v>
      </c>
      <c r="H97" t="str">
        <f>[2]men!H89</f>
        <v>4th</v>
      </c>
    </row>
    <row r="98" spans="1:8" x14ac:dyDescent="0.25">
      <c r="A98" s="1">
        <f>[2]men!A90</f>
        <v>100</v>
      </c>
      <c r="B98" s="1">
        <f>[2]men!B90</f>
        <v>215</v>
      </c>
      <c r="C98" t="str">
        <f>[2]men!C90</f>
        <v>Murray William</v>
      </c>
      <c r="D98">
        <f>[2]men!D90</f>
        <v>70</v>
      </c>
      <c r="E98" t="str">
        <f>[2]men!E90</f>
        <v>USA</v>
      </c>
      <c r="F98" s="3">
        <f>[2]men!F90</f>
        <v>40285</v>
      </c>
      <c r="G98" t="str">
        <f>[2]men!G90</f>
        <v>Detroit</v>
      </c>
      <c r="H98" t="str">
        <f>[2]men!H90</f>
        <v xml:space="preserve"> </v>
      </c>
    </row>
    <row r="99" spans="1:8" x14ac:dyDescent="0.25">
      <c r="A99" s="1">
        <f>[2]men!A91</f>
        <v>110</v>
      </c>
      <c r="B99" s="1">
        <f>[2]men!B91</f>
        <v>210</v>
      </c>
      <c r="C99" t="str">
        <f>[2]men!C91</f>
        <v>Mantserov Sergei</v>
      </c>
      <c r="D99">
        <f>[2]men!D91</f>
        <v>70</v>
      </c>
      <c r="E99" t="str">
        <f>[2]men!E91</f>
        <v>RUS</v>
      </c>
      <c r="F99" s="3" t="str">
        <f>[2]men!F91</f>
        <v>23.08.2014</v>
      </c>
      <c r="G99" t="str">
        <f>[2]men!G91</f>
        <v>Moscow</v>
      </c>
      <c r="H99">
        <f>[2]men!H91</f>
        <v>0</v>
      </c>
    </row>
    <row r="100" spans="1:8" x14ac:dyDescent="0.25">
      <c r="A100" s="1">
        <f>[2]men!A92</f>
        <v>125</v>
      </c>
      <c r="B100" s="1">
        <f>[2]men!B92</f>
        <v>220</v>
      </c>
      <c r="C100" t="str">
        <f>[2]men!C92</f>
        <v>Stryga Olexandr</v>
      </c>
      <c r="D100">
        <f>[2]men!D92</f>
        <v>67</v>
      </c>
      <c r="E100" t="str">
        <f>[2]men!E92</f>
        <v>UKR</v>
      </c>
      <c r="F100" s="3">
        <f>[2]men!F92</f>
        <v>41129</v>
      </c>
      <c r="G100" t="str">
        <f>[2]men!G92</f>
        <v>Kryvyi Rig</v>
      </c>
      <c r="H100">
        <f>[2]men!H92</f>
        <v>0</v>
      </c>
    </row>
    <row r="101" spans="1:8" x14ac:dyDescent="0.25">
      <c r="A101" s="1">
        <f>[2]men!A93</f>
        <v>140</v>
      </c>
      <c r="B101" s="1">
        <f>[2]men!B93</f>
        <v>223.5</v>
      </c>
      <c r="C101" t="str">
        <f>[2]men!C93</f>
        <v>Likens Wade</v>
      </c>
      <c r="D101">
        <f>[2]men!D93</f>
        <v>73</v>
      </c>
      <c r="E101" t="str">
        <f>[2]men!E93</f>
        <v>USA</v>
      </c>
      <c r="F101" s="3">
        <f>[2]men!F93</f>
        <v>41475</v>
      </c>
      <c r="G101" t="str">
        <f>[2]men!G93</f>
        <v>Detroit</v>
      </c>
      <c r="H101" t="str">
        <f>[2]men!H93</f>
        <v xml:space="preserve"> </v>
      </c>
    </row>
    <row r="102" spans="1:8" x14ac:dyDescent="0.25">
      <c r="A102" s="1" t="str">
        <f>[2]men!A94</f>
        <v>140+</v>
      </c>
      <c r="B102" s="1">
        <f>[2]men!B94</f>
        <v>220</v>
      </c>
      <c r="C102" t="str">
        <f>[2]men!C94</f>
        <v>Karpov Stanislav</v>
      </c>
      <c r="D102">
        <f>[2]men!D94</f>
        <v>71</v>
      </c>
      <c r="E102" t="str">
        <f>[2]men!E94</f>
        <v>RUS</v>
      </c>
      <c r="F102" s="3" t="str">
        <f>[2]men!F94</f>
        <v>23.08.2014</v>
      </c>
      <c r="G102" t="str">
        <f>[2]men!G94</f>
        <v>Moscow</v>
      </c>
      <c r="H102" t="str">
        <f>[2]men!H94</f>
        <v xml:space="preserve"> </v>
      </c>
    </row>
    <row r="104" spans="1:8" s="11" customFormat="1" x14ac:dyDescent="0.25">
      <c r="A104" s="22" t="s">
        <v>0</v>
      </c>
      <c r="B104" s="22">
        <v>1</v>
      </c>
      <c r="C104" s="11">
        <v>45</v>
      </c>
      <c r="D104" s="11" t="str">
        <f>[2]men!C95</f>
        <v xml:space="preserve">45-49 </v>
      </c>
      <c r="E104" s="11" t="str">
        <f>[2]men!E95</f>
        <v xml:space="preserve"> </v>
      </c>
      <c r="F104" s="15" t="str">
        <f>[2]men!F95</f>
        <v xml:space="preserve"> </v>
      </c>
      <c r="G104" s="11" t="str">
        <f>[2]men!G95</f>
        <v xml:space="preserve"> </v>
      </c>
      <c r="H104" s="11" t="str">
        <f>[2]men!H95</f>
        <v xml:space="preserve"> </v>
      </c>
    </row>
    <row r="105" spans="1:8" x14ac:dyDescent="0.25">
      <c r="A105" s="1">
        <f>[2]men!A96</f>
        <v>52</v>
      </c>
      <c r="B105" s="1">
        <f>[2]men!B96</f>
        <v>95</v>
      </c>
      <c r="C105" t="str">
        <f>[2]men!C96</f>
        <v>Kravtsov Vyacheslav</v>
      </c>
      <c r="D105">
        <f>[2]men!D96</f>
        <v>67</v>
      </c>
      <c r="E105" t="str">
        <f>[2]men!E96</f>
        <v>RUS</v>
      </c>
      <c r="F105" s="3">
        <f>[2]men!F96</f>
        <v>41503</v>
      </c>
      <c r="G105" t="str">
        <f>[2]men!G96</f>
        <v>Novosibirsk</v>
      </c>
      <c r="H105" t="str">
        <f>[2]men!H96</f>
        <v xml:space="preserve"> </v>
      </c>
    </row>
    <row r="106" spans="1:8" x14ac:dyDescent="0.25">
      <c r="A106" s="1">
        <f>[2]men!A97</f>
        <v>56</v>
      </c>
      <c r="B106" s="1">
        <f>[2]men!B97</f>
        <v>90</v>
      </c>
      <c r="C106" t="str">
        <f>[2]men!C97</f>
        <v>Kovalenko Volodymyr</v>
      </c>
      <c r="D106">
        <f>[2]men!D97</f>
        <v>65</v>
      </c>
      <c r="E106" t="str">
        <f>[2]men!E97</f>
        <v>UKR</v>
      </c>
      <c r="F106" s="3">
        <f>[2]men!F97</f>
        <v>41128</v>
      </c>
      <c r="G106" t="str">
        <f>[2]men!G97</f>
        <v>Kryvyi Rig</v>
      </c>
      <c r="H106" t="str">
        <f>[2]men!H97</f>
        <v xml:space="preserve"> </v>
      </c>
    </row>
    <row r="107" spans="1:8" x14ac:dyDescent="0.25">
      <c r="A107" s="1">
        <f>[2]men!A98</f>
        <v>60</v>
      </c>
      <c r="B107" s="1">
        <f>[2]men!B98</f>
        <v>102.5</v>
      </c>
      <c r="C107" t="str">
        <f>[2]men!C98</f>
        <v>Dvoinikov Oleg</v>
      </c>
      <c r="D107">
        <f>[2]men!D98</f>
        <v>61</v>
      </c>
      <c r="E107" t="str">
        <f>[2]men!E98</f>
        <v>RUS</v>
      </c>
      <c r="F107" s="3">
        <f>[2]men!F98</f>
        <v>39871</v>
      </c>
      <c r="G107" t="str">
        <f>[2]men!G98</f>
        <v>Chelyabinsk</v>
      </c>
      <c r="H107" t="str">
        <f>[2]men!H98</f>
        <v xml:space="preserve"> </v>
      </c>
    </row>
    <row r="108" spans="1:8" x14ac:dyDescent="0.25">
      <c r="A108" s="1">
        <f>[2]men!A99</f>
        <v>67.5</v>
      </c>
      <c r="B108" s="1">
        <f>[2]men!B99</f>
        <v>130</v>
      </c>
      <c r="C108" t="str">
        <f>[2]men!C99</f>
        <v>Kireyev Nikolai</v>
      </c>
      <c r="D108">
        <f>[2]men!D99</f>
        <v>63</v>
      </c>
      <c r="E108" t="str">
        <f>[2]men!E99</f>
        <v>RUS</v>
      </c>
      <c r="F108" s="3">
        <f>[2]men!F99</f>
        <v>40088</v>
      </c>
      <c r="G108" t="str">
        <f>[2]men!G99</f>
        <v>Rostov</v>
      </c>
      <c r="H108" t="str">
        <f>[2]men!H99</f>
        <v xml:space="preserve"> </v>
      </c>
    </row>
    <row r="109" spans="1:8" x14ac:dyDescent="0.25">
      <c r="A109" s="1">
        <f>[2]men!A100</f>
        <v>75</v>
      </c>
      <c r="B109" s="1">
        <f>[2]men!B100</f>
        <v>152.5</v>
      </c>
      <c r="C109" t="str">
        <f>[2]men!C100</f>
        <v>Zabolotnev Vladimir</v>
      </c>
      <c r="D109">
        <f>[2]men!D100</f>
        <v>68</v>
      </c>
      <c r="E109" t="str">
        <f>[2]men!E100</f>
        <v>RUS</v>
      </c>
      <c r="F109" s="3" t="str">
        <f>[2]men!F100</f>
        <v>23.08.2014</v>
      </c>
      <c r="G109" t="str">
        <f>[2]men!G100</f>
        <v>Moscow</v>
      </c>
      <c r="H109" t="str">
        <f>[2]men!H100</f>
        <v xml:space="preserve"> </v>
      </c>
    </row>
    <row r="110" spans="1:8" x14ac:dyDescent="0.25">
      <c r="A110" s="1">
        <f>[2]men!A101</f>
        <v>82.5</v>
      </c>
      <c r="B110" s="1">
        <f>[2]men!B101</f>
        <v>190.5</v>
      </c>
      <c r="C110" t="str">
        <f>[2]men!C101</f>
        <v>Reshetnikov Vladimir</v>
      </c>
      <c r="D110">
        <f>[2]men!D101</f>
        <v>60</v>
      </c>
      <c r="E110" t="str">
        <f>[2]men!E101</f>
        <v>RUS</v>
      </c>
      <c r="F110" s="3">
        <f>[2]men!F101</f>
        <v>40088</v>
      </c>
      <c r="G110" t="str">
        <f>[2]men!G101</f>
        <v>Rostov</v>
      </c>
      <c r="H110" t="str">
        <f>[2]men!H101</f>
        <v xml:space="preserve"> </v>
      </c>
    </row>
    <row r="111" spans="1:8" x14ac:dyDescent="0.25">
      <c r="A111" s="1">
        <f>[2]men!A102</f>
        <v>90</v>
      </c>
      <c r="B111" s="1">
        <f>[2]men!B102</f>
        <v>180</v>
      </c>
      <c r="C111" t="str">
        <f>[2]men!C102</f>
        <v>Sender Alexei</v>
      </c>
      <c r="D111">
        <f>[2]men!D102</f>
        <v>65</v>
      </c>
      <c r="E111" t="str">
        <f>[2]men!E102</f>
        <v>RUS</v>
      </c>
      <c r="F111" s="3" t="str">
        <f>[2]men!F102</f>
        <v>23.08.2014</v>
      </c>
      <c r="G111" t="str">
        <f>[2]men!G102</f>
        <v>Moscow</v>
      </c>
      <c r="H111" t="str">
        <f>[2]men!H102</f>
        <v xml:space="preserve"> </v>
      </c>
    </row>
    <row r="112" spans="1:8" x14ac:dyDescent="0.25">
      <c r="A112" s="1">
        <f>[2]men!A103</f>
        <v>100</v>
      </c>
      <c r="B112" s="1">
        <f>[2]men!B103</f>
        <v>190</v>
      </c>
      <c r="C112" t="str">
        <f>[2]men!C103</f>
        <v>Thunberg Ken</v>
      </c>
      <c r="D112">
        <f>[2]men!D103</f>
        <v>62</v>
      </c>
      <c r="E112" t="str">
        <f>[2]men!E103</f>
        <v>USA</v>
      </c>
      <c r="F112" s="3">
        <f>[2]men!F103</f>
        <v>41111</v>
      </c>
      <c r="G112" t="str">
        <f>[2]men!G103</f>
        <v>Detroit</v>
      </c>
      <c r="H112">
        <f>[2]men!H103</f>
        <v>0</v>
      </c>
    </row>
    <row r="113" spans="1:8" x14ac:dyDescent="0.25">
      <c r="A113" s="1">
        <f>[2]men!A104</f>
        <v>110</v>
      </c>
      <c r="B113" s="1">
        <f>[2]men!B104</f>
        <v>192.5</v>
      </c>
      <c r="C113" t="str">
        <f>[2]men!C104</f>
        <v>Veles Yevgeniy</v>
      </c>
      <c r="D113">
        <f>[2]men!D104</f>
        <v>68</v>
      </c>
      <c r="E113" t="str">
        <f>[2]men!E104</f>
        <v>RUS</v>
      </c>
      <c r="F113" s="3" t="str">
        <f>[2]men!F104</f>
        <v>23.08.2014</v>
      </c>
      <c r="G113" t="str">
        <f>[2]men!G104</f>
        <v>Moscow</v>
      </c>
      <c r="H113" t="str">
        <f>[2]men!H104</f>
        <v xml:space="preserve"> </v>
      </c>
    </row>
    <row r="114" spans="1:8" x14ac:dyDescent="0.25">
      <c r="A114" s="1">
        <f>[2]men!A105</f>
        <v>125</v>
      </c>
      <c r="B114" s="1">
        <f>[2]men!B105</f>
        <v>225</v>
      </c>
      <c r="C114" t="str">
        <f>[2]men!C105</f>
        <v>Stryga Olexandr</v>
      </c>
      <c r="D114">
        <f>[2]men!D105</f>
        <v>67</v>
      </c>
      <c r="E114" t="str">
        <f>[2]men!E105</f>
        <v>UKR</v>
      </c>
      <c r="F114" s="3">
        <f>[2]men!F105</f>
        <v>41618</v>
      </c>
      <c r="G114" t="str">
        <f>[2]men!G105</f>
        <v>Kursk</v>
      </c>
      <c r="H114">
        <f>[2]men!H105</f>
        <v>0</v>
      </c>
    </row>
    <row r="115" spans="1:8" x14ac:dyDescent="0.25">
      <c r="A115" s="1">
        <f>[2]men!A106</f>
        <v>140</v>
      </c>
      <c r="B115" s="1">
        <f>[2]men!B106</f>
        <v>217.5</v>
      </c>
      <c r="C115" t="str">
        <f>[2]men!C106</f>
        <v>Scott  JD</v>
      </c>
      <c r="D115">
        <f>[2]men!D106</f>
        <v>61</v>
      </c>
      <c r="E115" t="str">
        <f>[2]men!E106</f>
        <v>USA</v>
      </c>
      <c r="F115" s="3">
        <f>[2]men!F106</f>
        <v>40788</v>
      </c>
      <c r="G115" t="str">
        <f>[2]men!G106</f>
        <v>Idaho Falls</v>
      </c>
      <c r="H115" t="str">
        <f>[2]men!H106</f>
        <v xml:space="preserve"> </v>
      </c>
    </row>
    <row r="116" spans="1:8" x14ac:dyDescent="0.25">
      <c r="A116" s="1" t="str">
        <f>[2]men!A107</f>
        <v>140+</v>
      </c>
      <c r="B116" s="1">
        <f>[2]men!B107</f>
        <v>230</v>
      </c>
      <c r="C116" t="str">
        <f>[2]men!C107</f>
        <v>Marchant David</v>
      </c>
      <c r="D116">
        <f>[2]men!D107</f>
        <v>62</v>
      </c>
      <c r="E116" t="str">
        <f>[2]men!E107</f>
        <v>USA</v>
      </c>
      <c r="F116" s="3">
        <f>[2]men!F107</f>
        <v>40425</v>
      </c>
      <c r="G116" t="str">
        <f>[2]men!G107</f>
        <v>Idaho Falls</v>
      </c>
      <c r="H116" t="str">
        <f>[2]men!H107</f>
        <v xml:space="preserve"> </v>
      </c>
    </row>
    <row r="118" spans="1:8" s="11" customFormat="1" x14ac:dyDescent="0.25">
      <c r="A118" s="22" t="s">
        <v>0</v>
      </c>
      <c r="B118" s="22">
        <v>1</v>
      </c>
      <c r="C118" s="11">
        <v>50</v>
      </c>
      <c r="D118" s="11" t="str">
        <f>[2]men!C108</f>
        <v xml:space="preserve">50-54 </v>
      </c>
      <c r="E118" s="11" t="str">
        <f>[2]men!E108</f>
        <v xml:space="preserve"> </v>
      </c>
      <c r="F118" s="15" t="str">
        <f>[2]men!F108</f>
        <v xml:space="preserve"> </v>
      </c>
      <c r="G118" s="11" t="str">
        <f>[2]men!G108</f>
        <v xml:space="preserve"> </v>
      </c>
      <c r="H118" s="11" t="str">
        <f>[2]men!H108</f>
        <v xml:space="preserve"> </v>
      </c>
    </row>
    <row r="119" spans="1:8" x14ac:dyDescent="0.25">
      <c r="A119" s="1">
        <f>[2]men!A109</f>
        <v>52</v>
      </c>
      <c r="B119" s="1" t="str">
        <f>[2]men!B109</f>
        <v xml:space="preserve"> </v>
      </c>
      <c r="C119" t="str">
        <f>[2]men!C109</f>
        <v xml:space="preserve"> </v>
      </c>
      <c r="D119" t="str">
        <f>[2]men!D109</f>
        <v xml:space="preserve"> </v>
      </c>
      <c r="E119" t="str">
        <f>[2]men!E109</f>
        <v xml:space="preserve"> </v>
      </c>
      <c r="F119" s="3" t="str">
        <f>[2]men!F109</f>
        <v xml:space="preserve"> </v>
      </c>
      <c r="G119" t="str">
        <f>[2]men!G109</f>
        <v xml:space="preserve"> </v>
      </c>
      <c r="H119" t="str">
        <f>[2]men!H109</f>
        <v xml:space="preserve"> </v>
      </c>
    </row>
    <row r="120" spans="1:8" x14ac:dyDescent="0.25">
      <c r="A120" s="1">
        <f>[2]men!A110</f>
        <v>56</v>
      </c>
      <c r="B120" s="1">
        <f>[2]men!B110</f>
        <v>102.5</v>
      </c>
      <c r="C120" t="str">
        <f>[2]men!C110</f>
        <v>Yershov Viktor</v>
      </c>
      <c r="D120">
        <f>[2]men!D110</f>
        <v>60</v>
      </c>
      <c r="E120" t="str">
        <f>[2]men!E110</f>
        <v>RUS</v>
      </c>
      <c r="F120" s="3">
        <f>[2]men!F110</f>
        <v>41586</v>
      </c>
      <c r="G120" t="str">
        <f>[2]men!G110</f>
        <v>Vologda</v>
      </c>
      <c r="H120" t="str">
        <f>[2]men!H110</f>
        <v xml:space="preserve"> </v>
      </c>
    </row>
    <row r="121" spans="1:8" x14ac:dyDescent="0.25">
      <c r="A121" s="1">
        <f>[2]men!A111</f>
        <v>60</v>
      </c>
      <c r="B121" s="1">
        <f>[2]men!B111</f>
        <v>100</v>
      </c>
      <c r="C121" t="str">
        <f>[2]men!C111</f>
        <v>Dvoynikov Oleg</v>
      </c>
      <c r="D121">
        <f>[2]men!D111</f>
        <v>60</v>
      </c>
      <c r="E121" t="str">
        <f>[2]men!E111</f>
        <v>RUS</v>
      </c>
      <c r="F121" s="3">
        <f>[2]men!F111</f>
        <v>41720</v>
      </c>
      <c r="G121" t="str">
        <f>[2]men!G111</f>
        <v>Vologda</v>
      </c>
      <c r="H121" t="str">
        <f>[2]men!H111</f>
        <v xml:space="preserve"> </v>
      </c>
    </row>
    <row r="122" spans="1:8" x14ac:dyDescent="0.25">
      <c r="A122" s="1">
        <f>[2]men!A112</f>
        <v>67.5</v>
      </c>
      <c r="B122" s="1">
        <f>[2]men!B112</f>
        <v>117.5</v>
      </c>
      <c r="C122" t="str">
        <f>[2]men!C112</f>
        <v>Kim Sergei</v>
      </c>
      <c r="D122">
        <f>[2]men!D112</f>
        <v>57</v>
      </c>
      <c r="E122" t="str">
        <f>[2]men!E112</f>
        <v>RUS</v>
      </c>
      <c r="F122" s="3">
        <f>[2]men!F112</f>
        <v>40088</v>
      </c>
      <c r="G122" t="str">
        <f>[2]men!G112</f>
        <v>Rostov</v>
      </c>
      <c r="H122" t="str">
        <f>[2]men!H112</f>
        <v xml:space="preserve"> </v>
      </c>
    </row>
    <row r="123" spans="1:8" x14ac:dyDescent="0.25">
      <c r="A123" s="1">
        <f>[2]men!A113</f>
        <v>75</v>
      </c>
      <c r="B123" s="1">
        <f>[2]men!B113</f>
        <v>151</v>
      </c>
      <c r="C123" t="str">
        <f>[2]men!C113</f>
        <v>Tatarkin Alexander</v>
      </c>
      <c r="D123">
        <f>[2]men!D113</f>
        <v>55</v>
      </c>
      <c r="E123" t="str">
        <f>[2]men!E113</f>
        <v>RUS</v>
      </c>
      <c r="F123" s="3">
        <f>[2]men!F113</f>
        <v>40088</v>
      </c>
      <c r="G123" t="str">
        <f>[2]men!G113</f>
        <v>Rostov</v>
      </c>
      <c r="H123" t="str">
        <f>[2]men!H113</f>
        <v xml:space="preserve"> </v>
      </c>
    </row>
    <row r="124" spans="1:8" x14ac:dyDescent="0.25">
      <c r="A124" s="1">
        <f>[2]men!A114</f>
        <v>82.5</v>
      </c>
      <c r="B124" s="1">
        <f>[2]men!B114</f>
        <v>192.5</v>
      </c>
      <c r="C124" t="str">
        <f>[2]men!C114</f>
        <v>Ziganshin Igor</v>
      </c>
      <c r="D124">
        <f>[2]men!D114</f>
        <v>60</v>
      </c>
      <c r="E124" t="str">
        <f>[2]men!E114</f>
        <v>RUS</v>
      </c>
      <c r="F124" s="3">
        <f>[2]men!F114</f>
        <v>40769</v>
      </c>
      <c r="G124" t="str">
        <f>[2]men!G114</f>
        <v>Kursk</v>
      </c>
      <c r="H124" t="str">
        <f>[2]men!H114</f>
        <v xml:space="preserve"> </v>
      </c>
    </row>
    <row r="125" spans="1:8" x14ac:dyDescent="0.25">
      <c r="A125" s="1">
        <f>[2]men!A115</f>
        <v>90</v>
      </c>
      <c r="B125" s="1">
        <f>[2]men!B115</f>
        <v>172.5</v>
      </c>
      <c r="C125" t="str">
        <f>[2]men!C115</f>
        <v>Skvortsov Leonid</v>
      </c>
      <c r="D125">
        <f>[2]men!D115</f>
        <v>62</v>
      </c>
      <c r="E125" t="str">
        <f>[2]men!E115</f>
        <v>RUS</v>
      </c>
      <c r="F125" s="3" t="str">
        <f>[2]men!F115</f>
        <v>23.08.2014</v>
      </c>
      <c r="G125" t="str">
        <f>[2]men!G115</f>
        <v>Moscow</v>
      </c>
      <c r="H125" t="str">
        <f>[2]men!H115</f>
        <v xml:space="preserve"> </v>
      </c>
    </row>
    <row r="126" spans="1:8" x14ac:dyDescent="0.25">
      <c r="A126" s="1">
        <f>[2]men!A116</f>
        <v>100</v>
      </c>
      <c r="B126" s="1">
        <f>[2]men!B116</f>
        <v>200</v>
      </c>
      <c r="C126" t="str">
        <f>[2]men!C116</f>
        <v>Lebedev Igor</v>
      </c>
      <c r="D126">
        <f>[2]men!D116</f>
        <v>62</v>
      </c>
      <c r="E126" t="str">
        <f>[2]men!E116</f>
        <v>RUS</v>
      </c>
      <c r="F126" s="3">
        <f>[2]men!F116</f>
        <v>41618</v>
      </c>
      <c r="G126" t="str">
        <f>[2]men!G116</f>
        <v>Kursk</v>
      </c>
      <c r="H126">
        <f>[2]men!H116</f>
        <v>0</v>
      </c>
    </row>
    <row r="127" spans="1:8" x14ac:dyDescent="0.25">
      <c r="A127" s="1">
        <f>[2]men!A117</f>
        <v>110</v>
      </c>
      <c r="B127" s="1">
        <f>[2]men!B117</f>
        <v>210</v>
      </c>
      <c r="C127" t="str">
        <f>[2]men!C117</f>
        <v>Lebedev Igor</v>
      </c>
      <c r="D127">
        <f>[2]men!D117</f>
        <v>62</v>
      </c>
      <c r="E127" t="str">
        <f>[2]men!E117</f>
        <v>RUS</v>
      </c>
      <c r="F127" s="3" t="str">
        <f>[2]men!F117</f>
        <v>23.08.2014</v>
      </c>
      <c r="G127" t="str">
        <f>[2]men!G117</f>
        <v>Moscow</v>
      </c>
      <c r="H127" t="str">
        <f>[2]men!H117</f>
        <v xml:space="preserve"> </v>
      </c>
    </row>
    <row r="128" spans="1:8" x14ac:dyDescent="0.25">
      <c r="A128" s="1">
        <f>[2]men!A118</f>
        <v>125</v>
      </c>
      <c r="B128" s="1">
        <f>[2]men!B118</f>
        <v>212.5</v>
      </c>
      <c r="C128" t="str">
        <f>[2]men!C118</f>
        <v>Conley Jeff</v>
      </c>
      <c r="D128">
        <f>[2]men!D118</f>
        <v>58</v>
      </c>
      <c r="E128" t="str">
        <f>[2]men!E118</f>
        <v>USA</v>
      </c>
      <c r="F128" s="3">
        <f>[2]men!F118</f>
        <v>40788</v>
      </c>
      <c r="G128" t="str">
        <f>[2]men!G118</f>
        <v>Idaho Falls</v>
      </c>
      <c r="H128" t="str">
        <f>[2]men!H118</f>
        <v>4th</v>
      </c>
    </row>
    <row r="129" spans="1:8" x14ac:dyDescent="0.25">
      <c r="A129" s="1">
        <f>[2]men!A119</f>
        <v>140</v>
      </c>
      <c r="B129" s="1">
        <f>[2]men!B119</f>
        <v>207.5</v>
      </c>
      <c r="C129" t="str">
        <f>[2]men!C119</f>
        <v>Nevzorov Mykhaylo</v>
      </c>
      <c r="D129">
        <f>[2]men!D119</f>
        <v>61</v>
      </c>
      <c r="E129" t="str">
        <f>[2]men!E119</f>
        <v>UKR</v>
      </c>
      <c r="F129" s="3">
        <f>[2]men!F119</f>
        <v>41129</v>
      </c>
      <c r="G129" t="str">
        <f>[2]men!G119</f>
        <v>Kryvyi Rig</v>
      </c>
      <c r="H129" t="str">
        <f>[2]men!H119</f>
        <v xml:space="preserve"> </v>
      </c>
    </row>
    <row r="130" spans="1:8" x14ac:dyDescent="0.25">
      <c r="A130" s="1" t="str">
        <f>[2]men!A120</f>
        <v>140+</v>
      </c>
      <c r="B130" s="1">
        <f>[2]men!B120</f>
        <v>185</v>
      </c>
      <c r="C130" t="str">
        <f>[2]men!C120</f>
        <v>Nasteka Igor</v>
      </c>
      <c r="D130">
        <f>[2]men!D120</f>
        <v>64</v>
      </c>
      <c r="E130" t="str">
        <f>[2]men!E120</f>
        <v>RUS</v>
      </c>
      <c r="F130" s="3" t="str">
        <f>[2]men!F120</f>
        <v>23.08.2014</v>
      </c>
      <c r="G130" t="str">
        <f>[2]men!G120</f>
        <v>Moscow</v>
      </c>
      <c r="H130" t="str">
        <f>[2]men!H120</f>
        <v>4th</v>
      </c>
    </row>
    <row r="132" spans="1:8" s="11" customFormat="1" x14ac:dyDescent="0.25">
      <c r="A132" s="22" t="s">
        <v>0</v>
      </c>
      <c r="B132" s="22">
        <v>1</v>
      </c>
      <c r="C132" s="11">
        <v>55</v>
      </c>
      <c r="D132" s="11" t="str">
        <f>[2]men!C121</f>
        <v xml:space="preserve">55-59 </v>
      </c>
      <c r="E132" s="11" t="str">
        <f>[2]men!E121</f>
        <v xml:space="preserve"> </v>
      </c>
      <c r="F132" s="15" t="str">
        <f>[2]men!F121</f>
        <v xml:space="preserve"> </v>
      </c>
      <c r="G132" s="11" t="str">
        <f>[2]men!G121</f>
        <v xml:space="preserve"> </v>
      </c>
      <c r="H132" s="11" t="str">
        <f>[2]men!H121</f>
        <v xml:space="preserve"> </v>
      </c>
    </row>
    <row r="133" spans="1:8" x14ac:dyDescent="0.25">
      <c r="A133" s="1">
        <f>[2]men!A122</f>
        <v>52</v>
      </c>
      <c r="B133" s="1">
        <f>[2]men!B122</f>
        <v>70</v>
      </c>
      <c r="C133" t="str">
        <f>[2]men!C122</f>
        <v>Grachev Nikolai</v>
      </c>
      <c r="D133">
        <f>[2]men!D122</f>
        <v>56</v>
      </c>
      <c r="E133" t="str">
        <f>[2]men!E122</f>
        <v>RUS</v>
      </c>
      <c r="F133" s="3">
        <f>[2]men!F122</f>
        <v>41368</v>
      </c>
      <c r="G133" t="str">
        <f>[2]men!G122</f>
        <v>Krasnodar</v>
      </c>
      <c r="H133" t="str">
        <f>[2]men!H122</f>
        <v xml:space="preserve"> </v>
      </c>
    </row>
    <row r="134" spans="1:8" x14ac:dyDescent="0.25">
      <c r="A134" s="1">
        <f>[2]men!A123</f>
        <v>56</v>
      </c>
      <c r="B134" s="1" t="str">
        <f>[2]men!B123</f>
        <v xml:space="preserve"> </v>
      </c>
      <c r="C134" t="str">
        <f>[2]men!C123</f>
        <v xml:space="preserve"> </v>
      </c>
      <c r="D134" t="str">
        <f>[2]men!D123</f>
        <v xml:space="preserve"> </v>
      </c>
      <c r="E134" t="str">
        <f>[2]men!E123</f>
        <v xml:space="preserve"> </v>
      </c>
      <c r="F134" s="3" t="str">
        <f>[2]men!F123</f>
        <v xml:space="preserve"> </v>
      </c>
      <c r="G134" t="str">
        <f>[2]men!G123</f>
        <v xml:space="preserve"> </v>
      </c>
      <c r="H134" t="str">
        <f>[2]men!H123</f>
        <v xml:space="preserve"> </v>
      </c>
    </row>
    <row r="135" spans="1:8" x14ac:dyDescent="0.25">
      <c r="A135" s="1">
        <f>[2]men!A124</f>
        <v>60</v>
      </c>
      <c r="B135" s="1" t="str">
        <f>[2]men!B124</f>
        <v xml:space="preserve"> </v>
      </c>
      <c r="C135" t="str">
        <f>[2]men!C124</f>
        <v xml:space="preserve"> </v>
      </c>
      <c r="D135" t="str">
        <f>[2]men!D124</f>
        <v xml:space="preserve"> </v>
      </c>
      <c r="E135" t="str">
        <f>[2]men!E124</f>
        <v xml:space="preserve"> </v>
      </c>
      <c r="F135" s="3" t="str">
        <f>[2]men!F124</f>
        <v xml:space="preserve"> </v>
      </c>
      <c r="G135" t="str">
        <f>[2]men!G124</f>
        <v xml:space="preserve"> </v>
      </c>
      <c r="H135" t="str">
        <f>[2]men!H124</f>
        <v xml:space="preserve"> </v>
      </c>
    </row>
    <row r="136" spans="1:8" x14ac:dyDescent="0.25">
      <c r="A136" s="1">
        <f>[2]men!A125</f>
        <v>67.5</v>
      </c>
      <c r="B136" s="1">
        <f>[2]men!B125</f>
        <v>87.5</v>
      </c>
      <c r="C136" t="str">
        <f>[2]men!C125</f>
        <v>Vilchitskiy Anatoliy</v>
      </c>
      <c r="D136">
        <f>[2]men!D125</f>
        <v>55</v>
      </c>
      <c r="E136" t="str">
        <f>[2]men!E125</f>
        <v>RUS</v>
      </c>
      <c r="F136" s="3">
        <f>[2]men!F125</f>
        <v>41586</v>
      </c>
      <c r="G136" t="str">
        <f>[2]men!G125</f>
        <v>Vologda</v>
      </c>
      <c r="H136" t="str">
        <f>[2]men!H125</f>
        <v xml:space="preserve"> </v>
      </c>
    </row>
    <row r="137" spans="1:8" x14ac:dyDescent="0.25">
      <c r="A137" s="1">
        <f>[2]men!A126</f>
        <v>75</v>
      </c>
      <c r="B137" s="1">
        <f>[2]men!B126</f>
        <v>142.5</v>
      </c>
      <c r="C137" t="str">
        <f>[2]men!C126</f>
        <v>Kaseev Arsen</v>
      </c>
      <c r="D137">
        <f>[2]men!D126</f>
        <v>55</v>
      </c>
      <c r="E137" t="str">
        <f>[2]men!E126</f>
        <v>UKR</v>
      </c>
      <c r="F137" s="3">
        <f>[2]men!F126</f>
        <v>41128</v>
      </c>
      <c r="G137" t="str">
        <f>[2]men!G126</f>
        <v>Kryvyi Rig</v>
      </c>
      <c r="H137" t="str">
        <f>[2]men!H126</f>
        <v>4th</v>
      </c>
    </row>
    <row r="138" spans="1:8" x14ac:dyDescent="0.25">
      <c r="A138" s="1">
        <f>[2]men!A127</f>
        <v>82.5</v>
      </c>
      <c r="B138" s="1">
        <f>[2]men!B127</f>
        <v>152.5</v>
      </c>
      <c r="C138" t="str">
        <f>[2]men!C127</f>
        <v>Kovalev Igor</v>
      </c>
      <c r="D138">
        <f>[2]men!D127</f>
        <v>57</v>
      </c>
      <c r="E138" t="str">
        <f>[2]men!E127</f>
        <v>RUS</v>
      </c>
      <c r="F138" s="3">
        <f>[2]men!F127</f>
        <v>41438</v>
      </c>
      <c r="G138" t="str">
        <f>[2]men!G127</f>
        <v>Moscow</v>
      </c>
      <c r="H138" t="str">
        <f>[2]men!H127</f>
        <v xml:space="preserve"> </v>
      </c>
    </row>
    <row r="139" spans="1:8" x14ac:dyDescent="0.25">
      <c r="A139" s="1">
        <f>[2]men!A128</f>
        <v>90</v>
      </c>
      <c r="B139" s="1">
        <f>[2]men!B128</f>
        <v>155</v>
      </c>
      <c r="C139" t="str">
        <f>[2]men!C128</f>
        <v>Zverev Nikolai</v>
      </c>
      <c r="D139">
        <f>[2]men!D128</f>
        <v>56</v>
      </c>
      <c r="E139" t="str">
        <f>[2]men!E128</f>
        <v>RUS</v>
      </c>
      <c r="F139" s="3">
        <f>[2]men!F128</f>
        <v>40814</v>
      </c>
      <c r="G139" t="str">
        <f>[2]men!G128</f>
        <v>Yekaterinbourg</v>
      </c>
      <c r="H139" t="str">
        <f>[2]men!H128</f>
        <v xml:space="preserve"> </v>
      </c>
    </row>
    <row r="140" spans="1:8" x14ac:dyDescent="0.25">
      <c r="A140" s="1">
        <f>[2]men!A129</f>
        <v>100</v>
      </c>
      <c r="B140" s="1">
        <f>[2]men!B129</f>
        <v>172.5</v>
      </c>
      <c r="C140" t="str">
        <f>[2]men!C129</f>
        <v>Kuzeyev Damir</v>
      </c>
      <c r="D140">
        <f>[2]men!D129</f>
        <v>52</v>
      </c>
      <c r="E140" t="str">
        <f>[2]men!E129</f>
        <v>RUS</v>
      </c>
      <c r="F140" s="3">
        <f>[2]men!F129</f>
        <v>40088</v>
      </c>
      <c r="G140" t="str">
        <f>[2]men!G129</f>
        <v>Rostov</v>
      </c>
      <c r="H140" t="str">
        <f>[2]men!H129</f>
        <v xml:space="preserve"> </v>
      </c>
    </row>
    <row r="141" spans="1:8" x14ac:dyDescent="0.25">
      <c r="A141" s="1">
        <f>[2]men!A130</f>
        <v>110</v>
      </c>
      <c r="B141" s="1">
        <f>[2]men!B130</f>
        <v>180</v>
      </c>
      <c r="C141" t="str">
        <f>[2]men!C130</f>
        <v>Egozaryan Grachik</v>
      </c>
      <c r="D141">
        <f>[2]men!D130</f>
        <v>52</v>
      </c>
      <c r="E141" t="str">
        <f>[2]men!E130</f>
        <v>RUS</v>
      </c>
      <c r="F141" s="3">
        <f>[2]men!F130</f>
        <v>40088</v>
      </c>
      <c r="G141" t="str">
        <f>[2]men!G130</f>
        <v>Rostov</v>
      </c>
      <c r="H141" t="str">
        <f>[2]men!H130</f>
        <v xml:space="preserve"> </v>
      </c>
    </row>
    <row r="142" spans="1:8" x14ac:dyDescent="0.25">
      <c r="A142" s="1">
        <f>[2]men!A131</f>
        <v>125</v>
      </c>
      <c r="B142" s="1">
        <f>[2]men!B131</f>
        <v>192.5</v>
      </c>
      <c r="C142" t="str">
        <f>[2]men!C131</f>
        <v>Ziganchin Igor</v>
      </c>
      <c r="D142">
        <f>[2]men!D131</f>
        <v>60</v>
      </c>
      <c r="E142" t="str">
        <f>[2]men!E131</f>
        <v>RUS</v>
      </c>
      <c r="F142" s="3">
        <f>[2]men!F131</f>
        <v>40769</v>
      </c>
      <c r="G142" t="str">
        <f>[2]men!G131</f>
        <v>Kursk</v>
      </c>
      <c r="H142">
        <f>[2]men!H131</f>
        <v>0</v>
      </c>
    </row>
    <row r="143" spans="1:8" x14ac:dyDescent="0.25">
      <c r="A143" s="1">
        <f>[2]men!A132</f>
        <v>140</v>
      </c>
      <c r="B143" s="1" t="str">
        <f>[2]men!B132</f>
        <v xml:space="preserve"> </v>
      </c>
      <c r="C143" t="str">
        <f>[2]men!C132</f>
        <v xml:space="preserve"> </v>
      </c>
      <c r="D143" t="str">
        <f>[2]men!D132</f>
        <v xml:space="preserve"> </v>
      </c>
      <c r="E143" t="str">
        <f>[2]men!E132</f>
        <v xml:space="preserve"> </v>
      </c>
      <c r="F143" s="3" t="str">
        <f>[2]men!F132</f>
        <v xml:space="preserve"> </v>
      </c>
      <c r="G143" t="str">
        <f>[2]men!G132</f>
        <v xml:space="preserve"> </v>
      </c>
      <c r="H143" t="str">
        <f>[2]men!H132</f>
        <v xml:space="preserve"> </v>
      </c>
    </row>
    <row r="144" spans="1:8" x14ac:dyDescent="0.25">
      <c r="A144" s="1" t="str">
        <f>[2]men!A133</f>
        <v>140+</v>
      </c>
      <c r="B144" s="1">
        <f>[2]men!B133</f>
        <v>165</v>
      </c>
      <c r="C144" t="str">
        <f>[2]men!C133</f>
        <v>Herdt Peter</v>
      </c>
      <c r="D144">
        <f>[2]men!D133</f>
        <v>49</v>
      </c>
      <c r="E144" t="str">
        <f>[2]men!E133</f>
        <v>USA</v>
      </c>
      <c r="F144" s="3">
        <f>[2]men!F133</f>
        <v>39876</v>
      </c>
      <c r="G144" t="str">
        <f>[2]men!G133</f>
        <v>Idaho Falls</v>
      </c>
      <c r="H144" t="str">
        <f>[2]men!H133</f>
        <v xml:space="preserve"> </v>
      </c>
    </row>
    <row r="146" spans="1:8" s="11" customFormat="1" x14ac:dyDescent="0.25">
      <c r="A146" s="22" t="s">
        <v>0</v>
      </c>
      <c r="B146" s="22">
        <v>1</v>
      </c>
      <c r="C146" s="11">
        <v>60</v>
      </c>
      <c r="D146" s="11" t="str">
        <f>[2]men!C134</f>
        <v xml:space="preserve">60-64 </v>
      </c>
      <c r="E146" s="11" t="str">
        <f>[2]men!E134</f>
        <v xml:space="preserve"> </v>
      </c>
      <c r="F146" s="15" t="str">
        <f>[2]men!F134</f>
        <v xml:space="preserve"> </v>
      </c>
      <c r="G146" s="11" t="str">
        <f>[2]men!G134</f>
        <v xml:space="preserve"> </v>
      </c>
      <c r="H146" s="11" t="str">
        <f>[2]men!H134</f>
        <v xml:space="preserve"> </v>
      </c>
    </row>
    <row r="147" spans="1:8" x14ac:dyDescent="0.25">
      <c r="A147" s="1">
        <f>[2]men!A135</f>
        <v>52</v>
      </c>
      <c r="B147" s="1" t="str">
        <f>[2]men!B135</f>
        <v xml:space="preserve"> </v>
      </c>
      <c r="C147" t="str">
        <f>[2]men!C135</f>
        <v xml:space="preserve"> </v>
      </c>
      <c r="D147" t="str">
        <f>[2]men!D135</f>
        <v xml:space="preserve"> </v>
      </c>
      <c r="E147" t="str">
        <f>[2]men!E135</f>
        <v xml:space="preserve"> </v>
      </c>
      <c r="F147" s="3" t="str">
        <f>[2]men!F135</f>
        <v xml:space="preserve"> </v>
      </c>
      <c r="G147" t="str">
        <f>[2]men!G135</f>
        <v xml:space="preserve"> </v>
      </c>
      <c r="H147" t="str">
        <f>[2]men!H135</f>
        <v xml:space="preserve"> </v>
      </c>
    </row>
    <row r="148" spans="1:8" x14ac:dyDescent="0.25">
      <c r="A148" s="1">
        <f>[2]men!A136</f>
        <v>56</v>
      </c>
      <c r="B148" s="1" t="str">
        <f>[2]men!B136</f>
        <v xml:space="preserve"> </v>
      </c>
      <c r="C148" t="str">
        <f>[2]men!C136</f>
        <v xml:space="preserve"> </v>
      </c>
      <c r="D148" t="str">
        <f>[2]men!D136</f>
        <v xml:space="preserve"> </v>
      </c>
      <c r="E148" t="str">
        <f>[2]men!E136</f>
        <v xml:space="preserve"> </v>
      </c>
      <c r="F148" s="3" t="str">
        <f>[2]men!F136</f>
        <v xml:space="preserve"> </v>
      </c>
      <c r="G148" t="str">
        <f>[2]men!G136</f>
        <v xml:space="preserve"> </v>
      </c>
      <c r="H148" t="str">
        <f>[2]men!H136</f>
        <v xml:space="preserve"> </v>
      </c>
    </row>
    <row r="149" spans="1:8" x14ac:dyDescent="0.25">
      <c r="A149" s="1">
        <f>[2]men!A137</f>
        <v>60</v>
      </c>
      <c r="B149" s="1" t="str">
        <f>[2]men!B137</f>
        <v xml:space="preserve"> </v>
      </c>
      <c r="C149" t="str">
        <f>[2]men!C137</f>
        <v xml:space="preserve"> </v>
      </c>
      <c r="D149" t="str">
        <f>[2]men!D137</f>
        <v xml:space="preserve"> </v>
      </c>
      <c r="E149" t="str">
        <f>[2]men!E137</f>
        <v xml:space="preserve"> </v>
      </c>
      <c r="F149" s="3" t="str">
        <f>[2]men!F137</f>
        <v xml:space="preserve"> </v>
      </c>
      <c r="G149" t="str">
        <f>[2]men!G137</f>
        <v xml:space="preserve"> </v>
      </c>
      <c r="H149" t="str">
        <f>[2]men!H137</f>
        <v xml:space="preserve"> </v>
      </c>
    </row>
    <row r="150" spans="1:8" x14ac:dyDescent="0.25">
      <c r="A150" s="1">
        <f>[2]men!A138</f>
        <v>67.5</v>
      </c>
      <c r="B150" s="1">
        <f>[2]men!B138</f>
        <v>102.5</v>
      </c>
      <c r="C150" t="str">
        <f>[2]men!C138</f>
        <v>Garlitz Dale</v>
      </c>
      <c r="D150">
        <f>[2]men!D138</f>
        <v>50</v>
      </c>
      <c r="E150" t="str">
        <f>[2]men!E138</f>
        <v>USA</v>
      </c>
      <c r="F150" s="3">
        <f>[2]men!F138</f>
        <v>40788</v>
      </c>
      <c r="G150" t="str">
        <f>[2]men!G138</f>
        <v>Idaho Falls</v>
      </c>
      <c r="H150" t="str">
        <f>[2]men!H138</f>
        <v xml:space="preserve"> </v>
      </c>
    </row>
    <row r="151" spans="1:8" x14ac:dyDescent="0.25">
      <c r="A151" s="1">
        <f>[2]men!A139</f>
        <v>75</v>
      </c>
      <c r="B151" s="1">
        <f>[2]men!B139</f>
        <v>140</v>
      </c>
      <c r="C151" t="str">
        <f>[2]men!C139</f>
        <v>Papushoy Viktor</v>
      </c>
      <c r="D151">
        <f>[2]men!D139</f>
        <v>53</v>
      </c>
      <c r="E151" t="str">
        <f>[2]men!E139</f>
        <v>RUS</v>
      </c>
      <c r="F151" s="3" t="str">
        <f>[2]men!F139</f>
        <v>23.08.2014</v>
      </c>
      <c r="G151" t="str">
        <f>[2]men!G139</f>
        <v>Moscow</v>
      </c>
      <c r="H151" t="str">
        <f>[2]men!H139</f>
        <v xml:space="preserve"> </v>
      </c>
    </row>
    <row r="152" spans="1:8" x14ac:dyDescent="0.25">
      <c r="A152" s="1">
        <f>[2]men!A140</f>
        <v>82.5</v>
      </c>
      <c r="B152" s="1">
        <f>[2]men!B140</f>
        <v>147.5</v>
      </c>
      <c r="C152" t="str">
        <f>[2]men!C140</f>
        <v>Weathers Dennis</v>
      </c>
      <c r="D152">
        <f>[2]men!D140</f>
        <v>52</v>
      </c>
      <c r="E152" t="str">
        <f>[2]men!E140</f>
        <v>USA</v>
      </c>
      <c r="F152" s="3">
        <f>[2]men!F140</f>
        <v>41390</v>
      </c>
      <c r="G152" t="str">
        <f>[2]men!G140</f>
        <v>Grand Rapids,MI</v>
      </c>
      <c r="H152" t="str">
        <f>[2]men!H140</f>
        <v>4th</v>
      </c>
    </row>
    <row r="153" spans="1:8" x14ac:dyDescent="0.25">
      <c r="A153" s="1">
        <f>[2]men!A141</f>
        <v>90</v>
      </c>
      <c r="B153" s="1">
        <f>[2]men!B141</f>
        <v>160</v>
      </c>
      <c r="C153" t="str">
        <f>[2]men!C141</f>
        <v>Stanchak Vyacheslav</v>
      </c>
      <c r="D153">
        <f>[2]men!D141</f>
        <v>52</v>
      </c>
      <c r="E153" t="str">
        <f>[2]men!E141</f>
        <v>RUS</v>
      </c>
      <c r="F153" s="3" t="str">
        <f>[2]men!F141</f>
        <v>23.08.2014</v>
      </c>
      <c r="G153" t="str">
        <f>[2]men!G141</f>
        <v>Moscow</v>
      </c>
      <c r="H153" t="str">
        <f>[2]men!H141</f>
        <v xml:space="preserve"> </v>
      </c>
    </row>
    <row r="154" spans="1:8" x14ac:dyDescent="0.25">
      <c r="A154" s="1">
        <f>[2]men!A142</f>
        <v>100</v>
      </c>
      <c r="B154" s="1">
        <f>[2]men!B142</f>
        <v>150</v>
      </c>
      <c r="C154" t="str">
        <f>[2]men!C142</f>
        <v>Kalinin Grigory</v>
      </c>
      <c r="D154">
        <f>[2]men!D142</f>
        <v>50</v>
      </c>
      <c r="E154" t="str">
        <f>[2]men!E142</f>
        <v>RUS</v>
      </c>
      <c r="F154" s="3">
        <f>[2]men!F142</f>
        <v>41137</v>
      </c>
      <c r="G154" t="str">
        <f>[2]men!G142</f>
        <v>Novosibirsk</v>
      </c>
      <c r="H154" t="str">
        <f>[2]men!H142</f>
        <v xml:space="preserve"> </v>
      </c>
    </row>
    <row r="155" spans="1:8" x14ac:dyDescent="0.25">
      <c r="A155" s="1">
        <f>[2]men!A143</f>
        <v>110</v>
      </c>
      <c r="B155" s="1">
        <f>[2]men!B143</f>
        <v>160</v>
      </c>
      <c r="C155" t="str">
        <f>[2]men!C143</f>
        <v>Pauyesov Anatoliy</v>
      </c>
      <c r="D155">
        <f>[2]men!D143</f>
        <v>53</v>
      </c>
      <c r="E155" t="str">
        <f>[2]men!E143</f>
        <v>RUS</v>
      </c>
      <c r="F155" s="3" t="str">
        <f>[2]men!F143</f>
        <v>23.08.2014</v>
      </c>
      <c r="G155" t="str">
        <f>[2]men!G143</f>
        <v>Moscow</v>
      </c>
      <c r="H155">
        <f>[2]men!H143</f>
        <v>0</v>
      </c>
    </row>
    <row r="156" spans="1:8" x14ac:dyDescent="0.25">
      <c r="A156" s="1">
        <f>[2]men!A144</f>
        <v>125</v>
      </c>
      <c r="B156" s="1">
        <f>[2]men!B144</f>
        <v>180</v>
      </c>
      <c r="C156" t="str">
        <f>[2]men!C144</f>
        <v>Egozaryan Grachik</v>
      </c>
      <c r="D156">
        <f>[2]men!D144</f>
        <v>52</v>
      </c>
      <c r="E156" t="str">
        <f>[2]men!E144</f>
        <v>RUS</v>
      </c>
      <c r="F156" s="3" t="str">
        <f>[2]men!F144</f>
        <v>23.08.2014</v>
      </c>
      <c r="G156" t="str">
        <f>[2]men!G144</f>
        <v>Moscow</v>
      </c>
      <c r="H156" t="str">
        <f>[2]men!H144</f>
        <v xml:space="preserve"> </v>
      </c>
    </row>
    <row r="157" spans="1:8" x14ac:dyDescent="0.25">
      <c r="A157" s="1">
        <f>[2]men!A145</f>
        <v>140</v>
      </c>
      <c r="B157" s="1" t="str">
        <f>[2]men!B145</f>
        <v xml:space="preserve"> </v>
      </c>
      <c r="C157" t="str">
        <f>[2]men!C145</f>
        <v xml:space="preserve"> </v>
      </c>
      <c r="D157" t="str">
        <f>[2]men!D145</f>
        <v xml:space="preserve"> </v>
      </c>
      <c r="E157" t="str">
        <f>[2]men!E145</f>
        <v xml:space="preserve"> </v>
      </c>
      <c r="F157" s="3" t="str">
        <f>[2]men!F145</f>
        <v xml:space="preserve"> </v>
      </c>
      <c r="G157" t="str">
        <f>[2]men!G145</f>
        <v xml:space="preserve"> </v>
      </c>
      <c r="H157" t="str">
        <f>[2]men!H145</f>
        <v xml:space="preserve"> </v>
      </c>
    </row>
    <row r="158" spans="1:8" x14ac:dyDescent="0.25">
      <c r="A158" s="1" t="str">
        <f>[2]men!A146</f>
        <v>140+</v>
      </c>
      <c r="B158" s="1" t="str">
        <f>[2]men!B146</f>
        <v xml:space="preserve"> </v>
      </c>
      <c r="C158" t="str">
        <f>[2]men!C146</f>
        <v xml:space="preserve"> </v>
      </c>
      <c r="D158" t="str">
        <f>[2]men!D146</f>
        <v xml:space="preserve"> </v>
      </c>
      <c r="E158" t="str">
        <f>[2]men!E146</f>
        <v xml:space="preserve"> </v>
      </c>
      <c r="F158" s="3" t="str">
        <f>[2]men!F146</f>
        <v xml:space="preserve"> </v>
      </c>
      <c r="G158" t="str">
        <f>[2]men!G146</f>
        <v xml:space="preserve"> </v>
      </c>
      <c r="H158" t="str">
        <f>[2]men!H146</f>
        <v xml:space="preserve"> </v>
      </c>
    </row>
    <row r="160" spans="1:8" s="11" customFormat="1" x14ac:dyDescent="0.25">
      <c r="A160" s="22" t="s">
        <v>0</v>
      </c>
      <c r="B160" s="22">
        <v>1</v>
      </c>
      <c r="C160" s="11">
        <v>65</v>
      </c>
      <c r="D160" s="11" t="str">
        <f>[2]men!C147</f>
        <v xml:space="preserve">65-69 </v>
      </c>
      <c r="E160" s="11" t="str">
        <f>[2]men!E147</f>
        <v xml:space="preserve"> </v>
      </c>
      <c r="F160" s="15" t="str">
        <f>[2]men!F147</f>
        <v xml:space="preserve"> </v>
      </c>
      <c r="G160" s="11" t="str">
        <f>[2]men!G147</f>
        <v xml:space="preserve"> </v>
      </c>
      <c r="H160" s="11" t="str">
        <f>[2]men!H147</f>
        <v xml:space="preserve"> </v>
      </c>
    </row>
    <row r="161" spans="1:8" x14ac:dyDescent="0.25">
      <c r="A161" s="1">
        <f>[2]men!A148</f>
        <v>52</v>
      </c>
      <c r="B161" s="1" t="str">
        <f>[2]men!B148</f>
        <v xml:space="preserve"> </v>
      </c>
      <c r="C161" t="str">
        <f>[2]men!C148</f>
        <v xml:space="preserve"> </v>
      </c>
      <c r="D161" t="str">
        <f>[2]men!D148</f>
        <v xml:space="preserve"> </v>
      </c>
      <c r="E161" t="str">
        <f>[2]men!E148</f>
        <v xml:space="preserve"> </v>
      </c>
      <c r="F161" s="3" t="str">
        <f>[2]men!F148</f>
        <v xml:space="preserve"> </v>
      </c>
      <c r="G161" t="str">
        <f>[2]men!G148</f>
        <v xml:space="preserve"> </v>
      </c>
      <c r="H161" t="str">
        <f>[2]men!H148</f>
        <v xml:space="preserve"> </v>
      </c>
    </row>
    <row r="162" spans="1:8" x14ac:dyDescent="0.25">
      <c r="A162" s="1">
        <f>[2]men!A149</f>
        <v>56</v>
      </c>
      <c r="B162" s="1" t="str">
        <f>[2]men!B149</f>
        <v xml:space="preserve"> </v>
      </c>
      <c r="C162" t="str">
        <f>[2]men!C149</f>
        <v xml:space="preserve"> </v>
      </c>
      <c r="D162" t="str">
        <f>[2]men!D149</f>
        <v xml:space="preserve"> </v>
      </c>
      <c r="E162" t="str">
        <f>[2]men!E149</f>
        <v xml:space="preserve"> </v>
      </c>
      <c r="F162" s="3" t="str">
        <f>[2]men!F149</f>
        <v xml:space="preserve"> </v>
      </c>
      <c r="G162" t="str">
        <f>[2]men!G149</f>
        <v xml:space="preserve"> </v>
      </c>
      <c r="H162" t="str">
        <f>[2]men!H149</f>
        <v xml:space="preserve"> </v>
      </c>
    </row>
    <row r="163" spans="1:8" x14ac:dyDescent="0.25">
      <c r="A163" s="1">
        <f>[2]men!A150</f>
        <v>60</v>
      </c>
      <c r="B163" s="1" t="str">
        <f>[2]men!B150</f>
        <v xml:space="preserve"> </v>
      </c>
      <c r="C163" t="str">
        <f>[2]men!C150</f>
        <v xml:space="preserve"> </v>
      </c>
      <c r="D163" t="str">
        <f>[2]men!D150</f>
        <v xml:space="preserve"> </v>
      </c>
      <c r="E163" t="str">
        <f>[2]men!E150</f>
        <v xml:space="preserve"> </v>
      </c>
      <c r="F163" s="3" t="str">
        <f>[2]men!F150</f>
        <v xml:space="preserve"> </v>
      </c>
      <c r="G163" t="str">
        <f>[2]men!G150</f>
        <v xml:space="preserve"> </v>
      </c>
      <c r="H163" t="str">
        <f>[2]men!H150</f>
        <v xml:space="preserve"> </v>
      </c>
    </row>
    <row r="164" spans="1:8" x14ac:dyDescent="0.25">
      <c r="A164" s="1">
        <f>[2]men!A151</f>
        <v>67.5</v>
      </c>
      <c r="B164" s="1">
        <f>[2]men!B151</f>
        <v>87.5</v>
      </c>
      <c r="C164" t="str">
        <f>[2]men!C151</f>
        <v>Santee Gordon</v>
      </c>
      <c r="D164">
        <f>[2]men!D151</f>
        <v>46</v>
      </c>
      <c r="E164" t="str">
        <f>[2]men!E151</f>
        <v>USA</v>
      </c>
      <c r="F164" s="3">
        <f>[2]men!F151</f>
        <v>41516</v>
      </c>
      <c r="G164" t="str">
        <f>[2]men!G151</f>
        <v>Idaho Falls</v>
      </c>
      <c r="H164" t="str">
        <f>[2]men!H151</f>
        <v>4th</v>
      </c>
    </row>
    <row r="165" spans="1:8" x14ac:dyDescent="0.25">
      <c r="A165" s="1">
        <f>[2]men!A152</f>
        <v>75</v>
      </c>
      <c r="B165" s="1">
        <f>[2]men!B152</f>
        <v>122.5</v>
      </c>
      <c r="C165" t="str">
        <f>[2]men!C152</f>
        <v>Dvizov Yuriy</v>
      </c>
      <c r="D165">
        <f>[2]men!D152</f>
        <v>47</v>
      </c>
      <c r="E165" t="str">
        <f>[2]men!E152</f>
        <v>RUS</v>
      </c>
      <c r="F165" s="3">
        <f>[2]men!F152</f>
        <v>41128</v>
      </c>
      <c r="G165" t="str">
        <f>[2]men!G152</f>
        <v>Kryvyi Rig</v>
      </c>
      <c r="H165" t="str">
        <f>[2]men!H152</f>
        <v xml:space="preserve"> </v>
      </c>
    </row>
    <row r="166" spans="1:8" x14ac:dyDescent="0.25">
      <c r="A166" s="1">
        <f>[2]men!A153</f>
        <v>82.5</v>
      </c>
      <c r="B166" s="1">
        <f>[2]men!B153</f>
        <v>132.5</v>
      </c>
      <c r="C166" t="str">
        <f>[2]men!C153</f>
        <v>Tsoriev Eldar</v>
      </c>
      <c r="D166">
        <f>[2]men!D153</f>
        <v>46</v>
      </c>
      <c r="E166" t="str">
        <f>[2]men!E153</f>
        <v>RUS</v>
      </c>
      <c r="F166" s="3">
        <f>[2]men!F153</f>
        <v>41608</v>
      </c>
      <c r="G166" t="str">
        <f>[2]men!G153</f>
        <v>Yekaterinburg</v>
      </c>
      <c r="H166" t="str">
        <f>[2]men!H153</f>
        <v xml:space="preserve"> </v>
      </c>
    </row>
    <row r="167" spans="1:8" x14ac:dyDescent="0.25">
      <c r="A167" s="1">
        <f>[2]men!A154</f>
        <v>90</v>
      </c>
      <c r="B167" s="1">
        <f>[2]men!B154</f>
        <v>140</v>
      </c>
      <c r="C167" t="str">
        <f>[2]men!C154</f>
        <v>Khusnetdinov Amir</v>
      </c>
      <c r="D167">
        <f>[2]men!D154</f>
        <v>48</v>
      </c>
      <c r="E167" t="str">
        <f>[2]men!E154</f>
        <v>RUS</v>
      </c>
      <c r="F167" s="3" t="str">
        <f>[2]men!F154</f>
        <v>23.08.2014</v>
      </c>
      <c r="G167" t="str">
        <f>[2]men!G154</f>
        <v>Moscow</v>
      </c>
      <c r="H167" t="str">
        <f>[2]men!H154</f>
        <v xml:space="preserve"> </v>
      </c>
    </row>
    <row r="168" spans="1:8" x14ac:dyDescent="0.25">
      <c r="A168" s="1">
        <f>[2]men!A155</f>
        <v>100</v>
      </c>
      <c r="B168" s="1">
        <f>[2]men!B155</f>
        <v>137.5</v>
      </c>
      <c r="C168" t="str">
        <f>[2]men!C155</f>
        <v>Korshunov Volodymyr</v>
      </c>
      <c r="D168">
        <f>[2]men!D155</f>
        <v>42</v>
      </c>
      <c r="E168" t="str">
        <f>[2]men!E155</f>
        <v>UKR</v>
      </c>
      <c r="F168" s="3">
        <f>[2]men!F155</f>
        <v>41129</v>
      </c>
      <c r="G168" t="str">
        <f>[2]men!G155</f>
        <v>Kryvyi Rig</v>
      </c>
      <c r="H168" t="str">
        <f>[2]men!H155</f>
        <v xml:space="preserve"> </v>
      </c>
    </row>
    <row r="169" spans="1:8" x14ac:dyDescent="0.25">
      <c r="A169" s="1">
        <f>[2]men!A156</f>
        <v>110</v>
      </c>
      <c r="B169" s="1">
        <f>[2]men!B156</f>
        <v>130</v>
      </c>
      <c r="C169" t="str">
        <f>[2]men!C156</f>
        <v>Kozharinov Yevgeniy</v>
      </c>
      <c r="D169">
        <f>[2]men!D156</f>
        <v>45</v>
      </c>
      <c r="E169" t="str">
        <f>[2]men!E156</f>
        <v>RUS</v>
      </c>
      <c r="F169" s="3" t="str">
        <f>[2]men!F156</f>
        <v>30.05.2014</v>
      </c>
      <c r="G169" t="str">
        <f>[2]men!G156</f>
        <v>Kursk</v>
      </c>
      <c r="H169" t="str">
        <f>[2]men!H156</f>
        <v xml:space="preserve"> </v>
      </c>
    </row>
    <row r="170" spans="1:8" x14ac:dyDescent="0.25">
      <c r="A170" s="1">
        <f>[2]men!A157</f>
        <v>125</v>
      </c>
      <c r="B170" s="1">
        <f>[2]men!B157</f>
        <v>130</v>
      </c>
      <c r="C170" t="str">
        <f>[2]men!C157</f>
        <v>Chernyshov Vladimir</v>
      </c>
      <c r="D170">
        <f>[2]men!D157</f>
        <v>48</v>
      </c>
      <c r="E170" t="str">
        <f>[2]men!E157</f>
        <v>RUS</v>
      </c>
      <c r="F170" s="3" t="str">
        <f>[2]men!F157</f>
        <v>19.04.2014</v>
      </c>
      <c r="G170" t="str">
        <f>[2]men!G157</f>
        <v>Krasnodar</v>
      </c>
      <c r="H170" t="str">
        <f>[2]men!H157</f>
        <v xml:space="preserve"> </v>
      </c>
    </row>
    <row r="171" spans="1:8" x14ac:dyDescent="0.25">
      <c r="A171" s="1">
        <f>[2]men!A158</f>
        <v>140</v>
      </c>
      <c r="B171" s="1" t="str">
        <f>[2]men!B158</f>
        <v xml:space="preserve"> </v>
      </c>
      <c r="C171" t="str">
        <f>[2]men!C158</f>
        <v xml:space="preserve"> </v>
      </c>
      <c r="D171" t="str">
        <f>[2]men!D158</f>
        <v xml:space="preserve"> </v>
      </c>
      <c r="E171" t="str">
        <f>[2]men!E158</f>
        <v xml:space="preserve"> </v>
      </c>
      <c r="F171" s="3" t="str">
        <f>[2]men!F158</f>
        <v xml:space="preserve"> </v>
      </c>
      <c r="G171" t="str">
        <f>[2]men!G158</f>
        <v xml:space="preserve"> </v>
      </c>
      <c r="H171" t="str">
        <f>[2]men!H158</f>
        <v xml:space="preserve"> </v>
      </c>
    </row>
    <row r="172" spans="1:8" x14ac:dyDescent="0.25">
      <c r="A172" s="1" t="str">
        <f>[2]men!A159</f>
        <v>140+</v>
      </c>
      <c r="B172" s="1" t="str">
        <f>[2]men!B159</f>
        <v xml:space="preserve"> </v>
      </c>
      <c r="C172" t="str">
        <f>[2]men!C159</f>
        <v xml:space="preserve"> </v>
      </c>
      <c r="D172" t="str">
        <f>[2]men!D159</f>
        <v xml:space="preserve"> </v>
      </c>
      <c r="E172" t="str">
        <f>[2]men!E159</f>
        <v xml:space="preserve"> </v>
      </c>
      <c r="F172" s="3" t="str">
        <f>[2]men!F159</f>
        <v xml:space="preserve"> </v>
      </c>
      <c r="G172" t="str">
        <f>[2]men!G159</f>
        <v xml:space="preserve"> </v>
      </c>
      <c r="H172" t="str">
        <f>[2]men!H159</f>
        <v xml:space="preserve"> </v>
      </c>
    </row>
    <row r="174" spans="1:8" s="11" customFormat="1" x14ac:dyDescent="0.25">
      <c r="A174" s="22" t="s">
        <v>0</v>
      </c>
      <c r="B174" s="22">
        <v>1</v>
      </c>
      <c r="C174" s="11">
        <v>70</v>
      </c>
      <c r="D174" s="11" t="str">
        <f>[2]men!C160</f>
        <v xml:space="preserve">70-74 </v>
      </c>
      <c r="E174" s="11" t="str">
        <f>[2]men!E160</f>
        <v xml:space="preserve"> </v>
      </c>
      <c r="F174" s="15" t="str">
        <f>[2]men!F160</f>
        <v xml:space="preserve"> </v>
      </c>
      <c r="G174" s="11" t="str">
        <f>[2]men!G160</f>
        <v xml:space="preserve"> </v>
      </c>
      <c r="H174" s="11" t="str">
        <f>[2]men!H160</f>
        <v xml:space="preserve"> </v>
      </c>
    </row>
    <row r="175" spans="1:8" x14ac:dyDescent="0.25">
      <c r="A175" s="1">
        <f>[2]men!A161</f>
        <v>52</v>
      </c>
      <c r="B175" s="1" t="str">
        <f>[2]men!B161</f>
        <v xml:space="preserve"> </v>
      </c>
      <c r="C175" t="str">
        <f>[2]men!C161</f>
        <v xml:space="preserve"> </v>
      </c>
      <c r="D175" t="str">
        <f>[2]men!D161</f>
        <v xml:space="preserve"> </v>
      </c>
      <c r="E175" t="str">
        <f>[2]men!E161</f>
        <v xml:space="preserve"> </v>
      </c>
      <c r="F175" s="3" t="str">
        <f>[2]men!F161</f>
        <v xml:space="preserve"> </v>
      </c>
      <c r="G175" t="str">
        <f>[2]men!G161</f>
        <v xml:space="preserve"> </v>
      </c>
      <c r="H175" t="str">
        <f>[2]men!H161</f>
        <v xml:space="preserve"> </v>
      </c>
    </row>
    <row r="176" spans="1:8" x14ac:dyDescent="0.25">
      <c r="A176" s="1">
        <f>[2]men!A162</f>
        <v>56</v>
      </c>
      <c r="B176" s="1" t="str">
        <f>[2]men!B162</f>
        <v xml:space="preserve"> </v>
      </c>
      <c r="C176" t="str">
        <f>[2]men!C162</f>
        <v xml:space="preserve"> </v>
      </c>
      <c r="D176" t="str">
        <f>[2]men!D162</f>
        <v xml:space="preserve"> </v>
      </c>
      <c r="E176" t="str">
        <f>[2]men!E162</f>
        <v xml:space="preserve"> </v>
      </c>
      <c r="F176" s="3" t="str">
        <f>[2]men!F162</f>
        <v xml:space="preserve"> </v>
      </c>
      <c r="G176" t="str">
        <f>[2]men!G162</f>
        <v xml:space="preserve"> </v>
      </c>
      <c r="H176" t="str">
        <f>[2]men!H162</f>
        <v xml:space="preserve"> </v>
      </c>
    </row>
    <row r="177" spans="1:8" x14ac:dyDescent="0.25">
      <c r="A177" s="1">
        <f>[2]men!A163</f>
        <v>60</v>
      </c>
      <c r="B177" s="1" t="str">
        <f>[2]men!B163</f>
        <v xml:space="preserve"> </v>
      </c>
      <c r="C177" t="str">
        <f>[2]men!C163</f>
        <v xml:space="preserve"> </v>
      </c>
      <c r="D177" t="str">
        <f>[2]men!D163</f>
        <v xml:space="preserve"> </v>
      </c>
      <c r="E177" t="str">
        <f>[2]men!E163</f>
        <v xml:space="preserve"> </v>
      </c>
      <c r="F177" s="3" t="str">
        <f>[2]men!F163</f>
        <v xml:space="preserve"> </v>
      </c>
      <c r="G177" t="str">
        <f>[2]men!G163</f>
        <v xml:space="preserve"> </v>
      </c>
      <c r="H177" t="str">
        <f>[2]men!H163</f>
        <v xml:space="preserve"> </v>
      </c>
    </row>
    <row r="178" spans="1:8" x14ac:dyDescent="0.25">
      <c r="A178" s="1">
        <f>[2]men!A164</f>
        <v>67.5</v>
      </c>
      <c r="B178" s="1">
        <f>[2]men!B164</f>
        <v>95</v>
      </c>
      <c r="C178" t="str">
        <f>[2]men!C164</f>
        <v>Kim Miron</v>
      </c>
      <c r="D178">
        <f>[2]men!D164</f>
        <v>41</v>
      </c>
      <c r="E178" t="str">
        <f>[2]men!E164</f>
        <v>RUS</v>
      </c>
      <c r="F178" s="3">
        <f>[2]men!F164</f>
        <v>41438</v>
      </c>
      <c r="G178" t="str">
        <f>[2]men!G164</f>
        <v>Moscow</v>
      </c>
      <c r="H178" t="str">
        <f>[2]men!H164</f>
        <v xml:space="preserve"> </v>
      </c>
    </row>
    <row r="179" spans="1:8" x14ac:dyDescent="0.25">
      <c r="A179" s="1">
        <f>[2]men!A165</f>
        <v>75</v>
      </c>
      <c r="B179" s="1">
        <f>[2]men!B165</f>
        <v>110</v>
      </c>
      <c r="C179" t="str">
        <f>[2]men!C165</f>
        <v>Barabanov German</v>
      </c>
      <c r="D179">
        <f>[2]men!D165</f>
        <v>40</v>
      </c>
      <c r="E179" t="str">
        <f>[2]men!E165</f>
        <v>RUS</v>
      </c>
      <c r="F179" s="3">
        <f>[2]men!F165</f>
        <v>41438</v>
      </c>
      <c r="G179" t="str">
        <f>[2]men!G165</f>
        <v>Moscow</v>
      </c>
      <c r="H179" t="str">
        <f>[2]men!H165</f>
        <v xml:space="preserve"> </v>
      </c>
    </row>
    <row r="180" spans="1:8" x14ac:dyDescent="0.25">
      <c r="A180" s="1">
        <f>[2]men!A166</f>
        <v>82.5</v>
      </c>
      <c r="B180" s="1">
        <f>[2]men!B166</f>
        <v>117.5</v>
      </c>
      <c r="C180" t="str">
        <f>[2]men!C166</f>
        <v>Barabanov German</v>
      </c>
      <c r="D180">
        <f>[2]men!D166</f>
        <v>40</v>
      </c>
      <c r="E180" t="str">
        <f>[2]men!E166</f>
        <v>RUS</v>
      </c>
      <c r="F180" s="3" t="str">
        <f>[2]men!F166</f>
        <v>23.08.2014</v>
      </c>
      <c r="G180" t="str">
        <f>[2]men!G166</f>
        <v>Moscow</v>
      </c>
      <c r="H180" t="str">
        <f>[2]men!H166</f>
        <v xml:space="preserve"> </v>
      </c>
    </row>
    <row r="181" spans="1:8" x14ac:dyDescent="0.25">
      <c r="A181" s="1">
        <f>[2]men!A167</f>
        <v>90</v>
      </c>
      <c r="B181" s="1">
        <f>[2]men!B167</f>
        <v>127.5</v>
      </c>
      <c r="C181" t="str">
        <f>[2]men!C167</f>
        <v>Hemenway Ronald</v>
      </c>
      <c r="D181">
        <f>[2]men!D167</f>
        <v>41</v>
      </c>
      <c r="E181" t="str">
        <f>[2]men!E167</f>
        <v>USA</v>
      </c>
      <c r="F181" s="3">
        <f>[2]men!F167</f>
        <v>41475</v>
      </c>
      <c r="G181" t="str">
        <f>[2]men!G167</f>
        <v>Detroit</v>
      </c>
      <c r="H181" t="str">
        <f>[2]men!H167</f>
        <v xml:space="preserve"> </v>
      </c>
    </row>
    <row r="182" spans="1:8" x14ac:dyDescent="0.25">
      <c r="A182" s="1">
        <f>[2]men!A168</f>
        <v>100</v>
      </c>
      <c r="B182" s="1">
        <f>[2]men!B168</f>
        <v>132.5</v>
      </c>
      <c r="C182" t="str">
        <f>[2]men!C168</f>
        <v>Brown Ed</v>
      </c>
      <c r="D182">
        <f>[2]men!D168</f>
        <v>39</v>
      </c>
      <c r="E182" t="str">
        <f>[2]men!E168</f>
        <v>USA</v>
      </c>
      <c r="F182" s="3">
        <f>[2]men!F168</f>
        <v>40285</v>
      </c>
      <c r="G182" t="str">
        <f>[2]men!G168</f>
        <v>Detroit</v>
      </c>
      <c r="H182" t="str">
        <f>[2]men!H168</f>
        <v>4th</v>
      </c>
    </row>
    <row r="183" spans="1:8" x14ac:dyDescent="0.25">
      <c r="A183" s="1">
        <f>[2]men!A169</f>
        <v>110</v>
      </c>
      <c r="B183" s="1">
        <f>[2]men!B169</f>
        <v>170</v>
      </c>
      <c r="C183" t="str">
        <f>[2]men!C169</f>
        <v>Sandberg Skip</v>
      </c>
      <c r="D183">
        <f>[2]men!D169</f>
        <v>40</v>
      </c>
      <c r="E183" t="str">
        <f>[2]men!E169</f>
        <v>USA</v>
      </c>
      <c r="F183" s="3">
        <f>[2]men!F169</f>
        <v>41152</v>
      </c>
      <c r="G183" t="str">
        <f>[2]men!G169</f>
        <v>Idaho Falls</v>
      </c>
      <c r="H183" t="str">
        <f>[2]men!H169</f>
        <v xml:space="preserve"> </v>
      </c>
    </row>
    <row r="184" spans="1:8" x14ac:dyDescent="0.25">
      <c r="A184" s="1">
        <f>[2]men!A170</f>
        <v>125</v>
      </c>
      <c r="B184" s="1">
        <f>[2]men!B170</f>
        <v>188</v>
      </c>
      <c r="C184" t="str">
        <f>[2]men!C170</f>
        <v>Flikas George</v>
      </c>
      <c r="D184">
        <f>[2]men!D170</f>
        <v>42</v>
      </c>
      <c r="E184" t="str">
        <f>[2]men!E170</f>
        <v>CAN</v>
      </c>
      <c r="F184" s="3">
        <f>[2]men!F170</f>
        <v>41475</v>
      </c>
      <c r="G184" t="str">
        <f>[2]men!G170</f>
        <v>Detroit</v>
      </c>
      <c r="H184" t="str">
        <f>[2]men!H170</f>
        <v>4th</v>
      </c>
    </row>
    <row r="185" spans="1:8" x14ac:dyDescent="0.25">
      <c r="A185" s="1">
        <f>[2]men!A171</f>
        <v>140</v>
      </c>
      <c r="B185" s="1" t="str">
        <f>[2]men!B171</f>
        <v xml:space="preserve"> </v>
      </c>
      <c r="C185" t="str">
        <f>[2]men!C171</f>
        <v xml:space="preserve"> </v>
      </c>
      <c r="D185" t="str">
        <f>[2]men!D171</f>
        <v xml:space="preserve"> </v>
      </c>
      <c r="E185" t="str">
        <f>[2]men!E171</f>
        <v xml:space="preserve"> </v>
      </c>
      <c r="F185" s="3" t="str">
        <f>[2]men!F171</f>
        <v xml:space="preserve"> </v>
      </c>
      <c r="G185" t="str">
        <f>[2]men!G171</f>
        <v xml:space="preserve"> </v>
      </c>
      <c r="H185" t="str">
        <f>[2]men!H171</f>
        <v xml:space="preserve"> </v>
      </c>
    </row>
    <row r="186" spans="1:8" x14ac:dyDescent="0.25">
      <c r="A186" s="1" t="str">
        <f>[2]men!A172</f>
        <v>140+</v>
      </c>
      <c r="B186" s="1" t="str">
        <f>[2]men!B172</f>
        <v xml:space="preserve"> </v>
      </c>
      <c r="C186" t="str">
        <f>[2]men!C172</f>
        <v xml:space="preserve"> </v>
      </c>
      <c r="D186" t="str">
        <f>[2]men!D172</f>
        <v xml:space="preserve"> </v>
      </c>
      <c r="E186" t="str">
        <f>[2]men!E172</f>
        <v xml:space="preserve"> </v>
      </c>
      <c r="F186" s="3" t="str">
        <f>[2]men!F172</f>
        <v xml:space="preserve"> </v>
      </c>
      <c r="G186" t="str">
        <f>[2]men!G172</f>
        <v xml:space="preserve"> </v>
      </c>
      <c r="H186" t="str">
        <f>[2]men!H172</f>
        <v xml:space="preserve"> </v>
      </c>
    </row>
    <row r="188" spans="1:8" s="11" customFormat="1" x14ac:dyDescent="0.25">
      <c r="A188" s="22" t="s">
        <v>0</v>
      </c>
      <c r="B188" s="22">
        <v>1</v>
      </c>
      <c r="C188" s="11">
        <v>75</v>
      </c>
      <c r="D188" s="11" t="str">
        <f>[2]men!C173</f>
        <v xml:space="preserve">75-79 </v>
      </c>
      <c r="E188" s="11" t="str">
        <f>[2]men!E173</f>
        <v xml:space="preserve"> </v>
      </c>
      <c r="F188" s="15" t="str">
        <f>[2]men!F173</f>
        <v xml:space="preserve"> </v>
      </c>
      <c r="G188" s="11" t="str">
        <f>[2]men!G173</f>
        <v xml:space="preserve"> </v>
      </c>
      <c r="H188" s="11" t="str">
        <f>[2]men!H173</f>
        <v xml:space="preserve"> </v>
      </c>
    </row>
    <row r="189" spans="1:8" x14ac:dyDescent="0.25">
      <c r="A189" s="1">
        <f>[2]men!A174</f>
        <v>52</v>
      </c>
      <c r="B189" s="1" t="str">
        <f>[2]men!B174</f>
        <v xml:space="preserve"> </v>
      </c>
      <c r="C189" t="str">
        <f>[2]men!C174</f>
        <v xml:space="preserve"> </v>
      </c>
      <c r="D189" t="str">
        <f>[2]men!D174</f>
        <v xml:space="preserve"> </v>
      </c>
      <c r="E189" t="str">
        <f>[2]men!E174</f>
        <v xml:space="preserve"> </v>
      </c>
      <c r="F189" s="3" t="str">
        <f>[2]men!F174</f>
        <v xml:space="preserve"> </v>
      </c>
      <c r="G189" t="str">
        <f>[2]men!G174</f>
        <v xml:space="preserve"> </v>
      </c>
      <c r="H189" t="str">
        <f>[2]men!H174</f>
        <v xml:space="preserve"> </v>
      </c>
    </row>
    <row r="190" spans="1:8" x14ac:dyDescent="0.25">
      <c r="A190" s="1">
        <f>[2]men!A175</f>
        <v>56</v>
      </c>
      <c r="B190" s="1" t="str">
        <f>[2]men!B175</f>
        <v xml:space="preserve"> </v>
      </c>
      <c r="C190" t="str">
        <f>[2]men!C175</f>
        <v xml:space="preserve"> </v>
      </c>
      <c r="D190" t="str">
        <f>[2]men!D175</f>
        <v xml:space="preserve"> </v>
      </c>
      <c r="E190" t="str">
        <f>[2]men!E175</f>
        <v xml:space="preserve"> </v>
      </c>
      <c r="F190" s="3" t="str">
        <f>[2]men!F175</f>
        <v xml:space="preserve"> </v>
      </c>
      <c r="G190" t="str">
        <f>[2]men!G175</f>
        <v xml:space="preserve"> </v>
      </c>
      <c r="H190" t="str">
        <f>[2]men!H175</f>
        <v xml:space="preserve"> </v>
      </c>
    </row>
    <row r="191" spans="1:8" x14ac:dyDescent="0.25">
      <c r="A191" s="1">
        <f>[2]men!A176</f>
        <v>60</v>
      </c>
      <c r="B191" s="1" t="str">
        <f>[2]men!B176</f>
        <v xml:space="preserve"> </v>
      </c>
      <c r="C191" t="str">
        <f>[2]men!C176</f>
        <v xml:space="preserve"> </v>
      </c>
      <c r="D191" t="str">
        <f>[2]men!D176</f>
        <v xml:space="preserve"> </v>
      </c>
      <c r="E191" t="str">
        <f>[2]men!E176</f>
        <v xml:space="preserve"> </v>
      </c>
      <c r="F191" s="3" t="str">
        <f>[2]men!F176</f>
        <v xml:space="preserve"> </v>
      </c>
      <c r="G191" t="str">
        <f>[2]men!G176</f>
        <v xml:space="preserve"> </v>
      </c>
      <c r="H191" t="str">
        <f>[2]men!H176</f>
        <v xml:space="preserve"> </v>
      </c>
    </row>
    <row r="192" spans="1:8" x14ac:dyDescent="0.25">
      <c r="A192" s="1">
        <f>[2]men!A177</f>
        <v>67.5</v>
      </c>
      <c r="B192" s="1">
        <f>[2]men!B177</f>
        <v>87.5</v>
      </c>
      <c r="C192" t="str">
        <f>[2]men!C177</f>
        <v>Plagov Iosif</v>
      </c>
      <c r="D192">
        <f>[2]men!D177</f>
        <v>35</v>
      </c>
      <c r="E192" t="str">
        <f>[2]men!E177</f>
        <v>USA</v>
      </c>
      <c r="F192" s="3">
        <f>[2]men!F177</f>
        <v>40788</v>
      </c>
      <c r="G192" t="str">
        <f>[2]men!G177</f>
        <v>Idaho Falls</v>
      </c>
      <c r="H192" t="str">
        <f>[2]men!H177</f>
        <v xml:space="preserve"> </v>
      </c>
    </row>
    <row r="193" spans="1:8" x14ac:dyDescent="0.25">
      <c r="A193" s="1">
        <f>[2]men!A178</f>
        <v>75</v>
      </c>
      <c r="B193" s="1">
        <f>[2]men!B178</f>
        <v>107.5</v>
      </c>
      <c r="C193" t="str">
        <f>[2]men!C178</f>
        <v>Lindas Gerald</v>
      </c>
      <c r="D193">
        <f>[2]men!D178</f>
        <v>36</v>
      </c>
      <c r="E193" t="str">
        <f>[2]men!E178</f>
        <v>USA</v>
      </c>
      <c r="F193" s="3">
        <f>[2]men!F178</f>
        <v>41475</v>
      </c>
      <c r="G193" t="str">
        <f>[2]men!G178</f>
        <v>Detroit</v>
      </c>
      <c r="H193" t="str">
        <f>[2]men!H178</f>
        <v xml:space="preserve"> </v>
      </c>
    </row>
    <row r="194" spans="1:8" x14ac:dyDescent="0.25">
      <c r="A194" s="1">
        <f>[2]men!A179</f>
        <v>82.5</v>
      </c>
      <c r="B194" s="1">
        <f>[2]men!B179</f>
        <v>107.5</v>
      </c>
      <c r="C194" t="str">
        <f>[2]men!C179</f>
        <v>Scott Ian</v>
      </c>
      <c r="D194">
        <f>[2]men!D179</f>
        <v>37</v>
      </c>
      <c r="E194" t="str">
        <f>[2]men!E179</f>
        <v>USA</v>
      </c>
      <c r="F194" s="3">
        <f>[2]men!F179</f>
        <v>41390</v>
      </c>
      <c r="G194" t="str">
        <f>[2]men!G179</f>
        <v>Grand Rapids,MI</v>
      </c>
      <c r="H194" t="str">
        <f>[2]men!H179</f>
        <v xml:space="preserve"> </v>
      </c>
    </row>
    <row r="195" spans="1:8" x14ac:dyDescent="0.25">
      <c r="A195" s="1">
        <f>[2]men!A180</f>
        <v>90</v>
      </c>
      <c r="B195" s="1">
        <f>[2]men!B180</f>
        <v>110</v>
      </c>
      <c r="C195" t="str">
        <f>[2]men!C180</f>
        <v>Novikov Nikolai</v>
      </c>
      <c r="D195">
        <f>[2]men!D180</f>
        <v>38</v>
      </c>
      <c r="E195" t="str">
        <f>[2]men!E180</f>
        <v>RUS</v>
      </c>
      <c r="F195" s="3">
        <f>[2]men!F180</f>
        <v>41618</v>
      </c>
      <c r="G195" t="str">
        <f>[2]men!G180</f>
        <v>Kursk</v>
      </c>
      <c r="H195" t="str">
        <f>[2]men!H180</f>
        <v xml:space="preserve"> </v>
      </c>
    </row>
    <row r="196" spans="1:8" x14ac:dyDescent="0.25">
      <c r="A196" s="1">
        <f>[2]men!A181</f>
        <v>100</v>
      </c>
      <c r="B196" s="1" t="str">
        <f>[2]men!B181</f>
        <v xml:space="preserve"> </v>
      </c>
      <c r="C196" t="str">
        <f>[2]men!C181</f>
        <v xml:space="preserve"> </v>
      </c>
      <c r="D196" t="str">
        <f>[2]men!D181</f>
        <v xml:space="preserve"> </v>
      </c>
      <c r="E196" t="str">
        <f>[2]men!E181</f>
        <v xml:space="preserve"> </v>
      </c>
      <c r="F196" s="3" t="str">
        <f>[2]men!F181</f>
        <v xml:space="preserve"> </v>
      </c>
      <c r="G196" t="str">
        <f>[2]men!G181</f>
        <v xml:space="preserve"> </v>
      </c>
      <c r="H196" t="str">
        <f>[2]men!H181</f>
        <v xml:space="preserve"> </v>
      </c>
    </row>
    <row r="197" spans="1:8" x14ac:dyDescent="0.25">
      <c r="A197" s="1">
        <f>[2]men!A182</f>
        <v>110</v>
      </c>
      <c r="B197" s="1" t="str">
        <f>[2]men!B182</f>
        <v xml:space="preserve"> </v>
      </c>
      <c r="C197" t="str">
        <f>[2]men!C182</f>
        <v xml:space="preserve"> </v>
      </c>
      <c r="D197" t="str">
        <f>[2]men!D182</f>
        <v xml:space="preserve"> </v>
      </c>
      <c r="E197" t="str">
        <f>[2]men!E182</f>
        <v xml:space="preserve"> </v>
      </c>
      <c r="F197" s="3" t="str">
        <f>[2]men!F182</f>
        <v xml:space="preserve"> </v>
      </c>
      <c r="G197" t="str">
        <f>[2]men!G182</f>
        <v xml:space="preserve"> </v>
      </c>
      <c r="H197" t="str">
        <f>[2]men!H182</f>
        <v xml:space="preserve"> </v>
      </c>
    </row>
    <row r="198" spans="1:8" x14ac:dyDescent="0.25">
      <c r="A198" s="1">
        <f>[2]men!A183</f>
        <v>125</v>
      </c>
      <c r="B198" s="1" t="str">
        <f>[2]men!B183</f>
        <v xml:space="preserve"> </v>
      </c>
      <c r="C198" t="str">
        <f>[2]men!C183</f>
        <v xml:space="preserve"> </v>
      </c>
      <c r="D198" t="str">
        <f>[2]men!D183</f>
        <v xml:space="preserve"> </v>
      </c>
      <c r="E198" t="str">
        <f>[2]men!E183</f>
        <v xml:space="preserve"> </v>
      </c>
      <c r="F198" s="3" t="str">
        <f>[2]men!F183</f>
        <v xml:space="preserve"> </v>
      </c>
      <c r="G198" t="str">
        <f>[2]men!G183</f>
        <v xml:space="preserve"> </v>
      </c>
      <c r="H198" t="str">
        <f>[2]men!H183</f>
        <v xml:space="preserve"> </v>
      </c>
    </row>
    <row r="199" spans="1:8" x14ac:dyDescent="0.25">
      <c r="A199" s="1">
        <f>[2]men!A184</f>
        <v>140</v>
      </c>
      <c r="B199" s="1" t="str">
        <f>[2]men!B184</f>
        <v xml:space="preserve"> </v>
      </c>
      <c r="C199" t="str">
        <f>[2]men!C184</f>
        <v xml:space="preserve"> </v>
      </c>
      <c r="D199" t="str">
        <f>[2]men!D184</f>
        <v xml:space="preserve"> </v>
      </c>
      <c r="E199" t="str">
        <f>[2]men!E184</f>
        <v xml:space="preserve"> </v>
      </c>
      <c r="F199" s="3" t="str">
        <f>[2]men!F184</f>
        <v xml:space="preserve"> </v>
      </c>
      <c r="G199" t="str">
        <f>[2]men!G184</f>
        <v xml:space="preserve"> </v>
      </c>
      <c r="H199" t="str">
        <f>[2]men!H184</f>
        <v xml:space="preserve"> </v>
      </c>
    </row>
    <row r="200" spans="1:8" x14ac:dyDescent="0.25">
      <c r="A200" s="1" t="str">
        <f>[2]men!A185</f>
        <v>140+</v>
      </c>
      <c r="B200" s="1" t="str">
        <f>[2]men!B185</f>
        <v xml:space="preserve"> </v>
      </c>
      <c r="C200" t="str">
        <f>[2]men!C185</f>
        <v xml:space="preserve"> </v>
      </c>
      <c r="D200" t="str">
        <f>[2]men!D185</f>
        <v xml:space="preserve"> </v>
      </c>
      <c r="E200" t="str">
        <f>[2]men!E185</f>
        <v xml:space="preserve"> </v>
      </c>
      <c r="F200" s="3" t="str">
        <f>[2]men!F185</f>
        <v xml:space="preserve"> </v>
      </c>
      <c r="G200" t="str">
        <f>[2]men!G185</f>
        <v xml:space="preserve"> </v>
      </c>
      <c r="H200" t="str">
        <f>[2]men!H185</f>
        <v xml:space="preserve"> </v>
      </c>
    </row>
    <row r="202" spans="1:8" s="11" customFormat="1" x14ac:dyDescent="0.25">
      <c r="A202" s="22" t="s">
        <v>0</v>
      </c>
      <c r="B202" s="22">
        <v>1</v>
      </c>
      <c r="C202" s="11">
        <v>80</v>
      </c>
      <c r="D202" s="11" t="str">
        <f>[2]men!C186</f>
        <v xml:space="preserve">80-84 </v>
      </c>
      <c r="E202" s="11" t="str">
        <f>[2]men!E186</f>
        <v xml:space="preserve"> </v>
      </c>
      <c r="F202" s="15" t="str">
        <f>[2]men!F186</f>
        <v xml:space="preserve"> </v>
      </c>
      <c r="G202" s="11" t="str">
        <f>[2]men!G186</f>
        <v xml:space="preserve"> </v>
      </c>
      <c r="H202" s="11" t="str">
        <f>[2]men!H186</f>
        <v xml:space="preserve"> </v>
      </c>
    </row>
    <row r="203" spans="1:8" x14ac:dyDescent="0.25">
      <c r="A203" s="1">
        <f>[2]men!A187</f>
        <v>52</v>
      </c>
      <c r="B203" s="1" t="str">
        <f>[2]men!B187</f>
        <v xml:space="preserve"> </v>
      </c>
      <c r="C203" t="str">
        <f>[2]men!C187</f>
        <v xml:space="preserve"> </v>
      </c>
      <c r="D203" t="str">
        <f>[2]men!D187</f>
        <v xml:space="preserve"> </v>
      </c>
      <c r="E203" t="str">
        <f>[2]men!E187</f>
        <v xml:space="preserve"> </v>
      </c>
      <c r="F203" s="3" t="str">
        <f>[2]men!F187</f>
        <v xml:space="preserve"> </v>
      </c>
      <c r="G203" t="str">
        <f>[2]men!G187</f>
        <v xml:space="preserve"> </v>
      </c>
      <c r="H203" t="str">
        <f>[2]men!H187</f>
        <v xml:space="preserve"> </v>
      </c>
    </row>
    <row r="204" spans="1:8" x14ac:dyDescent="0.25">
      <c r="A204" s="1">
        <f>[2]men!A188</f>
        <v>56</v>
      </c>
      <c r="B204" s="1" t="str">
        <f>[2]men!B188</f>
        <v xml:space="preserve"> </v>
      </c>
      <c r="C204" t="str">
        <f>[2]men!C188</f>
        <v xml:space="preserve"> </v>
      </c>
      <c r="D204" t="str">
        <f>[2]men!D188</f>
        <v xml:space="preserve"> </v>
      </c>
      <c r="E204" t="str">
        <f>[2]men!E188</f>
        <v xml:space="preserve"> </v>
      </c>
      <c r="F204" s="3" t="str">
        <f>[2]men!F188</f>
        <v xml:space="preserve"> </v>
      </c>
      <c r="G204" t="str">
        <f>[2]men!G188</f>
        <v xml:space="preserve"> </v>
      </c>
      <c r="H204" t="str">
        <f>[2]men!H188</f>
        <v xml:space="preserve"> </v>
      </c>
    </row>
    <row r="205" spans="1:8" x14ac:dyDescent="0.25">
      <c r="A205" s="1">
        <f>[2]men!A189</f>
        <v>60</v>
      </c>
      <c r="B205" s="1" t="str">
        <f>[2]men!B189</f>
        <v xml:space="preserve"> </v>
      </c>
      <c r="C205" t="str">
        <f>[2]men!C189</f>
        <v xml:space="preserve"> </v>
      </c>
      <c r="D205" t="str">
        <f>[2]men!D189</f>
        <v xml:space="preserve"> </v>
      </c>
      <c r="E205" t="str">
        <f>[2]men!E189</f>
        <v xml:space="preserve"> </v>
      </c>
      <c r="F205" s="3" t="str">
        <f>[2]men!F189</f>
        <v xml:space="preserve"> </v>
      </c>
      <c r="G205" t="str">
        <f>[2]men!G189</f>
        <v xml:space="preserve"> </v>
      </c>
      <c r="H205" t="str">
        <f>[2]men!H189</f>
        <v xml:space="preserve"> </v>
      </c>
    </row>
    <row r="206" spans="1:8" x14ac:dyDescent="0.25">
      <c r="A206" s="1">
        <f>[2]men!A190</f>
        <v>67.5</v>
      </c>
      <c r="B206" s="1">
        <f>[2]men!B190</f>
        <v>62.5</v>
      </c>
      <c r="C206" t="str">
        <f>[2]men!C190</f>
        <v>Giniyatullin Garifulla</v>
      </c>
      <c r="D206">
        <f>[2]men!D190</f>
        <v>32</v>
      </c>
      <c r="E206" t="str">
        <f>[2]men!E190</f>
        <v>RUS</v>
      </c>
      <c r="F206" s="3">
        <f>[2]men!F190</f>
        <v>41608</v>
      </c>
      <c r="G206" t="str">
        <f>[2]men!G190</f>
        <v>Yekaterinburg</v>
      </c>
      <c r="H206" t="str">
        <f>[2]men!H190</f>
        <v xml:space="preserve"> </v>
      </c>
    </row>
    <row r="207" spans="1:8" x14ac:dyDescent="0.25">
      <c r="A207" s="1">
        <f>[2]men!A191</f>
        <v>75</v>
      </c>
      <c r="B207" s="1" t="str">
        <f>[2]men!B191</f>
        <v xml:space="preserve"> </v>
      </c>
      <c r="C207" t="str">
        <f>[2]men!C191</f>
        <v xml:space="preserve"> </v>
      </c>
      <c r="D207" t="str">
        <f>[2]men!D191</f>
        <v xml:space="preserve"> </v>
      </c>
      <c r="E207" t="str">
        <f>[2]men!E191</f>
        <v xml:space="preserve"> </v>
      </c>
      <c r="F207" s="3" t="str">
        <f>[2]men!F191</f>
        <v xml:space="preserve"> </v>
      </c>
      <c r="G207" t="str">
        <f>[2]men!G191</f>
        <v xml:space="preserve"> </v>
      </c>
      <c r="H207" t="str">
        <f>[2]men!H191</f>
        <v xml:space="preserve"> </v>
      </c>
    </row>
    <row r="208" spans="1:8" x14ac:dyDescent="0.25">
      <c r="A208" s="1">
        <f>[2]men!A192</f>
        <v>82.5</v>
      </c>
      <c r="B208" s="1">
        <f>[2]men!B192</f>
        <v>97.5</v>
      </c>
      <c r="C208" t="str">
        <f>[2]men!C192</f>
        <v>Shunkin Nikolai</v>
      </c>
      <c r="D208">
        <f>[2]men!D192</f>
        <v>31</v>
      </c>
      <c r="E208" t="str">
        <f>[2]men!E192</f>
        <v>RUS</v>
      </c>
      <c r="F208" s="3">
        <f>[2]men!F192</f>
        <v>41067</v>
      </c>
      <c r="G208" t="str">
        <f>[2]men!G192</f>
        <v>Moscow</v>
      </c>
      <c r="H208" t="str">
        <f>[2]men!H192</f>
        <v xml:space="preserve"> </v>
      </c>
    </row>
    <row r="209" spans="1:8" x14ac:dyDescent="0.25">
      <c r="A209" s="1">
        <f>[2]men!A193</f>
        <v>90</v>
      </c>
      <c r="B209" s="1">
        <f>[2]men!B193</f>
        <v>52.5</v>
      </c>
      <c r="C209" t="str">
        <f>[2]men!C193</f>
        <v>Svirnenko Vitaliy</v>
      </c>
      <c r="D209">
        <f>[2]men!D193</f>
        <v>27</v>
      </c>
      <c r="E209" t="str">
        <f>[2]men!E193</f>
        <v>UKR</v>
      </c>
      <c r="F209" s="3">
        <f>[2]men!F193</f>
        <v>40409</v>
      </c>
      <c r="G209" t="str">
        <f>[2]men!G193</f>
        <v>Moscow</v>
      </c>
      <c r="H209" t="str">
        <f>[2]men!H193</f>
        <v xml:space="preserve"> </v>
      </c>
    </row>
    <row r="210" spans="1:8" x14ac:dyDescent="0.25">
      <c r="A210" s="1">
        <f>[2]men!A194</f>
        <v>100</v>
      </c>
      <c r="B210" s="1">
        <f>[2]men!B194</f>
        <v>0</v>
      </c>
      <c r="C210">
        <f>[2]men!C194</f>
        <v>0</v>
      </c>
      <c r="D210">
        <f>[2]men!D194</f>
        <v>0</v>
      </c>
      <c r="E210">
        <f>[2]men!E194</f>
        <v>0</v>
      </c>
      <c r="F210" s="3">
        <f>[2]men!F194</f>
        <v>0</v>
      </c>
      <c r="G210">
        <f>[2]men!G194</f>
        <v>0</v>
      </c>
      <c r="H210" t="str">
        <f>[2]men!H194</f>
        <v xml:space="preserve"> </v>
      </c>
    </row>
    <row r="211" spans="1:8" x14ac:dyDescent="0.25">
      <c r="A211" s="1">
        <f>[2]men!A195</f>
        <v>110</v>
      </c>
      <c r="B211" s="1" t="str">
        <f>[2]men!B195</f>
        <v xml:space="preserve"> </v>
      </c>
      <c r="C211" t="str">
        <f>[2]men!C195</f>
        <v xml:space="preserve"> </v>
      </c>
      <c r="D211" t="str">
        <f>[2]men!D195</f>
        <v xml:space="preserve"> </v>
      </c>
      <c r="E211" t="str">
        <f>[2]men!E195</f>
        <v xml:space="preserve"> </v>
      </c>
      <c r="F211" s="3" t="str">
        <f>[2]men!F195</f>
        <v xml:space="preserve"> </v>
      </c>
      <c r="G211" t="str">
        <f>[2]men!G195</f>
        <v xml:space="preserve"> </v>
      </c>
      <c r="H211" t="str">
        <f>[2]men!H195</f>
        <v xml:space="preserve"> </v>
      </c>
    </row>
    <row r="212" spans="1:8" x14ac:dyDescent="0.25">
      <c r="A212" s="1">
        <f>[2]men!A196</f>
        <v>125</v>
      </c>
      <c r="B212" s="1" t="str">
        <f>[2]men!B196</f>
        <v xml:space="preserve"> </v>
      </c>
      <c r="C212" t="str">
        <f>[2]men!C196</f>
        <v xml:space="preserve"> </v>
      </c>
      <c r="D212" t="str">
        <f>[2]men!D196</f>
        <v xml:space="preserve"> </v>
      </c>
      <c r="E212" t="str">
        <f>[2]men!E196</f>
        <v xml:space="preserve"> </v>
      </c>
      <c r="F212" s="3" t="str">
        <f>[2]men!F196</f>
        <v xml:space="preserve"> </v>
      </c>
      <c r="G212" t="str">
        <f>[2]men!G196</f>
        <v xml:space="preserve"> </v>
      </c>
      <c r="H212" t="str">
        <f>[2]men!H196</f>
        <v xml:space="preserve"> </v>
      </c>
    </row>
    <row r="213" spans="1:8" x14ac:dyDescent="0.25">
      <c r="A213" s="1">
        <f>[2]men!A197</f>
        <v>140</v>
      </c>
      <c r="B213" s="1" t="str">
        <f>[2]men!B197</f>
        <v xml:space="preserve"> </v>
      </c>
      <c r="C213" t="str">
        <f>[2]men!C197</f>
        <v xml:space="preserve"> </v>
      </c>
      <c r="D213" t="str">
        <f>[2]men!D197</f>
        <v xml:space="preserve"> </v>
      </c>
      <c r="E213" t="str">
        <f>[2]men!E197</f>
        <v xml:space="preserve"> </v>
      </c>
      <c r="F213" s="3" t="str">
        <f>[2]men!F197</f>
        <v xml:space="preserve"> </v>
      </c>
      <c r="G213" t="str">
        <f>[2]men!G197</f>
        <v xml:space="preserve"> </v>
      </c>
      <c r="H213" t="str">
        <f>[2]men!H197</f>
        <v xml:space="preserve"> </v>
      </c>
    </row>
    <row r="214" spans="1:8" x14ac:dyDescent="0.25">
      <c r="A214" s="1" t="str">
        <f>[2]men!A198</f>
        <v>140+</v>
      </c>
      <c r="B214" s="1" t="str">
        <f>[2]men!B198</f>
        <v xml:space="preserve"> </v>
      </c>
      <c r="C214" t="str">
        <f>[2]men!C198</f>
        <v xml:space="preserve"> </v>
      </c>
      <c r="D214" t="str">
        <f>[2]men!D198</f>
        <v xml:space="preserve"> </v>
      </c>
      <c r="E214" t="str">
        <f>[2]men!E198</f>
        <v xml:space="preserve"> </v>
      </c>
      <c r="F214" s="3" t="str">
        <f>[2]men!F198</f>
        <v xml:space="preserve"> </v>
      </c>
      <c r="G214" t="str">
        <f>[2]men!G198</f>
        <v xml:space="preserve"> </v>
      </c>
      <c r="H214" t="str">
        <f>[2]men!H198</f>
        <v xml:space="preserve"> </v>
      </c>
    </row>
    <row r="219" spans="1:8" s="11" customFormat="1" x14ac:dyDescent="0.25">
      <c r="A219" s="22" t="s">
        <v>0</v>
      </c>
      <c r="B219" s="22">
        <v>0</v>
      </c>
      <c r="C219" s="11">
        <v>-2</v>
      </c>
      <c r="D219" s="11" t="str">
        <f>[2]women!D2</f>
        <v xml:space="preserve"> </v>
      </c>
      <c r="E219" s="11" t="str">
        <f>[2]women!E2</f>
        <v xml:space="preserve"> </v>
      </c>
      <c r="F219" s="15" t="str">
        <f>[2]women!F2</f>
        <v xml:space="preserve"> </v>
      </c>
      <c r="G219" s="11" t="str">
        <f>[2]women!G2</f>
        <v xml:space="preserve"> </v>
      </c>
      <c r="H219" s="11" t="str">
        <f>[2]women!H2</f>
        <v xml:space="preserve"> </v>
      </c>
    </row>
    <row r="220" spans="1:8" x14ac:dyDescent="0.25">
      <c r="A220" s="1">
        <f>[2]women!A3</f>
        <v>44</v>
      </c>
      <c r="B220" s="1">
        <f>[2]women!B3</f>
        <v>77.5</v>
      </c>
      <c r="C220" t="str">
        <f>[2]women!C3</f>
        <v>Murasheva,Yuliya</v>
      </c>
      <c r="D220">
        <f>[2]women!D3</f>
        <v>70</v>
      </c>
      <c r="E220" t="str">
        <f>[2]women!E3</f>
        <v>RUS</v>
      </c>
      <c r="F220" s="3" t="str">
        <f>[2]women!F3</f>
        <v>22.08.2014</v>
      </c>
      <c r="G220" t="str">
        <f>[2]women!G3</f>
        <v>Moscow</v>
      </c>
      <c r="H220" t="str">
        <f>[2]women!H3</f>
        <v xml:space="preserve"> </v>
      </c>
    </row>
    <row r="221" spans="1:8" x14ac:dyDescent="0.25">
      <c r="A221" s="1">
        <f>[2]women!A4</f>
        <v>48</v>
      </c>
      <c r="B221" s="1">
        <f>[2]women!B4</f>
        <v>80</v>
      </c>
      <c r="C221" t="str">
        <f>[2]women!C4</f>
        <v>Ber Natalya</v>
      </c>
      <c r="D221">
        <f>[2]women!D4</f>
        <v>81</v>
      </c>
      <c r="E221" t="str">
        <f>[2]women!E4</f>
        <v>RUS</v>
      </c>
      <c r="F221" s="3" t="str">
        <f>[2]women!F4</f>
        <v>08.02.2014</v>
      </c>
      <c r="G221" t="str">
        <f>[2]women!G4</f>
        <v>Yekaterinbourg</v>
      </c>
      <c r="H221" t="str">
        <f>[2]women!H4</f>
        <v xml:space="preserve"> </v>
      </c>
    </row>
    <row r="222" spans="1:8" x14ac:dyDescent="0.25">
      <c r="A222" s="1">
        <f>[2]women!A5</f>
        <v>52</v>
      </c>
      <c r="B222" s="1">
        <f>[2]women!B5</f>
        <v>90.5</v>
      </c>
      <c r="C222" t="str">
        <f>[2]women!C5</f>
        <v>Kadatska,Anna</v>
      </c>
      <c r="D222">
        <f>[2]women!D5</f>
        <v>77</v>
      </c>
      <c r="E222" t="str">
        <f>[2]women!E5</f>
        <v>UKR</v>
      </c>
      <c r="F222" s="3">
        <f>[2]women!F5</f>
        <v>41128</v>
      </c>
      <c r="G222" t="str">
        <f>[2]women!G5</f>
        <v>Kryvyi Rig</v>
      </c>
      <c r="H222" t="str">
        <f>[2]women!H5</f>
        <v xml:space="preserve"> </v>
      </c>
    </row>
    <row r="223" spans="1:8" x14ac:dyDescent="0.25">
      <c r="A223" s="1">
        <f>[2]women!A6</f>
        <v>56</v>
      </c>
      <c r="B223" s="1">
        <f>[2]women!B6</f>
        <v>105</v>
      </c>
      <c r="C223" t="str">
        <f>[2]women!C6</f>
        <v>Konovalova, Natalya</v>
      </c>
      <c r="D223">
        <f>[2]women!D6</f>
        <v>74</v>
      </c>
      <c r="E223" t="str">
        <f>[2]women!E6</f>
        <v>RUS</v>
      </c>
      <c r="F223" s="3">
        <f>[2]women!F6</f>
        <v>40814</v>
      </c>
      <c r="G223" t="str">
        <f>[2]women!G6</f>
        <v>Yekaterinbourg</v>
      </c>
      <c r="H223" t="str">
        <f>[2]women!H6</f>
        <v xml:space="preserve"> </v>
      </c>
    </row>
    <row r="224" spans="1:8" x14ac:dyDescent="0.25">
      <c r="A224" s="1">
        <f>[2]women!A7</f>
        <v>60</v>
      </c>
      <c r="B224" s="1">
        <f>[2]women!B7</f>
        <v>105</v>
      </c>
      <c r="C224" t="str">
        <f>[2]women!C7</f>
        <v>Vlasova Nadezhda</v>
      </c>
      <c r="D224">
        <f>[2]women!D7</f>
        <v>82</v>
      </c>
      <c r="E224" t="str">
        <f>[2]women!E7</f>
        <v>RUS</v>
      </c>
      <c r="F224" s="3" t="str">
        <f>[2]women!F7</f>
        <v>22.08.2014</v>
      </c>
      <c r="G224" t="str">
        <f>[2]women!G7</f>
        <v>Moscow</v>
      </c>
      <c r="H224" t="str">
        <f>[2]women!H7</f>
        <v xml:space="preserve"> </v>
      </c>
    </row>
    <row r="225" spans="1:8" x14ac:dyDescent="0.25">
      <c r="A225" s="1">
        <f>[2]women!A8</f>
        <v>67.5</v>
      </c>
      <c r="B225" s="1">
        <f>[2]women!B8</f>
        <v>100</v>
      </c>
      <c r="C225" t="str">
        <f>[2]women!C8</f>
        <v>Timoshina Anastasiya</v>
      </c>
      <c r="D225">
        <f>[2]women!D8</f>
        <v>84</v>
      </c>
      <c r="E225" t="str">
        <f>[2]women!E8</f>
        <v>RUS</v>
      </c>
      <c r="F225" s="3" t="str">
        <f>[2]women!F8</f>
        <v>22.08.2014</v>
      </c>
      <c r="G225" t="str">
        <f>[2]women!G8</f>
        <v>Moscow</v>
      </c>
      <c r="H225" t="str">
        <f>[2]women!H8</f>
        <v xml:space="preserve"> </v>
      </c>
    </row>
    <row r="226" spans="1:8" x14ac:dyDescent="0.25">
      <c r="A226" s="1">
        <f>[2]women!A9</f>
        <v>75</v>
      </c>
      <c r="B226" s="1">
        <f>[2]women!B9</f>
        <v>110</v>
      </c>
      <c r="C226" t="str">
        <f>[2]women!C9</f>
        <v>Vorobyova Regina</v>
      </c>
      <c r="D226">
        <f>[2]women!D9</f>
        <v>80</v>
      </c>
      <c r="E226" t="str">
        <f>[2]women!E9</f>
        <v>RUS</v>
      </c>
      <c r="F226" s="3">
        <f>[2]women!F9</f>
        <v>41496</v>
      </c>
      <c r="G226" t="str">
        <f>[2]women!G9</f>
        <v>Kursk</v>
      </c>
      <c r="H226" t="str">
        <f>[2]women!H9</f>
        <v xml:space="preserve"> </v>
      </c>
    </row>
    <row r="227" spans="1:8" x14ac:dyDescent="0.25">
      <c r="A227" s="1">
        <f>[2]women!A10</f>
        <v>82.5</v>
      </c>
      <c r="B227" s="1">
        <f>[2]women!B10</f>
        <v>105</v>
      </c>
      <c r="C227" t="str">
        <f>[2]women!C10</f>
        <v>Pugovkina Alla</v>
      </c>
      <c r="D227">
        <f>[2]women!D10</f>
        <v>75</v>
      </c>
      <c r="E227" t="str">
        <f>[2]women!E10</f>
        <v>RUS</v>
      </c>
      <c r="F227" s="3" t="str">
        <f>[2]women!F10</f>
        <v>22.08.2014</v>
      </c>
      <c r="G227" t="str">
        <f>[2]women!G10</f>
        <v>Moscow</v>
      </c>
      <c r="H227" t="str">
        <f>[2]women!H10</f>
        <v xml:space="preserve"> </v>
      </c>
    </row>
    <row r="228" spans="1:8" x14ac:dyDescent="0.25">
      <c r="A228" s="1">
        <f>[2]women!A11</f>
        <v>90</v>
      </c>
      <c r="B228" s="1">
        <f>[2]women!B11</f>
        <v>102.5</v>
      </c>
      <c r="C228" t="str">
        <f>[2]women!C11</f>
        <v>Kibalina, Tatyana</v>
      </c>
      <c r="D228">
        <f>[2]women!D11</f>
        <v>74</v>
      </c>
      <c r="E228" t="str">
        <f>[2]women!E11</f>
        <v>RUS</v>
      </c>
      <c r="F228" s="3">
        <f>[2]women!F11</f>
        <v>40814</v>
      </c>
      <c r="G228" t="str">
        <f>[2]women!G11</f>
        <v>Yekaterinbourg</v>
      </c>
      <c r="H228" t="str">
        <f>[2]women!H11</f>
        <v xml:space="preserve"> </v>
      </c>
    </row>
    <row r="229" spans="1:8" x14ac:dyDescent="0.25">
      <c r="A229" s="1" t="str">
        <f>[2]women!A12</f>
        <v>90+</v>
      </c>
      <c r="B229" s="1">
        <f>[2]women!B12</f>
        <v>127.5</v>
      </c>
      <c r="C229" t="str">
        <f>[2]women!C12</f>
        <v>Shel-Fetengof Erin</v>
      </c>
      <c r="D229">
        <f>[2]women!D12</f>
        <v>83</v>
      </c>
      <c r="E229" t="str">
        <f>[2]women!E12</f>
        <v>RUS</v>
      </c>
      <c r="F229" s="3" t="str">
        <f>[2]women!F12</f>
        <v>22.08.2014</v>
      </c>
      <c r="G229" t="str">
        <f>[2]women!G12</f>
        <v>Moscow</v>
      </c>
      <c r="H229" t="str">
        <f>[2]women!H12</f>
        <v xml:space="preserve"> </v>
      </c>
    </row>
    <row r="230" spans="1:8" x14ac:dyDescent="0.25">
      <c r="C230">
        <f>[2]women!C13</f>
        <v>0</v>
      </c>
    </row>
    <row r="231" spans="1:8" s="11" customFormat="1" x14ac:dyDescent="0.25">
      <c r="A231" s="22" t="s">
        <v>0</v>
      </c>
      <c r="B231" s="22">
        <v>0</v>
      </c>
      <c r="C231" s="11">
        <v>20</v>
      </c>
      <c r="D231" s="11" t="str">
        <f>[2]women!C14</f>
        <v xml:space="preserve">Women's 20-23 </v>
      </c>
      <c r="F231" s="15"/>
    </row>
    <row r="232" spans="1:8" x14ac:dyDescent="0.25">
      <c r="A232" s="1">
        <f>[2]women!A15</f>
        <v>44</v>
      </c>
      <c r="B232" s="1">
        <f>[2]women!B15</f>
        <v>52.5</v>
      </c>
      <c r="C232" t="str">
        <f>[2]women!C15</f>
        <v>Obrazumova, Ekaterina</v>
      </c>
      <c r="D232" t="str">
        <f>[2]women!E15</f>
        <v>RUS</v>
      </c>
      <c r="E232" s="3">
        <f>[2]women!F15</f>
        <v>40409</v>
      </c>
      <c r="F232" t="str">
        <f>[2]women!G15</f>
        <v>Moscow</v>
      </c>
      <c r="H232" t="str">
        <f>[2]women!H15</f>
        <v xml:space="preserve"> </v>
      </c>
    </row>
    <row r="233" spans="1:8" x14ac:dyDescent="0.25">
      <c r="A233" s="1">
        <f>[2]women!A16</f>
        <v>48</v>
      </c>
      <c r="B233" s="1">
        <f>[2]women!B16</f>
        <v>65</v>
      </c>
      <c r="C233" t="str">
        <f>[2]women!C16</f>
        <v>Narenkova, Yevgeniya</v>
      </c>
      <c r="D233" t="str">
        <f>[2]women!E16</f>
        <v>RUS</v>
      </c>
      <c r="E233" s="3">
        <f>[2]women!F16</f>
        <v>39871</v>
      </c>
      <c r="F233" t="str">
        <f>[2]women!G16</f>
        <v>Chelyabinsk</v>
      </c>
      <c r="H233" t="str">
        <f>[2]women!H16</f>
        <v xml:space="preserve"> </v>
      </c>
    </row>
    <row r="234" spans="1:8" x14ac:dyDescent="0.25">
      <c r="A234" s="1">
        <f>[2]women!A17</f>
        <v>52</v>
      </c>
      <c r="B234" s="1">
        <f>[2]women!B17</f>
        <v>72.5</v>
      </c>
      <c r="C234" t="str">
        <f>[2]women!C17</f>
        <v>Mymrina Anastasiya</v>
      </c>
      <c r="D234" t="str">
        <f>[2]women!E17</f>
        <v>RUS</v>
      </c>
      <c r="E234" s="3">
        <f>[2]women!F17</f>
        <v>40814</v>
      </c>
      <c r="F234" t="str">
        <f>[2]women!G17</f>
        <v>Yekaterinbourgh</v>
      </c>
      <c r="H234" t="str">
        <f>[2]women!H17</f>
        <v xml:space="preserve"> </v>
      </c>
    </row>
    <row r="235" spans="1:8" x14ac:dyDescent="0.25">
      <c r="A235" s="1">
        <f>[2]women!A18</f>
        <v>56</v>
      </c>
      <c r="B235" s="1">
        <f>[2]women!B18</f>
        <v>75</v>
      </c>
      <c r="C235" t="str">
        <f>[2]women!C18</f>
        <v>Telpova,Olga</v>
      </c>
      <c r="D235" t="str">
        <f>[2]women!E18</f>
        <v>RUS</v>
      </c>
      <c r="E235" s="3">
        <f>[2]women!F18</f>
        <v>40034</v>
      </c>
      <c r="F235" t="str">
        <f>[2]women!G18</f>
        <v>Kursk</v>
      </c>
      <c r="H235" t="str">
        <f>[2]women!H18</f>
        <v xml:space="preserve"> </v>
      </c>
    </row>
    <row r="236" spans="1:8" x14ac:dyDescent="0.25">
      <c r="A236" s="1">
        <f>[2]women!A19</f>
        <v>60</v>
      </c>
      <c r="B236" s="1">
        <f>[2]women!B19</f>
        <v>82.5</v>
      </c>
      <c r="C236" t="str">
        <f>[2]women!C19</f>
        <v>Yablonskaya, Anastasiya</v>
      </c>
      <c r="D236" t="str">
        <f>[2]women!E19</f>
        <v>RUS</v>
      </c>
      <c r="E236" s="3">
        <f>[2]women!F19</f>
        <v>40409</v>
      </c>
      <c r="F236" t="str">
        <f>[2]women!G19</f>
        <v>Moscow</v>
      </c>
      <c r="H236" t="str">
        <f>[2]women!H19</f>
        <v xml:space="preserve"> </v>
      </c>
    </row>
    <row r="237" spans="1:8" x14ac:dyDescent="0.25">
      <c r="A237" s="1">
        <f>[2]women!A20</f>
        <v>67.5</v>
      </c>
      <c r="B237" s="1">
        <f>[2]women!B20</f>
        <v>65</v>
      </c>
      <c r="C237" t="str">
        <f>[2]women!C20</f>
        <v>Tkacheva,Irina</v>
      </c>
      <c r="D237" t="str">
        <f>[2]women!E20</f>
        <v>RUS</v>
      </c>
      <c r="E237" s="3">
        <f>[2]women!F20</f>
        <v>41201</v>
      </c>
      <c r="F237" t="str">
        <f>[2]women!G20</f>
        <v>Krasnodar</v>
      </c>
      <c r="H237" t="str">
        <f>[2]women!H20</f>
        <v xml:space="preserve"> </v>
      </c>
    </row>
    <row r="238" spans="1:8" x14ac:dyDescent="0.25">
      <c r="A238" s="1">
        <f>[2]women!A21</f>
        <v>75</v>
      </c>
      <c r="B238" s="1">
        <f>[2]women!B21</f>
        <v>77.5</v>
      </c>
      <c r="C238" t="str">
        <f>[2]women!C21</f>
        <v>Selyaeva, Darya</v>
      </c>
      <c r="D238" t="str">
        <f>[2]women!E21</f>
        <v>RUS</v>
      </c>
      <c r="E238" s="3">
        <f>[2]women!F21</f>
        <v>40409</v>
      </c>
      <c r="F238" t="str">
        <f>[2]women!G21</f>
        <v>Moscow</v>
      </c>
      <c r="H238" t="str">
        <f>[2]women!H21</f>
        <v xml:space="preserve"> </v>
      </c>
    </row>
    <row r="239" spans="1:8" x14ac:dyDescent="0.25">
      <c r="A239" s="1">
        <f>[2]women!A22</f>
        <v>82.5</v>
      </c>
      <c r="B239" s="1" t="str">
        <f>[2]women!B22</f>
        <v xml:space="preserve"> </v>
      </c>
      <c r="C239" t="str">
        <f>[2]women!C22</f>
        <v xml:space="preserve"> </v>
      </c>
      <c r="D239" t="str">
        <f>[2]women!E22</f>
        <v xml:space="preserve"> </v>
      </c>
      <c r="E239" s="3" t="str">
        <f>[2]women!F22</f>
        <v xml:space="preserve"> </v>
      </c>
      <c r="F239" t="str">
        <f>[2]women!G22</f>
        <v xml:space="preserve"> </v>
      </c>
      <c r="H239" t="str">
        <f>[2]women!H22</f>
        <v xml:space="preserve"> </v>
      </c>
    </row>
    <row r="240" spans="1:8" x14ac:dyDescent="0.25">
      <c r="A240" s="1">
        <f>[2]women!A23</f>
        <v>90</v>
      </c>
      <c r="B240" s="1" t="str">
        <f>[2]women!B23</f>
        <v xml:space="preserve"> </v>
      </c>
      <c r="C240">
        <f>[2]women!C23</f>
        <v>0</v>
      </c>
      <c r="D240" t="str">
        <f>[2]women!E23</f>
        <v xml:space="preserve"> </v>
      </c>
      <c r="E240" s="3" t="str">
        <f>[2]women!F23</f>
        <v xml:space="preserve"> </v>
      </c>
      <c r="F240" t="str">
        <f>[2]women!G23</f>
        <v xml:space="preserve"> </v>
      </c>
      <c r="H240" t="str">
        <f>[2]women!H23</f>
        <v xml:space="preserve"> </v>
      </c>
    </row>
    <row r="241" spans="1:8" x14ac:dyDescent="0.25">
      <c r="A241" s="1" t="str">
        <f>[2]women!A24</f>
        <v>90+</v>
      </c>
      <c r="B241" s="1">
        <f>[2]women!B24</f>
        <v>80</v>
      </c>
      <c r="C241" t="str">
        <f>[2]women!C24</f>
        <v>Tsarevskaya,Yekaterina</v>
      </c>
      <c r="D241" t="str">
        <f>[2]women!E24</f>
        <v>RUS</v>
      </c>
      <c r="E241" s="3">
        <f>[2]women!F24</f>
        <v>41201</v>
      </c>
      <c r="F241" t="str">
        <f>[2]women!G24</f>
        <v>Krasnodar</v>
      </c>
      <c r="H241" t="str">
        <f>[2]women!H24</f>
        <v xml:space="preserve"> </v>
      </c>
    </row>
    <row r="242" spans="1:8" x14ac:dyDescent="0.25">
      <c r="D242">
        <f>[2]women!C25</f>
        <v>0</v>
      </c>
    </row>
    <row r="243" spans="1:8" s="11" customFormat="1" x14ac:dyDescent="0.25">
      <c r="A243" s="22" t="s">
        <v>0</v>
      </c>
      <c r="B243" s="22">
        <v>0</v>
      </c>
      <c r="C243" s="11">
        <v>18</v>
      </c>
      <c r="D243" s="11" t="str">
        <f>[2]women!C26</f>
        <v xml:space="preserve">Women's 18-19 </v>
      </c>
      <c r="F243" s="15"/>
    </row>
    <row r="244" spans="1:8" x14ac:dyDescent="0.25">
      <c r="A244" s="1">
        <f>[2]women!A27</f>
        <v>44</v>
      </c>
      <c r="B244" s="1">
        <f>[2]women!B27</f>
        <v>50.5</v>
      </c>
      <c r="C244" t="str">
        <f>[2]women!C27</f>
        <v>Vasylchenko,Anastasiya</v>
      </c>
      <c r="D244" t="str">
        <f>[2]women!E27</f>
        <v>UKR</v>
      </c>
      <c r="E244" s="3">
        <f>[2]women!F27</f>
        <v>41128</v>
      </c>
      <c r="F244" t="str">
        <f>[2]women!G27</f>
        <v>Kryvyi Rig</v>
      </c>
      <c r="H244" t="str">
        <f>[2]women!H27</f>
        <v xml:space="preserve"> </v>
      </c>
    </row>
    <row r="245" spans="1:8" x14ac:dyDescent="0.25">
      <c r="A245" s="1">
        <f>[2]women!A28</f>
        <v>48</v>
      </c>
      <c r="B245" s="1">
        <f>[2]women!B28</f>
        <v>50</v>
      </c>
      <c r="C245" t="str">
        <f>[2]women!C28</f>
        <v>Chernyak,Albina</v>
      </c>
      <c r="D245" t="str">
        <f>[2]women!E28</f>
        <v>UKR</v>
      </c>
      <c r="E245" s="3">
        <f>[2]women!F28</f>
        <v>41019</v>
      </c>
      <c r="F245" t="str">
        <f>[2]women!G28</f>
        <v>Rostov</v>
      </c>
      <c r="H245" t="str">
        <f>[2]women!H28</f>
        <v xml:space="preserve"> </v>
      </c>
    </row>
    <row r="246" spans="1:8" x14ac:dyDescent="0.25">
      <c r="A246" s="1">
        <f>[2]women!A29</f>
        <v>52</v>
      </c>
      <c r="B246" s="1">
        <f>[2]women!B29</f>
        <v>85</v>
      </c>
      <c r="C246" t="str">
        <f>[2]women!C29</f>
        <v>Kumuts Svetlana</v>
      </c>
      <c r="D246" t="str">
        <f>[2]women!E29</f>
        <v>RUS</v>
      </c>
      <c r="E246" s="3">
        <f>[2]women!F29</f>
        <v>41608</v>
      </c>
      <c r="F246" t="str">
        <f>[2]women!G29</f>
        <v>Yekaterinburg</v>
      </c>
      <c r="H246" t="str">
        <f>[2]women!H29</f>
        <v>4th</v>
      </c>
    </row>
    <row r="247" spans="1:8" x14ac:dyDescent="0.25">
      <c r="A247" s="1">
        <f>[2]women!A30</f>
        <v>56</v>
      </c>
      <c r="B247" s="1">
        <f>[2]women!B30</f>
        <v>57.5</v>
      </c>
      <c r="C247" t="str">
        <f>[2]women!C30</f>
        <v>Reutova Nadezhda</v>
      </c>
      <c r="D247" t="str">
        <f>[2]women!E30</f>
        <v>RUS</v>
      </c>
      <c r="E247" s="3">
        <f>[2]women!F30</f>
        <v>40640</v>
      </c>
      <c r="F247" t="str">
        <f>[2]women!G30</f>
        <v>Chelyabinsk</v>
      </c>
      <c r="H247" t="str">
        <f>[2]women!H30</f>
        <v xml:space="preserve"> </v>
      </c>
    </row>
    <row r="248" spans="1:8" x14ac:dyDescent="0.25">
      <c r="A248" s="1">
        <f>[2]women!A31</f>
        <v>60</v>
      </c>
      <c r="B248" s="1">
        <f>[2]women!B31</f>
        <v>62.5</v>
      </c>
      <c r="C248" t="str">
        <f>[2]women!C31</f>
        <v>Khramtsova Anastasiya</v>
      </c>
      <c r="D248" t="str">
        <f>[2]women!E31</f>
        <v>RUS</v>
      </c>
      <c r="E248" s="3" t="str">
        <f>[2]women!F31</f>
        <v>09.08.2014</v>
      </c>
      <c r="F248" t="str">
        <f>[2]women!G31</f>
        <v>Yekaterinburg</v>
      </c>
      <c r="H248" t="str">
        <f>[2]women!H31</f>
        <v xml:space="preserve"> </v>
      </c>
    </row>
    <row r="249" spans="1:8" x14ac:dyDescent="0.25">
      <c r="A249" s="1">
        <f>[2]women!A32</f>
        <v>67.5</v>
      </c>
      <c r="B249" s="1">
        <f>[2]women!B32</f>
        <v>67.5</v>
      </c>
      <c r="C249" t="str">
        <f>[2]women!C32</f>
        <v>Kovylina, Svetlana</v>
      </c>
      <c r="D249" t="str">
        <f>[2]women!E32</f>
        <v>RUS</v>
      </c>
      <c r="E249" s="3">
        <f>[2]women!F32</f>
        <v>40409</v>
      </c>
      <c r="F249" t="str">
        <f>[2]women!G32</f>
        <v>Moscow</v>
      </c>
      <c r="H249" t="str">
        <f>[2]women!H32</f>
        <v xml:space="preserve"> </v>
      </c>
    </row>
    <row r="250" spans="1:8" x14ac:dyDescent="0.25">
      <c r="A250" s="1">
        <f>[2]women!A33</f>
        <v>75</v>
      </c>
      <c r="B250" s="1">
        <f>[2]women!B33</f>
        <v>72.5</v>
      </c>
      <c r="C250" t="str">
        <f>[2]women!C33</f>
        <v>Apal'kova,Evelina</v>
      </c>
      <c r="D250" t="str">
        <f>[2]women!E33</f>
        <v>RUS</v>
      </c>
      <c r="E250" s="3">
        <f>[2]women!F33</f>
        <v>41137</v>
      </c>
      <c r="F250" t="str">
        <f>[2]women!G33</f>
        <v>Novosibirsk</v>
      </c>
      <c r="H250" t="str">
        <f>[2]women!H33</f>
        <v xml:space="preserve"> </v>
      </c>
    </row>
    <row r="251" spans="1:8" x14ac:dyDescent="0.25">
      <c r="A251" s="1">
        <f>[2]women!A34</f>
        <v>82.5</v>
      </c>
      <c r="B251" s="1">
        <f>[2]women!B34</f>
        <v>60</v>
      </c>
      <c r="C251" t="str">
        <f>[2]women!C34</f>
        <v>Martinez Ashleigh</v>
      </c>
      <c r="D251" t="str">
        <f>[2]women!E34</f>
        <v>USA</v>
      </c>
      <c r="E251" s="3">
        <f>[2]women!F34</f>
        <v>41475</v>
      </c>
      <c r="F251" t="str">
        <f>[2]women!G34</f>
        <v>Detroit</v>
      </c>
      <c r="H251" t="str">
        <f>[2]women!H34</f>
        <v>4th</v>
      </c>
    </row>
    <row r="252" spans="1:8" x14ac:dyDescent="0.25">
      <c r="A252" s="1">
        <f>[2]women!A35</f>
        <v>90</v>
      </c>
      <c r="B252" s="1" t="str">
        <f>[2]women!B35</f>
        <v xml:space="preserve"> </v>
      </c>
      <c r="C252" t="str">
        <f>[2]women!C35</f>
        <v xml:space="preserve"> </v>
      </c>
      <c r="D252" t="str">
        <f>[2]women!E35</f>
        <v xml:space="preserve"> </v>
      </c>
      <c r="E252" s="3" t="str">
        <f>[2]women!F35</f>
        <v xml:space="preserve"> </v>
      </c>
      <c r="F252" t="str">
        <f>[2]women!G35</f>
        <v xml:space="preserve"> </v>
      </c>
      <c r="H252" t="str">
        <f>[2]women!H35</f>
        <v xml:space="preserve"> </v>
      </c>
    </row>
    <row r="253" spans="1:8" x14ac:dyDescent="0.25">
      <c r="A253" s="1" t="str">
        <f>[2]women!A36</f>
        <v>90+</v>
      </c>
      <c r="B253" s="1" t="str">
        <f>[2]women!B36</f>
        <v xml:space="preserve"> </v>
      </c>
      <c r="C253" t="str">
        <f>[2]women!C36</f>
        <v xml:space="preserve"> </v>
      </c>
      <c r="D253" t="str">
        <f>[2]women!E36</f>
        <v xml:space="preserve"> </v>
      </c>
      <c r="E253" s="3" t="str">
        <f>[2]women!F36</f>
        <v xml:space="preserve"> </v>
      </c>
      <c r="F253" t="str">
        <f>[2]women!G36</f>
        <v xml:space="preserve"> </v>
      </c>
      <c r="H253" t="str">
        <f>[2]women!H36</f>
        <v xml:space="preserve"> </v>
      </c>
    </row>
    <row r="254" spans="1:8" x14ac:dyDescent="0.25">
      <c r="D254">
        <f>[2]women!C37</f>
        <v>0</v>
      </c>
    </row>
    <row r="255" spans="1:8" s="11" customFormat="1" x14ac:dyDescent="0.25">
      <c r="A255" s="22" t="s">
        <v>0</v>
      </c>
      <c r="B255" s="22">
        <v>0</v>
      </c>
      <c r="C255" s="11">
        <v>16</v>
      </c>
      <c r="D255" s="11" t="str">
        <f>[2]women!C38</f>
        <v xml:space="preserve">Women's 16-17 </v>
      </c>
      <c r="F255" s="15"/>
    </row>
    <row r="256" spans="1:8" x14ac:dyDescent="0.25">
      <c r="A256" s="1">
        <f>[2]women!A39</f>
        <v>44</v>
      </c>
      <c r="B256" s="1">
        <f>[2]women!B39</f>
        <v>0</v>
      </c>
      <c r="C256">
        <f>[2]women!C39</f>
        <v>0</v>
      </c>
      <c r="D256">
        <f>[2]women!E39</f>
        <v>0</v>
      </c>
      <c r="E256" s="3">
        <f>[2]women!F39</f>
        <v>0</v>
      </c>
      <c r="F256">
        <f>[2]women!G39</f>
        <v>0</v>
      </c>
      <c r="H256" t="str">
        <f>[2]women!H39</f>
        <v xml:space="preserve"> </v>
      </c>
    </row>
    <row r="257" spans="1:8" x14ac:dyDescent="0.25">
      <c r="A257" s="1">
        <f>[2]women!A40</f>
        <v>48</v>
      </c>
      <c r="B257" s="1">
        <f>[2]women!B40</f>
        <v>52.5</v>
      </c>
      <c r="C257" t="str">
        <f>[2]women!C40</f>
        <v>Fatyukhina,Svetlana</v>
      </c>
      <c r="D257" t="str">
        <f>[2]women!E40</f>
        <v>RUS</v>
      </c>
      <c r="E257" s="3">
        <f>[2]women!F40</f>
        <v>40769</v>
      </c>
      <c r="F257" t="str">
        <f>[2]women!G40</f>
        <v>Kursk</v>
      </c>
      <c r="H257" t="str">
        <f>[2]women!H40</f>
        <v xml:space="preserve"> </v>
      </c>
    </row>
    <row r="258" spans="1:8" x14ac:dyDescent="0.25">
      <c r="A258" s="1">
        <f>[2]women!A41</f>
        <v>52</v>
      </c>
      <c r="B258" s="1">
        <f>[2]women!B41</f>
        <v>57.5</v>
      </c>
      <c r="C258" t="str">
        <f>[2]women!C41</f>
        <v>Isakova, Olga</v>
      </c>
      <c r="D258" t="str">
        <f>[2]women!E41</f>
        <v>RUS</v>
      </c>
      <c r="E258" s="3">
        <f>[2]women!F41</f>
        <v>40409</v>
      </c>
      <c r="F258" t="str">
        <f>[2]women!G41</f>
        <v>Moscow</v>
      </c>
      <c r="H258" t="str">
        <f>[2]women!H41</f>
        <v xml:space="preserve"> </v>
      </c>
    </row>
    <row r="259" spans="1:8" x14ac:dyDescent="0.25">
      <c r="A259" s="1">
        <f>[2]women!A42</f>
        <v>56</v>
      </c>
      <c r="B259" s="1">
        <f>[2]women!B42</f>
        <v>52.5</v>
      </c>
      <c r="C259" t="str">
        <f>[2]women!C42</f>
        <v>Kashina Darya</v>
      </c>
      <c r="D259" t="str">
        <f>[2]women!E42</f>
        <v>RUS</v>
      </c>
      <c r="E259" s="3">
        <f>[2]women!F42</f>
        <v>39871</v>
      </c>
      <c r="F259" t="str">
        <f>[2]women!G42</f>
        <v>Chelyabinsk</v>
      </c>
      <c r="H259" t="str">
        <f>[2]women!H42</f>
        <v xml:space="preserve"> </v>
      </c>
    </row>
    <row r="260" spans="1:8" x14ac:dyDescent="0.25">
      <c r="A260" s="1">
        <f>[2]women!A43</f>
        <v>60</v>
      </c>
      <c r="B260" s="1">
        <f>[2]women!B43</f>
        <v>67.5</v>
      </c>
      <c r="C260" t="str">
        <f>[2]women!C43</f>
        <v>Shinkareva,Yelizaveta</v>
      </c>
      <c r="D260" t="str">
        <f>[2]women!E43</f>
        <v>RUS</v>
      </c>
      <c r="E260" s="3" t="str">
        <f>[2]women!F43</f>
        <v>03.07.2014</v>
      </c>
      <c r="F260" t="str">
        <f>[2]women!G43</f>
        <v>Novosibirsk</v>
      </c>
      <c r="H260" t="str">
        <f>[2]women!H43</f>
        <v xml:space="preserve"> </v>
      </c>
    </row>
    <row r="261" spans="1:8" x14ac:dyDescent="0.25">
      <c r="A261" s="1">
        <f>[2]women!A44</f>
        <v>67.5</v>
      </c>
      <c r="B261" s="1">
        <f>[2]women!B44</f>
        <v>50</v>
      </c>
      <c r="C261" t="str">
        <f>[2]women!C44</f>
        <v>Teryasova Olga</v>
      </c>
      <c r="D261" t="str">
        <f>[2]women!E44</f>
        <v>RUS</v>
      </c>
      <c r="E261" s="3" t="str">
        <f>[2]women!F44</f>
        <v>19.04.2014</v>
      </c>
      <c r="F261" t="str">
        <f>[2]women!G44</f>
        <v>Krasnodar</v>
      </c>
      <c r="H261" t="str">
        <f>[2]women!H44</f>
        <v xml:space="preserve"> </v>
      </c>
    </row>
    <row r="262" spans="1:8" x14ac:dyDescent="0.25">
      <c r="A262" s="1">
        <f>[2]women!A45</f>
        <v>75</v>
      </c>
      <c r="B262" s="1">
        <f>[2]women!B45</f>
        <v>0</v>
      </c>
      <c r="C262">
        <f>[2]women!C45</f>
        <v>0</v>
      </c>
      <c r="D262">
        <f>[2]women!E45</f>
        <v>0</v>
      </c>
      <c r="E262" s="3">
        <f>[2]women!F45</f>
        <v>0</v>
      </c>
      <c r="F262">
        <f>[2]women!G45</f>
        <v>0</v>
      </c>
      <c r="H262" t="str">
        <f>[2]women!H45</f>
        <v xml:space="preserve"> </v>
      </c>
    </row>
    <row r="263" spans="1:8" x14ac:dyDescent="0.25">
      <c r="A263" s="1">
        <f>[2]women!A46</f>
        <v>82.5</v>
      </c>
      <c r="B263" s="1">
        <f>[2]women!B46</f>
        <v>52.5</v>
      </c>
      <c r="C263" t="str">
        <f>[2]women!C46</f>
        <v>Simonova Alena</v>
      </c>
      <c r="D263" t="str">
        <f>[2]women!E46</f>
        <v>RUS</v>
      </c>
      <c r="E263" s="3">
        <f>[2]women!F46</f>
        <v>41503</v>
      </c>
      <c r="F263" t="str">
        <f>[2]women!G46</f>
        <v>Novosibirsk</v>
      </c>
      <c r="H263" t="str">
        <f>[2]women!H46</f>
        <v xml:space="preserve"> </v>
      </c>
    </row>
    <row r="264" spans="1:8" x14ac:dyDescent="0.25">
      <c r="A264" s="1">
        <f>[2]women!A47</f>
        <v>90</v>
      </c>
      <c r="B264" s="1" t="str">
        <f>[2]women!B47</f>
        <v xml:space="preserve"> </v>
      </c>
      <c r="C264" t="str">
        <f>[2]women!C47</f>
        <v xml:space="preserve"> </v>
      </c>
      <c r="D264" t="str">
        <f>[2]women!E47</f>
        <v xml:space="preserve"> </v>
      </c>
      <c r="E264" s="3" t="str">
        <f>[2]women!F47</f>
        <v xml:space="preserve"> </v>
      </c>
      <c r="F264" t="str">
        <f>[2]women!G47</f>
        <v xml:space="preserve"> </v>
      </c>
      <c r="H264" t="str">
        <f>[2]women!H47</f>
        <v xml:space="preserve"> </v>
      </c>
    </row>
    <row r="265" spans="1:8" x14ac:dyDescent="0.25">
      <c r="A265" s="1" t="str">
        <f>[2]women!A48</f>
        <v>90+</v>
      </c>
      <c r="B265" s="1" t="str">
        <f>[2]women!B48</f>
        <v xml:space="preserve"> </v>
      </c>
      <c r="C265" t="str">
        <f>[2]women!C48</f>
        <v xml:space="preserve"> </v>
      </c>
      <c r="D265" t="str">
        <f>[2]women!E48</f>
        <v xml:space="preserve"> </v>
      </c>
      <c r="E265" s="3" t="str">
        <f>[2]women!F48</f>
        <v xml:space="preserve"> </v>
      </c>
      <c r="F265" t="str">
        <f>[2]women!G48</f>
        <v xml:space="preserve"> </v>
      </c>
      <c r="H265" t="str">
        <f>[2]women!H48</f>
        <v xml:space="preserve"> </v>
      </c>
    </row>
    <row r="266" spans="1:8" x14ac:dyDescent="0.25">
      <c r="E266" s="3"/>
      <c r="F266"/>
    </row>
    <row r="267" spans="1:8" s="11" customFormat="1" x14ac:dyDescent="0.25">
      <c r="A267" s="22" t="s">
        <v>0</v>
      </c>
      <c r="B267" s="22">
        <v>0</v>
      </c>
      <c r="C267" s="11">
        <v>13</v>
      </c>
      <c r="D267" s="11" t="str">
        <f>[2]women!C49</f>
        <v xml:space="preserve">Women's 13-15 </v>
      </c>
      <c r="F267" s="15"/>
    </row>
    <row r="268" spans="1:8" x14ac:dyDescent="0.25">
      <c r="A268" s="1">
        <f>[2]women!A50</f>
        <v>44</v>
      </c>
      <c r="B268" s="1">
        <f>[2]women!B50</f>
        <v>57.5</v>
      </c>
      <c r="C268" t="str">
        <f>[2]women!C50</f>
        <v>Dluzhnevskaya, Vladislava</v>
      </c>
      <c r="D268" t="str">
        <f>[2]women!E50</f>
        <v>RUS</v>
      </c>
      <c r="E268" s="3">
        <f>[2]women!F50</f>
        <v>40814</v>
      </c>
      <c r="F268" t="str">
        <f>[2]women!G50</f>
        <v>Yekaterinbourg</v>
      </c>
      <c r="H268" t="str">
        <f>[2]women!H50</f>
        <v xml:space="preserve"> </v>
      </c>
    </row>
    <row r="269" spans="1:8" x14ac:dyDescent="0.25">
      <c r="A269" s="1">
        <f>[2]women!A51</f>
        <v>48</v>
      </c>
      <c r="B269" s="1">
        <f>[2]women!B51</f>
        <v>65</v>
      </c>
      <c r="C269" t="str">
        <f>[2]women!C51</f>
        <v>Dluzhnevskaya, Vladislava</v>
      </c>
      <c r="D269" t="str">
        <f>[2]women!E51</f>
        <v>RUS</v>
      </c>
      <c r="E269" s="3" t="str">
        <f>[2]women!F51</f>
        <v>09.11.2012</v>
      </c>
      <c r="F269" t="str">
        <f>[2]women!G51</f>
        <v>Vologda</v>
      </c>
      <c r="H269" t="str">
        <f>[2]women!H51</f>
        <v xml:space="preserve"> </v>
      </c>
    </row>
    <row r="270" spans="1:8" x14ac:dyDescent="0.25">
      <c r="A270" s="1">
        <f>[2]women!A52</f>
        <v>52</v>
      </c>
      <c r="B270" s="1">
        <f>[2]women!B52</f>
        <v>35</v>
      </c>
      <c r="C270" t="str">
        <f>[2]women!C52</f>
        <v>Ponomaryova, Yuliya</v>
      </c>
      <c r="D270" t="str">
        <f>[2]women!E52</f>
        <v>RUS</v>
      </c>
      <c r="E270" s="3">
        <f>[2]women!F52</f>
        <v>39871</v>
      </c>
      <c r="F270" t="str">
        <f>[2]women!G52</f>
        <v>Chelyabinsk</v>
      </c>
      <c r="H270" t="str">
        <f>[2]women!H52</f>
        <v xml:space="preserve"> </v>
      </c>
    </row>
    <row r="271" spans="1:8" x14ac:dyDescent="0.25">
      <c r="A271" s="1">
        <f>[2]women!A53</f>
        <v>56</v>
      </c>
      <c r="B271" s="1">
        <f>[2]women!B53</f>
        <v>60</v>
      </c>
      <c r="C271" t="str">
        <f>[2]women!C53</f>
        <v>Maximova Anastasiya</v>
      </c>
      <c r="D271" t="str">
        <f>[2]women!E53</f>
        <v>RUS</v>
      </c>
      <c r="E271" s="3">
        <f>[2]women!F53</f>
        <v>40257</v>
      </c>
      <c r="F271" t="str">
        <f>[2]women!G53</f>
        <v>Kursk</v>
      </c>
      <c r="H271" t="str">
        <f>[2]women!H53</f>
        <v xml:space="preserve"> </v>
      </c>
    </row>
    <row r="272" spans="1:8" x14ac:dyDescent="0.25">
      <c r="A272" s="1">
        <f>[2]women!A54</f>
        <v>60</v>
      </c>
      <c r="B272" s="1">
        <f>[2]women!B54</f>
        <v>60</v>
      </c>
      <c r="C272" t="str">
        <f>[2]women!C54</f>
        <v>Shinkareva,Yelizaveta</v>
      </c>
      <c r="D272" t="str">
        <f>[2]women!E54</f>
        <v>RUS</v>
      </c>
      <c r="E272" s="3">
        <f>[2]women!F54</f>
        <v>41503</v>
      </c>
      <c r="F272" t="str">
        <f>[2]women!G54</f>
        <v>Novosibirsk</v>
      </c>
      <c r="H272" t="str">
        <f>[2]women!H54</f>
        <v xml:space="preserve"> </v>
      </c>
    </row>
    <row r="273" spans="1:8" x14ac:dyDescent="0.25">
      <c r="A273" s="1">
        <f>[2]women!A55</f>
        <v>67.5</v>
      </c>
      <c r="B273" s="1">
        <f>[2]women!B55</f>
        <v>60</v>
      </c>
      <c r="C273" t="str">
        <f>[2]women!C55</f>
        <v>Shinkareva,Yelizaveta</v>
      </c>
      <c r="D273" t="str">
        <f>[2]women!E55</f>
        <v>RUS</v>
      </c>
      <c r="E273" s="3">
        <f>[2]women!F55</f>
        <v>41368</v>
      </c>
      <c r="F273" t="str">
        <f>[2]women!G55</f>
        <v>Krasnodar</v>
      </c>
      <c r="H273" t="str">
        <f>[2]women!H55</f>
        <v xml:space="preserve"> </v>
      </c>
    </row>
    <row r="274" spans="1:8" x14ac:dyDescent="0.25">
      <c r="A274" s="1">
        <f>[2]women!A56</f>
        <v>75</v>
      </c>
      <c r="B274" s="1">
        <f>[2]women!B56</f>
        <v>0</v>
      </c>
      <c r="C274">
        <f>[2]women!C56</f>
        <v>0</v>
      </c>
      <c r="D274">
        <f>[2]women!E56</f>
        <v>0</v>
      </c>
      <c r="E274" s="3">
        <f>[2]women!F56</f>
        <v>0</v>
      </c>
      <c r="F274">
        <f>[2]women!G56</f>
        <v>0</v>
      </c>
      <c r="H274" t="str">
        <f>[2]women!H56</f>
        <v xml:space="preserve"> </v>
      </c>
    </row>
    <row r="275" spans="1:8" x14ac:dyDescent="0.25">
      <c r="A275" s="1">
        <f>[2]women!A57</f>
        <v>82.5</v>
      </c>
      <c r="B275" s="1">
        <f>[2]women!B57</f>
        <v>35</v>
      </c>
      <c r="C275" t="str">
        <f>[2]women!C57</f>
        <v>Adiyak, Yekaterina</v>
      </c>
      <c r="D275" t="str">
        <f>[2]women!E57</f>
        <v>RUS</v>
      </c>
      <c r="E275" s="3">
        <f>[2]women!F57</f>
        <v>40814</v>
      </c>
      <c r="F275" t="str">
        <f>[2]women!G57</f>
        <v>Yekaterinbourg</v>
      </c>
      <c r="H275" t="str">
        <f>[2]women!H57</f>
        <v xml:space="preserve"> </v>
      </c>
    </row>
    <row r="276" spans="1:8" x14ac:dyDescent="0.25">
      <c r="A276" s="1">
        <f>[2]women!A58</f>
        <v>90</v>
      </c>
      <c r="B276" s="1" t="str">
        <f>[2]women!B58</f>
        <v xml:space="preserve"> </v>
      </c>
      <c r="C276" t="str">
        <f>[2]women!C58</f>
        <v xml:space="preserve"> </v>
      </c>
      <c r="D276" t="str">
        <f>[2]women!E58</f>
        <v xml:space="preserve"> </v>
      </c>
      <c r="E276" s="3" t="str">
        <f>[2]women!F58</f>
        <v xml:space="preserve"> </v>
      </c>
      <c r="F276" t="str">
        <f>[2]women!G58</f>
        <v xml:space="preserve"> </v>
      </c>
      <c r="H276" t="str">
        <f>[2]women!H58</f>
        <v xml:space="preserve"> </v>
      </c>
    </row>
    <row r="277" spans="1:8" x14ac:dyDescent="0.25">
      <c r="A277" s="1" t="str">
        <f>[2]women!A59</f>
        <v>90+</v>
      </c>
      <c r="B277" s="1">
        <f>[2]women!B59</f>
        <v>42.5</v>
      </c>
      <c r="C277" t="str">
        <f>[2]women!C59</f>
        <v>Antukh Yekaterina</v>
      </c>
      <c r="D277" t="str">
        <f>[2]women!E59</f>
        <v>RUS</v>
      </c>
      <c r="E277" s="3" t="str">
        <f>[2]women!F59</f>
        <v>03.07.2014</v>
      </c>
      <c r="F277" t="str">
        <f>[2]women!G59</f>
        <v>Novosibirsk</v>
      </c>
      <c r="H277" t="str">
        <f>[2]women!H59</f>
        <v xml:space="preserve"> </v>
      </c>
    </row>
    <row r="278" spans="1:8" x14ac:dyDescent="0.25">
      <c r="E278" s="3"/>
      <c r="F278"/>
    </row>
    <row r="279" spans="1:8" s="11" customFormat="1" x14ac:dyDescent="0.25">
      <c r="A279" s="22" t="s">
        <v>0</v>
      </c>
      <c r="B279" s="22">
        <v>0</v>
      </c>
      <c r="C279" s="11">
        <v>-4</v>
      </c>
      <c r="D279" s="11" t="str">
        <f>[2]women!C60</f>
        <v>Women's Submaster 33-39</v>
      </c>
      <c r="F279" s="15"/>
    </row>
    <row r="280" spans="1:8" x14ac:dyDescent="0.25">
      <c r="A280" s="1">
        <f>[2]women!A61</f>
        <v>44</v>
      </c>
      <c r="B280" s="1">
        <f>[2]women!B61</f>
        <v>37.5</v>
      </c>
      <c r="C280" t="str">
        <f>[2]women!C61</f>
        <v>Gubanova,Natalya</v>
      </c>
      <c r="D280" t="str">
        <f>[2]women!E61</f>
        <v>RUS</v>
      </c>
      <c r="E280" s="3">
        <f>[2]women!F61</f>
        <v>41503</v>
      </c>
      <c r="F280" t="str">
        <f>[2]women!G61</f>
        <v>Novosibirsk</v>
      </c>
      <c r="H280" t="str">
        <f>[2]women!H61</f>
        <v xml:space="preserve"> </v>
      </c>
    </row>
    <row r="281" spans="1:8" x14ac:dyDescent="0.25">
      <c r="A281" s="1">
        <f>[2]women!A62</f>
        <v>48</v>
      </c>
      <c r="B281" s="1">
        <f>[2]women!B62</f>
        <v>67.5</v>
      </c>
      <c r="C281" t="str">
        <f>[2]women!C62</f>
        <v>Dzina, Margarita</v>
      </c>
      <c r="D281" t="str">
        <f>[2]women!E62</f>
        <v>RUS</v>
      </c>
      <c r="E281" s="3">
        <f>[2]women!F62</f>
        <v>39871</v>
      </c>
      <c r="F281" t="str">
        <f>[2]women!G62</f>
        <v>Chelyabinsk</v>
      </c>
      <c r="H281" t="str">
        <f>[2]women!H62</f>
        <v xml:space="preserve"> </v>
      </c>
    </row>
    <row r="282" spans="1:8" x14ac:dyDescent="0.25">
      <c r="A282" s="1">
        <f>[2]women!A63</f>
        <v>52</v>
      </c>
      <c r="B282" s="1">
        <f>[2]women!B63</f>
        <v>90.5</v>
      </c>
      <c r="C282" t="str">
        <f>[2]women!C63</f>
        <v>Kadatska,Anna</v>
      </c>
      <c r="D282" t="str">
        <f>[2]women!E63</f>
        <v>UKR</v>
      </c>
      <c r="E282" s="3">
        <f>[2]women!F63</f>
        <v>41128</v>
      </c>
      <c r="F282" t="str">
        <f>[2]women!G63</f>
        <v>Kryvyi Rig</v>
      </c>
      <c r="H282" t="str">
        <f>[2]women!H63</f>
        <v xml:space="preserve"> </v>
      </c>
    </row>
    <row r="283" spans="1:8" x14ac:dyDescent="0.25">
      <c r="A283" s="1">
        <f>[2]women!A64</f>
        <v>56</v>
      </c>
      <c r="B283" s="1">
        <f>[2]women!B64</f>
        <v>105</v>
      </c>
      <c r="C283" t="str">
        <f>[2]women!C64</f>
        <v>Konovalova, Natalya</v>
      </c>
      <c r="D283" t="str">
        <f>[2]women!E64</f>
        <v>RUS</v>
      </c>
      <c r="E283" s="3">
        <f>[2]women!F64</f>
        <v>40814</v>
      </c>
      <c r="F283" t="str">
        <f>[2]women!G64</f>
        <v>Yekaterinbourg</v>
      </c>
      <c r="H283" t="str">
        <f>[2]women!H64</f>
        <v xml:space="preserve"> </v>
      </c>
    </row>
    <row r="284" spans="1:8" x14ac:dyDescent="0.25">
      <c r="A284" s="1">
        <f>[2]women!A65</f>
        <v>60</v>
      </c>
      <c r="B284" s="1">
        <f>[2]women!B65</f>
        <v>92.5</v>
      </c>
      <c r="C284" t="str">
        <f>[2]women!C65</f>
        <v>Rakcheeva,Anastasiya</v>
      </c>
      <c r="D284" t="str">
        <f>[2]women!E65</f>
        <v>RUS</v>
      </c>
      <c r="E284" s="3">
        <f>[2]women!F65</f>
        <v>40088</v>
      </c>
      <c r="F284" t="str">
        <f>[2]women!G65</f>
        <v>Rostov</v>
      </c>
      <c r="H284" t="str">
        <f>[2]women!H65</f>
        <v xml:space="preserve"> </v>
      </c>
    </row>
    <row r="285" spans="1:8" x14ac:dyDescent="0.25">
      <c r="A285" s="1">
        <f>[2]women!A66</f>
        <v>67.5</v>
      </c>
      <c r="B285" s="1">
        <f>[2]women!B66</f>
        <v>80</v>
      </c>
      <c r="C285" t="str">
        <f>[2]women!C66</f>
        <v>Goncharova,Natalya</v>
      </c>
      <c r="D285" t="str">
        <f>[2]women!E66</f>
        <v>RUS</v>
      </c>
      <c r="E285" s="3">
        <f>[2]women!F66</f>
        <v>40409</v>
      </c>
      <c r="F285" t="str">
        <f>[2]women!G66</f>
        <v>Moscow</v>
      </c>
      <c r="H285" t="str">
        <f>[2]women!H66</f>
        <v xml:space="preserve"> </v>
      </c>
    </row>
    <row r="286" spans="1:8" x14ac:dyDescent="0.25">
      <c r="A286" s="1">
        <f>[2]women!A67</f>
        <v>75</v>
      </c>
      <c r="B286" s="1">
        <f>[2]women!B67</f>
        <v>110</v>
      </c>
      <c r="C286" t="str">
        <f>[2]women!C67</f>
        <v>Vorobyova Regina</v>
      </c>
      <c r="D286" t="str">
        <f>[2]women!E67</f>
        <v>RUS</v>
      </c>
      <c r="E286" s="3">
        <f>[2]women!F67</f>
        <v>41496</v>
      </c>
      <c r="F286" t="str">
        <f>[2]women!G67</f>
        <v>Kursk</v>
      </c>
      <c r="H286" t="str">
        <f>[2]women!H67</f>
        <v xml:space="preserve"> </v>
      </c>
    </row>
    <row r="287" spans="1:8" x14ac:dyDescent="0.25">
      <c r="A287" s="1">
        <f>[2]women!A68</f>
        <v>82.5</v>
      </c>
      <c r="B287" s="1">
        <f>[2]women!B68</f>
        <v>105</v>
      </c>
      <c r="C287" t="str">
        <f>[2]women!C68</f>
        <v>Pugovkina Alla</v>
      </c>
      <c r="D287" t="str">
        <f>[2]women!E68</f>
        <v>RUS</v>
      </c>
      <c r="E287" s="3" t="str">
        <f>[2]women!F68</f>
        <v>22.08.2014</v>
      </c>
      <c r="F287" t="str">
        <f>[2]women!G68</f>
        <v>Moscow</v>
      </c>
      <c r="H287" t="str">
        <f>[2]women!H68</f>
        <v xml:space="preserve"> </v>
      </c>
    </row>
    <row r="288" spans="1:8" x14ac:dyDescent="0.25">
      <c r="A288" s="1">
        <f>[2]women!A69</f>
        <v>90</v>
      </c>
      <c r="B288" s="1">
        <f>[2]women!B69</f>
        <v>102.5</v>
      </c>
      <c r="C288" t="str">
        <f>[2]women!C69</f>
        <v>Kibalina, Tatyana</v>
      </c>
      <c r="D288" t="str">
        <f>[2]women!E69</f>
        <v>RUS</v>
      </c>
      <c r="E288" s="3">
        <f>[2]women!F69</f>
        <v>40814</v>
      </c>
      <c r="F288" t="str">
        <f>[2]women!G69</f>
        <v>Yekaterinbourg</v>
      </c>
      <c r="H288" t="str">
        <f>[2]women!H69</f>
        <v xml:space="preserve"> </v>
      </c>
    </row>
    <row r="289" spans="1:8" x14ac:dyDescent="0.25">
      <c r="A289" s="1" t="str">
        <f>[2]women!A70</f>
        <v>90+</v>
      </c>
      <c r="B289" s="1">
        <f>[2]women!B70</f>
        <v>122.5</v>
      </c>
      <c r="C289" t="str">
        <f>[2]women!C70</f>
        <v>Reske,Kristy</v>
      </c>
      <c r="D289" t="str">
        <f>[2]women!E70</f>
        <v>USA</v>
      </c>
      <c r="E289" s="3">
        <f>[2]women!F70</f>
        <v>41111</v>
      </c>
      <c r="F289" t="str">
        <f>[2]women!G70</f>
        <v xml:space="preserve">Detroit </v>
      </c>
      <c r="H289" t="str">
        <f>[2]women!H70</f>
        <v xml:space="preserve"> </v>
      </c>
    </row>
    <row r="290" spans="1:8" x14ac:dyDescent="0.25">
      <c r="D290">
        <f>[2]women!C71</f>
        <v>0</v>
      </c>
    </row>
    <row r="291" spans="1:8" x14ac:dyDescent="0.25">
      <c r="B291" s="1" t="str">
        <f>[2]women!B72</f>
        <v xml:space="preserve"> </v>
      </c>
      <c r="D291" t="str">
        <f>[2]women!C72</f>
        <v>Women's Master</v>
      </c>
    </row>
    <row r="292" spans="1:8" s="11" customFormat="1" x14ac:dyDescent="0.25">
      <c r="A292" s="22" t="s">
        <v>0</v>
      </c>
      <c r="B292" s="22">
        <v>0</v>
      </c>
      <c r="C292" s="11">
        <v>40</v>
      </c>
      <c r="D292" s="11" t="str">
        <f>[2]women!C73</f>
        <v xml:space="preserve">40-44 </v>
      </c>
      <c r="E292" s="11" t="str">
        <f>[2]women!E73</f>
        <v xml:space="preserve"> </v>
      </c>
      <c r="F292" s="15" t="str">
        <f>[2]women!F73</f>
        <v xml:space="preserve"> </v>
      </c>
      <c r="G292" s="11" t="str">
        <f>[2]women!G73</f>
        <v xml:space="preserve"> </v>
      </c>
      <c r="H292" s="11" t="str">
        <f>[2]women!H73</f>
        <v xml:space="preserve"> </v>
      </c>
    </row>
    <row r="293" spans="1:8" x14ac:dyDescent="0.25">
      <c r="A293" s="1">
        <f>[2]women!A74</f>
        <v>44</v>
      </c>
      <c r="B293" s="1">
        <f>[2]women!B74</f>
        <v>77.5</v>
      </c>
      <c r="C293" t="str">
        <f>[2]women!C74</f>
        <v>Murasheva,Yuliya</v>
      </c>
      <c r="D293" t="str">
        <f>[2]women!E74</f>
        <v>RUS</v>
      </c>
      <c r="E293" s="3" t="str">
        <f>[2]women!F74</f>
        <v>22.08.2014</v>
      </c>
      <c r="F293" t="str">
        <f>[2]women!G74</f>
        <v>Moscow</v>
      </c>
      <c r="H293" t="str">
        <f>[2]women!H74</f>
        <v xml:space="preserve"> </v>
      </c>
    </row>
    <row r="294" spans="1:8" x14ac:dyDescent="0.25">
      <c r="A294" s="1">
        <f>[2]women!A75</f>
        <v>48</v>
      </c>
      <c r="B294" s="1">
        <f>[2]women!B75</f>
        <v>52.5</v>
      </c>
      <c r="C294" t="str">
        <f>[2]women!C75</f>
        <v>Marieva,Natalya</v>
      </c>
      <c r="D294" t="str">
        <f>[2]women!E75</f>
        <v>RUS</v>
      </c>
      <c r="E294" s="3">
        <f>[2]women!F75</f>
        <v>41067</v>
      </c>
      <c r="F294" t="str">
        <f>[2]women!G75</f>
        <v>Moscow</v>
      </c>
      <c r="H294" t="str">
        <f>[2]women!H75</f>
        <v xml:space="preserve"> </v>
      </c>
    </row>
    <row r="295" spans="1:8" x14ac:dyDescent="0.25">
      <c r="A295" s="1">
        <f>[2]women!A76</f>
        <v>52</v>
      </c>
      <c r="B295" s="1">
        <f>[2]women!B76</f>
        <v>65</v>
      </c>
      <c r="C295" t="str">
        <f>[2]women!C76</f>
        <v>Lazareva Yelena</v>
      </c>
      <c r="D295" t="str">
        <f>[2]women!E76</f>
        <v>RUS</v>
      </c>
      <c r="E295" s="3">
        <f>[2]women!F76</f>
        <v>40522</v>
      </c>
      <c r="F295" t="str">
        <f>[2]women!G76</f>
        <v>Kursk</v>
      </c>
      <c r="H295" t="str">
        <f>[2]women!H76</f>
        <v xml:space="preserve"> </v>
      </c>
    </row>
    <row r="296" spans="1:8" x14ac:dyDescent="0.25">
      <c r="A296" s="1">
        <f>[2]women!A77</f>
        <v>56</v>
      </c>
      <c r="B296" s="1">
        <f>[2]women!B77</f>
        <v>77.5</v>
      </c>
      <c r="C296" t="str">
        <f>[2]women!C77</f>
        <v>Tarasova Yuliya</v>
      </c>
      <c r="D296" t="str">
        <f>[2]women!E77</f>
        <v>RUS</v>
      </c>
      <c r="E296" s="3" t="str">
        <f>[2]women!F77</f>
        <v>22.08.2014</v>
      </c>
      <c r="F296" t="str">
        <f>[2]women!G77</f>
        <v>Moscow</v>
      </c>
      <c r="H296" t="str">
        <f>[2]women!H77</f>
        <v xml:space="preserve"> </v>
      </c>
    </row>
    <row r="297" spans="1:8" x14ac:dyDescent="0.25">
      <c r="A297" s="1">
        <f>[2]women!A78</f>
        <v>60</v>
      </c>
      <c r="B297" s="1">
        <f>[2]women!B78</f>
        <v>92.5</v>
      </c>
      <c r="C297" t="str">
        <f>[2]women!C78</f>
        <v>Rakcheeva,Anastasiya</v>
      </c>
      <c r="D297" t="str">
        <f>[2]women!E78</f>
        <v xml:space="preserve"> RUS</v>
      </c>
      <c r="E297" s="3">
        <f>[2]women!F78</f>
        <v>41018</v>
      </c>
      <c r="F297" t="str">
        <f>[2]women!G78</f>
        <v>Rostov</v>
      </c>
      <c r="H297" t="str">
        <f>[2]women!H78</f>
        <v xml:space="preserve"> </v>
      </c>
    </row>
    <row r="298" spans="1:8" x14ac:dyDescent="0.25">
      <c r="A298" s="1">
        <f>[2]women!A79</f>
        <v>67.5</v>
      </c>
      <c r="B298" s="1">
        <f>[2]women!B79</f>
        <v>97.5</v>
      </c>
      <c r="C298" t="str">
        <f>[2]women!C79</f>
        <v>Rakcheeva,Anastasiya</v>
      </c>
      <c r="D298" t="str">
        <f>[2]women!E79</f>
        <v xml:space="preserve"> RUS</v>
      </c>
      <c r="E298" s="3" t="str">
        <f>[2]women!F79</f>
        <v>22.08.2014</v>
      </c>
      <c r="F298" t="str">
        <f>[2]women!G79</f>
        <v>Moscow</v>
      </c>
      <c r="H298" t="str">
        <f>[2]women!H79</f>
        <v xml:space="preserve"> </v>
      </c>
    </row>
    <row r="299" spans="1:8" x14ac:dyDescent="0.25">
      <c r="A299" s="1">
        <f>[2]women!A80</f>
        <v>75</v>
      </c>
      <c r="B299" s="1">
        <f>[2]women!B80</f>
        <v>105</v>
      </c>
      <c r="C299" t="str">
        <f>[2]women!C80</f>
        <v>Sinacheva, Svetlana</v>
      </c>
      <c r="D299" t="str">
        <f>[2]women!E80</f>
        <v>RUS</v>
      </c>
      <c r="E299" s="3">
        <f>[2]women!F80</f>
        <v>40814</v>
      </c>
      <c r="F299" t="str">
        <f>[2]women!G80</f>
        <v>Yekaterinbourg</v>
      </c>
      <c r="H299" t="str">
        <f>[2]women!H80</f>
        <v xml:space="preserve"> </v>
      </c>
    </row>
    <row r="300" spans="1:8" x14ac:dyDescent="0.25">
      <c r="A300" s="1">
        <f>[2]women!A81</f>
        <v>82.5</v>
      </c>
      <c r="B300" s="1">
        <f>[2]women!B81</f>
        <v>97.5</v>
      </c>
      <c r="C300" t="str">
        <f>[2]women!C81</f>
        <v>Sinacheva, Svetlana</v>
      </c>
      <c r="D300" t="str">
        <f>[2]women!E81</f>
        <v>RUS</v>
      </c>
      <c r="E300" s="3">
        <f>[2]women!F81</f>
        <v>40257</v>
      </c>
      <c r="F300" t="str">
        <f>[2]women!G81</f>
        <v>Kursk</v>
      </c>
      <c r="H300" t="str">
        <f>[2]women!H81</f>
        <v xml:space="preserve"> </v>
      </c>
    </row>
    <row r="301" spans="1:8" x14ac:dyDescent="0.25">
      <c r="A301" s="1">
        <f>[2]women!A82</f>
        <v>90</v>
      </c>
      <c r="B301" s="1" t="str">
        <f>[2]women!B82</f>
        <v xml:space="preserve"> </v>
      </c>
      <c r="C301" t="str">
        <f>[2]women!C82</f>
        <v xml:space="preserve"> </v>
      </c>
      <c r="D301" t="str">
        <f>[2]women!E82</f>
        <v xml:space="preserve"> </v>
      </c>
      <c r="E301" s="3" t="str">
        <f>[2]women!F82</f>
        <v xml:space="preserve"> </v>
      </c>
      <c r="F301" t="str">
        <f>[2]women!G82</f>
        <v xml:space="preserve"> </v>
      </c>
      <c r="H301" t="str">
        <f>[2]women!H82</f>
        <v xml:space="preserve"> </v>
      </c>
    </row>
    <row r="302" spans="1:8" x14ac:dyDescent="0.25">
      <c r="A302" s="1" t="str">
        <f>[2]women!A83</f>
        <v>90+</v>
      </c>
      <c r="B302" s="1">
        <f>[2]women!B83</f>
        <v>85</v>
      </c>
      <c r="C302" t="str">
        <f>[2]women!C83</f>
        <v>Skobelkina,Yelena</v>
      </c>
      <c r="D302" t="str">
        <f>[2]women!E83</f>
        <v>RUS</v>
      </c>
      <c r="E302" s="3">
        <f>[2]women!F83</f>
        <v>41503</v>
      </c>
      <c r="F302" t="str">
        <f>[2]women!G83</f>
        <v>Novosibirsk</v>
      </c>
      <c r="H302" t="str">
        <f>[2]women!H83</f>
        <v xml:space="preserve"> </v>
      </c>
    </row>
    <row r="303" spans="1:8" x14ac:dyDescent="0.25">
      <c r="E303" s="3"/>
      <c r="F303"/>
    </row>
    <row r="304" spans="1:8" s="11" customFormat="1" x14ac:dyDescent="0.25">
      <c r="A304" s="22" t="s">
        <v>0</v>
      </c>
      <c r="B304" s="22">
        <v>0</v>
      </c>
      <c r="C304" s="11">
        <v>45</v>
      </c>
      <c r="D304" s="11" t="str">
        <f>[2]women!C84</f>
        <v xml:space="preserve">45-49 </v>
      </c>
      <c r="E304" s="11" t="str">
        <f>[2]women!E84</f>
        <v xml:space="preserve"> </v>
      </c>
      <c r="F304" s="15" t="str">
        <f>[2]women!F84</f>
        <v xml:space="preserve"> </v>
      </c>
      <c r="G304" s="11" t="str">
        <f>[2]women!G84</f>
        <v xml:space="preserve"> </v>
      </c>
      <c r="H304" s="11" t="str">
        <f>[2]women!H84</f>
        <v xml:space="preserve"> </v>
      </c>
    </row>
    <row r="305" spans="1:8" x14ac:dyDescent="0.25">
      <c r="A305" s="1">
        <f>[2]women!A85</f>
        <v>44</v>
      </c>
      <c r="B305" s="1" t="str">
        <f>[2]women!B85</f>
        <v xml:space="preserve"> </v>
      </c>
      <c r="C305" t="str">
        <f>[2]women!C85</f>
        <v xml:space="preserve"> </v>
      </c>
      <c r="D305" t="str">
        <f>[2]women!E85</f>
        <v xml:space="preserve"> </v>
      </c>
      <c r="E305" s="3" t="str">
        <f>[2]women!F85</f>
        <v xml:space="preserve"> </v>
      </c>
      <c r="F305" t="str">
        <f>[2]women!G85</f>
        <v xml:space="preserve"> </v>
      </c>
      <c r="G305" t="str">
        <f>[2]women!H85</f>
        <v xml:space="preserve"> </v>
      </c>
    </row>
    <row r="306" spans="1:8" x14ac:dyDescent="0.25">
      <c r="A306" s="1">
        <f>[2]women!A86</f>
        <v>48</v>
      </c>
      <c r="B306" s="1">
        <f>[2]women!B86</f>
        <v>55</v>
      </c>
      <c r="C306" t="str">
        <f>[2]women!C86</f>
        <v>Marieva,Natalya</v>
      </c>
      <c r="D306" t="str">
        <f>[2]women!E86</f>
        <v>RUS</v>
      </c>
      <c r="E306" s="3" t="str">
        <f>[2]women!F86</f>
        <v>30.05.2014</v>
      </c>
      <c r="F306" t="str">
        <f>[2]women!G86</f>
        <v>Kursk</v>
      </c>
      <c r="G306">
        <f>[2]women!H86</f>
        <v>0</v>
      </c>
    </row>
    <row r="307" spans="1:8" x14ac:dyDescent="0.25">
      <c r="A307" s="1">
        <f>[2]women!A87</f>
        <v>52</v>
      </c>
      <c r="B307" s="1">
        <f>[2]women!B87</f>
        <v>65</v>
      </c>
      <c r="C307" t="str">
        <f>[2]women!C87</f>
        <v>Kushkova Yelena</v>
      </c>
      <c r="D307" t="str">
        <f>[2]women!E87</f>
        <v>RUS</v>
      </c>
      <c r="E307" s="3">
        <f>[2]women!F87</f>
        <v>41608</v>
      </c>
      <c r="F307" t="str">
        <f>[2]women!G87</f>
        <v>Yekaterinbourg</v>
      </c>
      <c r="G307">
        <f>[2]women!H87</f>
        <v>0</v>
      </c>
    </row>
    <row r="308" spans="1:8" x14ac:dyDescent="0.25">
      <c r="A308" s="1">
        <f>[2]women!A88</f>
        <v>56</v>
      </c>
      <c r="B308" s="1">
        <f>[2]women!B88</f>
        <v>47.5</v>
      </c>
      <c r="C308" t="str">
        <f>[2]women!C88</f>
        <v>Belova Yelena</v>
      </c>
      <c r="D308" t="str">
        <f>[2]women!E88</f>
        <v>RUS</v>
      </c>
      <c r="E308" s="3" t="str">
        <f>[2]women!F88</f>
        <v>03.07.2014</v>
      </c>
      <c r="F308" t="str">
        <f>[2]women!G88</f>
        <v>Novosibirsk</v>
      </c>
      <c r="G308" t="str">
        <f>[2]women!H88</f>
        <v xml:space="preserve"> </v>
      </c>
    </row>
    <row r="309" spans="1:8" x14ac:dyDescent="0.25">
      <c r="A309" s="1">
        <f>[2]women!A89</f>
        <v>60</v>
      </c>
      <c r="B309" s="1">
        <f>[2]women!B89</f>
        <v>37.5</v>
      </c>
      <c r="C309" t="str">
        <f>[2]women!C89</f>
        <v>Pen'kova,Nataliya</v>
      </c>
      <c r="D309" t="str">
        <f>[2]women!E89</f>
        <v>UKR</v>
      </c>
      <c r="E309" s="3">
        <f>[2]women!F89</f>
        <v>41128</v>
      </c>
      <c r="F309" t="str">
        <f>[2]women!G89</f>
        <v>Kryvyi Rig</v>
      </c>
      <c r="G309" t="str">
        <f>[2]women!H89</f>
        <v xml:space="preserve"> </v>
      </c>
    </row>
    <row r="310" spans="1:8" x14ac:dyDescent="0.25">
      <c r="A310" s="1">
        <f>[2]women!A90</f>
        <v>67.5</v>
      </c>
      <c r="B310" s="1">
        <f>[2]women!B90</f>
        <v>82.5</v>
      </c>
      <c r="C310" t="str">
        <f>[2]women!C90</f>
        <v>Khristoforova,Marina</v>
      </c>
      <c r="D310" t="str">
        <f>[2]women!E90</f>
        <v>UKR</v>
      </c>
      <c r="E310" s="3">
        <f>[2]women!F90</f>
        <v>41128</v>
      </c>
      <c r="F310" t="str">
        <f>[2]women!G90</f>
        <v>Kryvyi Rig</v>
      </c>
      <c r="G310" t="str">
        <f>[2]women!H90</f>
        <v xml:space="preserve"> </v>
      </c>
    </row>
    <row r="311" spans="1:8" x14ac:dyDescent="0.25">
      <c r="A311" s="1">
        <f>[2]women!A91</f>
        <v>75</v>
      </c>
      <c r="B311" s="1">
        <f>[2]women!B91</f>
        <v>105</v>
      </c>
      <c r="C311" t="str">
        <f>[2]women!C91</f>
        <v>Sinacheva, Svetlana</v>
      </c>
      <c r="D311" t="str">
        <f>[2]women!E91</f>
        <v>RUS</v>
      </c>
      <c r="E311" s="3">
        <f>[2]women!F91</f>
        <v>41019</v>
      </c>
      <c r="F311" t="str">
        <f>[2]women!G91</f>
        <v>Rostov</v>
      </c>
      <c r="G311" t="str">
        <f>[2]women!H91</f>
        <v xml:space="preserve"> </v>
      </c>
    </row>
    <row r="312" spans="1:8" x14ac:dyDescent="0.25">
      <c r="A312" s="1">
        <f>[2]women!A92</f>
        <v>82.5</v>
      </c>
      <c r="B312" s="1">
        <f>[2]women!B92</f>
        <v>80</v>
      </c>
      <c r="C312" t="str">
        <f>[2]women!C92</f>
        <v>Charkova Lidiya</v>
      </c>
      <c r="D312" t="str">
        <f>[2]women!E92</f>
        <v>RUS</v>
      </c>
      <c r="E312" s="3" t="str">
        <f>[2]women!F92</f>
        <v>22.08.2014</v>
      </c>
      <c r="F312" t="str">
        <f>[2]women!G92</f>
        <v>Moscow</v>
      </c>
      <c r="G312" t="str">
        <f>[2]women!H92</f>
        <v xml:space="preserve"> </v>
      </c>
    </row>
    <row r="313" spans="1:8" x14ac:dyDescent="0.25">
      <c r="A313" s="1">
        <f>[2]women!A93</f>
        <v>90</v>
      </c>
      <c r="B313" s="1">
        <f>[2]women!B93</f>
        <v>95</v>
      </c>
      <c r="C313" t="str">
        <f>[2]women!C93</f>
        <v>Muliner,Kathy</v>
      </c>
      <c r="D313" t="str">
        <f>[2]women!E93</f>
        <v>USA</v>
      </c>
      <c r="E313" s="3">
        <f>[2]women!F93</f>
        <v>41515</v>
      </c>
      <c r="F313" t="str">
        <f>[2]women!G93</f>
        <v>Idaho Falls</v>
      </c>
      <c r="G313" t="str">
        <f>[2]women!H93</f>
        <v xml:space="preserve"> </v>
      </c>
    </row>
    <row r="314" spans="1:8" x14ac:dyDescent="0.25">
      <c r="A314" s="1" t="str">
        <f>[2]women!A94</f>
        <v>90+</v>
      </c>
      <c r="B314" s="1">
        <f>[2]women!B94</f>
        <v>92.5</v>
      </c>
      <c r="C314" t="str">
        <f>[2]women!C94</f>
        <v>Miliner,Kathy</v>
      </c>
      <c r="D314" t="str">
        <f>[2]women!E94</f>
        <v>USA</v>
      </c>
      <c r="E314" s="3">
        <f>[2]women!F94</f>
        <v>41151</v>
      </c>
      <c r="F314" t="str">
        <f>[2]women!G94</f>
        <v>Idaho Falls</v>
      </c>
      <c r="G314" t="str">
        <f>[2]women!H94</f>
        <v>4thj</v>
      </c>
    </row>
    <row r="315" spans="1:8" x14ac:dyDescent="0.25">
      <c r="E315" s="3"/>
      <c r="F315"/>
    </row>
    <row r="316" spans="1:8" s="11" customFormat="1" x14ac:dyDescent="0.25">
      <c r="A316" s="22" t="s">
        <v>0</v>
      </c>
      <c r="B316" s="22">
        <v>0</v>
      </c>
      <c r="C316" s="11">
        <v>50</v>
      </c>
      <c r="D316" s="11" t="str">
        <f>[2]women!C95</f>
        <v xml:space="preserve">50-54 </v>
      </c>
      <c r="E316" s="11" t="str">
        <f>[2]women!E95</f>
        <v xml:space="preserve"> </v>
      </c>
      <c r="F316" s="15" t="str">
        <f>[2]women!F95</f>
        <v xml:space="preserve"> </v>
      </c>
      <c r="G316" s="11" t="str">
        <f>[2]women!G95</f>
        <v xml:space="preserve"> </v>
      </c>
      <c r="H316" s="11" t="str">
        <f>[2]women!H95</f>
        <v xml:space="preserve"> </v>
      </c>
    </row>
    <row r="317" spans="1:8" x14ac:dyDescent="0.25">
      <c r="A317" s="1">
        <f>[2]women!A96</f>
        <v>44</v>
      </c>
      <c r="B317" s="1" t="str">
        <f>[2]women!B96</f>
        <v xml:space="preserve"> </v>
      </c>
      <c r="C317" t="str">
        <f>[2]women!C96</f>
        <v xml:space="preserve"> </v>
      </c>
      <c r="D317" t="str">
        <f>[2]women!E96</f>
        <v xml:space="preserve"> </v>
      </c>
      <c r="E317" s="3" t="str">
        <f>[2]women!F96</f>
        <v xml:space="preserve"> </v>
      </c>
      <c r="F317" t="str">
        <f>[2]women!G96</f>
        <v xml:space="preserve"> </v>
      </c>
      <c r="H317" t="str">
        <f>[2]women!H96</f>
        <v xml:space="preserve"> </v>
      </c>
    </row>
    <row r="318" spans="1:8" x14ac:dyDescent="0.25">
      <c r="A318" s="1">
        <f>[2]women!A97</f>
        <v>48</v>
      </c>
      <c r="B318" s="1" t="str">
        <f>[2]women!B97</f>
        <v xml:space="preserve"> </v>
      </c>
      <c r="C318" t="str">
        <f>[2]women!C97</f>
        <v xml:space="preserve"> </v>
      </c>
      <c r="D318" t="str">
        <f>[2]women!E97</f>
        <v xml:space="preserve"> </v>
      </c>
      <c r="E318" s="3" t="str">
        <f>[2]women!F97</f>
        <v xml:space="preserve"> </v>
      </c>
      <c r="F318" t="str">
        <f>[2]women!G97</f>
        <v xml:space="preserve"> </v>
      </c>
      <c r="H318" t="str">
        <f>[2]women!H97</f>
        <v xml:space="preserve"> </v>
      </c>
    </row>
    <row r="319" spans="1:8" x14ac:dyDescent="0.25">
      <c r="A319" s="1">
        <f>[2]women!A98</f>
        <v>52</v>
      </c>
      <c r="B319" s="1">
        <f>[2]women!B98</f>
        <v>55</v>
      </c>
      <c r="C319" t="str">
        <f>[2]women!C98</f>
        <v>Telegina,Tatyana</v>
      </c>
      <c r="D319" t="str">
        <f>[2]women!E98</f>
        <v>RUS</v>
      </c>
      <c r="E319" s="3">
        <f>[2]women!F98</f>
        <v>41137</v>
      </c>
      <c r="F319" t="str">
        <f>[2]women!G98</f>
        <v>Novosibirsk</v>
      </c>
      <c r="H319" t="str">
        <f>[2]women!H98</f>
        <v xml:space="preserve"> </v>
      </c>
    </row>
    <row r="320" spans="1:8" x14ac:dyDescent="0.25">
      <c r="A320" s="1">
        <f>[2]women!A99</f>
        <v>56</v>
      </c>
      <c r="B320" s="1" t="str">
        <f>[2]women!B99</f>
        <v xml:space="preserve"> </v>
      </c>
      <c r="C320" t="str">
        <f>[2]women!C99</f>
        <v xml:space="preserve"> </v>
      </c>
      <c r="D320" t="str">
        <f>[2]women!E99</f>
        <v xml:space="preserve"> </v>
      </c>
      <c r="E320" s="3" t="str">
        <f>[2]women!F99</f>
        <v xml:space="preserve"> </v>
      </c>
      <c r="F320" t="str">
        <f>[2]women!G99</f>
        <v xml:space="preserve"> </v>
      </c>
      <c r="H320" t="str">
        <f>[2]women!H99</f>
        <v xml:space="preserve"> </v>
      </c>
    </row>
    <row r="321" spans="1:8" x14ac:dyDescent="0.25">
      <c r="A321" s="1">
        <f>[2]women!A100</f>
        <v>60</v>
      </c>
      <c r="B321" s="1" t="str">
        <f>[2]women!B100</f>
        <v xml:space="preserve"> </v>
      </c>
      <c r="C321" t="str">
        <f>[2]women!C100</f>
        <v xml:space="preserve"> </v>
      </c>
      <c r="D321" t="str">
        <f>[2]women!E100</f>
        <v xml:space="preserve"> </v>
      </c>
      <c r="E321" s="3" t="str">
        <f>[2]women!F100</f>
        <v xml:space="preserve"> </v>
      </c>
      <c r="F321" t="str">
        <f>[2]women!G100</f>
        <v xml:space="preserve"> </v>
      </c>
      <c r="H321" t="str">
        <f>[2]women!H100</f>
        <v xml:space="preserve"> </v>
      </c>
    </row>
    <row r="322" spans="1:8" x14ac:dyDescent="0.25">
      <c r="A322" s="1">
        <f>[2]women!A101</f>
        <v>67.5</v>
      </c>
      <c r="B322" s="1">
        <f>[2]women!B101</f>
        <v>77.5</v>
      </c>
      <c r="C322" t="str">
        <f>[2]women!C101</f>
        <v>Damminga Debbie</v>
      </c>
      <c r="D322" t="str">
        <f>[2]women!E101</f>
        <v>USA</v>
      </c>
      <c r="E322" s="3">
        <f>[2]women!F101</f>
        <v>41390</v>
      </c>
      <c r="F322" t="str">
        <f>[2]women!G101</f>
        <v>Grand Rapids,MI</v>
      </c>
      <c r="H322" t="str">
        <f>[2]women!H101</f>
        <v xml:space="preserve"> </v>
      </c>
    </row>
    <row r="323" spans="1:8" x14ac:dyDescent="0.25">
      <c r="A323" s="1">
        <f>[2]women!A102</f>
        <v>75</v>
      </c>
      <c r="B323" s="1">
        <f>[2]women!B102</f>
        <v>65</v>
      </c>
      <c r="C323" t="str">
        <f>[2]women!C102</f>
        <v>Sheremenko, Svitlana</v>
      </c>
      <c r="D323" t="str">
        <f>[2]women!E102</f>
        <v>UKR</v>
      </c>
      <c r="E323" s="3">
        <f>[2]women!F102</f>
        <v>40088</v>
      </c>
      <c r="F323" t="str">
        <f>[2]women!G102</f>
        <v>Rostov</v>
      </c>
      <c r="H323" t="str">
        <f>[2]women!H102</f>
        <v xml:space="preserve"> </v>
      </c>
    </row>
    <row r="324" spans="1:8" x14ac:dyDescent="0.25">
      <c r="A324" s="1">
        <f>[2]women!A103</f>
        <v>82.5</v>
      </c>
      <c r="B324" s="1">
        <f>[2]women!B103</f>
        <v>90</v>
      </c>
      <c r="C324" t="str">
        <f>[2]women!C103</f>
        <v>Tsukanova, Natalya</v>
      </c>
      <c r="D324" t="str">
        <f>[2]women!E103</f>
        <v>UKR</v>
      </c>
      <c r="E324" s="3">
        <f>[2]women!F103</f>
        <v>40088</v>
      </c>
      <c r="F324" t="str">
        <f>[2]women!G103</f>
        <v>Rostov</v>
      </c>
      <c r="H324" t="str">
        <f>[2]women!H103</f>
        <v xml:space="preserve"> </v>
      </c>
    </row>
    <row r="325" spans="1:8" x14ac:dyDescent="0.25">
      <c r="A325" s="1">
        <f>[2]women!A104</f>
        <v>90</v>
      </c>
      <c r="B325" s="1">
        <f>[2]women!B104</f>
        <v>52.5</v>
      </c>
      <c r="C325" t="str">
        <f>[2]women!C104</f>
        <v>Gavrilova Olga</v>
      </c>
      <c r="D325" t="str">
        <f>[2]women!E104</f>
        <v>RUS</v>
      </c>
      <c r="E325" s="3">
        <f>[2]women!F104</f>
        <v>41618</v>
      </c>
      <c r="F325" t="str">
        <f>[2]women!G104</f>
        <v>Kursk</v>
      </c>
      <c r="H325" t="str">
        <f>[2]women!H104</f>
        <v xml:space="preserve"> </v>
      </c>
    </row>
    <row r="326" spans="1:8" x14ac:dyDescent="0.25">
      <c r="A326" s="1" t="str">
        <f>[2]women!A105</f>
        <v>90+</v>
      </c>
      <c r="B326" s="1" t="str">
        <f>[2]women!B105</f>
        <v xml:space="preserve"> </v>
      </c>
      <c r="C326" t="str">
        <f>[2]women!C105</f>
        <v xml:space="preserve"> </v>
      </c>
      <c r="D326" t="str">
        <f>[2]women!E105</f>
        <v xml:space="preserve"> </v>
      </c>
      <c r="E326" s="3" t="str">
        <f>[2]women!F105</f>
        <v xml:space="preserve"> </v>
      </c>
      <c r="F326" t="str">
        <f>[2]women!G105</f>
        <v xml:space="preserve"> </v>
      </c>
      <c r="H326" t="str">
        <f>[2]women!H105</f>
        <v xml:space="preserve"> </v>
      </c>
    </row>
    <row r="327" spans="1:8" x14ac:dyDescent="0.25">
      <c r="E327" s="3"/>
      <c r="F327"/>
    </row>
    <row r="328" spans="1:8" s="11" customFormat="1" x14ac:dyDescent="0.25">
      <c r="A328" s="22" t="s">
        <v>0</v>
      </c>
      <c r="B328" s="22">
        <v>0</v>
      </c>
      <c r="C328" s="11">
        <v>55</v>
      </c>
      <c r="D328" s="11" t="str">
        <f>[2]women!C106</f>
        <v xml:space="preserve">55-59 </v>
      </c>
      <c r="E328" s="11" t="str">
        <f>[2]women!E106</f>
        <v xml:space="preserve"> </v>
      </c>
      <c r="F328" s="15" t="str">
        <f>[2]women!F106</f>
        <v xml:space="preserve"> </v>
      </c>
      <c r="G328" s="11" t="str">
        <f>[2]women!G106</f>
        <v xml:space="preserve"> </v>
      </c>
      <c r="H328" s="11" t="str">
        <f>[2]women!H106</f>
        <v xml:space="preserve"> </v>
      </c>
    </row>
    <row r="329" spans="1:8" x14ac:dyDescent="0.25">
      <c r="A329" s="1">
        <f>[2]women!A107</f>
        <v>44</v>
      </c>
      <c r="B329" s="1" t="str">
        <f>[2]women!B107</f>
        <v xml:space="preserve"> </v>
      </c>
      <c r="C329" t="str">
        <f>[2]women!C107</f>
        <v xml:space="preserve"> </v>
      </c>
      <c r="D329" t="str">
        <f>[2]women!E107</f>
        <v xml:space="preserve"> </v>
      </c>
      <c r="E329" s="3" t="str">
        <f>[2]women!F107</f>
        <v xml:space="preserve"> </v>
      </c>
      <c r="F329" t="str">
        <f>[2]women!G107</f>
        <v xml:space="preserve"> </v>
      </c>
      <c r="G329" t="str">
        <f>[2]women!H107</f>
        <v xml:space="preserve"> </v>
      </c>
    </row>
    <row r="330" spans="1:8" x14ac:dyDescent="0.25">
      <c r="A330" s="1">
        <f>[2]women!A108</f>
        <v>48</v>
      </c>
      <c r="B330" s="1" t="str">
        <f>[2]women!B108</f>
        <v xml:space="preserve"> </v>
      </c>
      <c r="C330" t="str">
        <f>[2]women!C108</f>
        <v xml:space="preserve"> </v>
      </c>
      <c r="D330" t="str">
        <f>[2]women!E108</f>
        <v xml:space="preserve"> </v>
      </c>
      <c r="E330" s="3" t="str">
        <f>[2]women!F108</f>
        <v xml:space="preserve"> </v>
      </c>
      <c r="F330" t="str">
        <f>[2]women!G108</f>
        <v xml:space="preserve"> </v>
      </c>
      <c r="G330" t="str">
        <f>[2]women!H108</f>
        <v xml:space="preserve"> </v>
      </c>
    </row>
    <row r="331" spans="1:8" x14ac:dyDescent="0.25">
      <c r="A331" s="1">
        <f>[2]women!A109</f>
        <v>52</v>
      </c>
      <c r="B331" s="1" t="str">
        <f>[2]women!B109</f>
        <v xml:space="preserve"> </v>
      </c>
      <c r="C331" t="str">
        <f>[2]women!C109</f>
        <v xml:space="preserve"> </v>
      </c>
      <c r="D331" t="str">
        <f>[2]women!E109</f>
        <v xml:space="preserve"> </v>
      </c>
      <c r="E331" s="3" t="str">
        <f>[2]women!F109</f>
        <v xml:space="preserve"> </v>
      </c>
      <c r="F331" t="str">
        <f>[2]women!G109</f>
        <v xml:space="preserve"> </v>
      </c>
      <c r="G331" t="str">
        <f>[2]women!H109</f>
        <v xml:space="preserve"> </v>
      </c>
    </row>
    <row r="332" spans="1:8" x14ac:dyDescent="0.25">
      <c r="A332" s="1">
        <f>[2]women!A110</f>
        <v>56</v>
      </c>
      <c r="B332" s="1">
        <f>[2]women!B110</f>
        <v>75</v>
      </c>
      <c r="C332" t="str">
        <f>[2]women!C110</f>
        <v>Miller, Hedy</v>
      </c>
      <c r="D332" t="str">
        <f>[2]women!E110</f>
        <v>USA</v>
      </c>
      <c r="E332" s="3">
        <f>[2]women!F110</f>
        <v>39876</v>
      </c>
      <c r="F332" t="str">
        <f>[2]women!G110</f>
        <v>Idaho Falls</v>
      </c>
      <c r="G332" t="str">
        <f>[2]women!H110</f>
        <v xml:space="preserve"> </v>
      </c>
    </row>
    <row r="333" spans="1:8" x14ac:dyDescent="0.25">
      <c r="A333" s="1">
        <f>[2]women!A111</f>
        <v>60</v>
      </c>
      <c r="B333" s="1" t="str">
        <f>[2]women!B111</f>
        <v xml:space="preserve"> </v>
      </c>
      <c r="C333" t="str">
        <f>[2]women!C111</f>
        <v xml:space="preserve"> </v>
      </c>
      <c r="D333" t="str">
        <f>[2]women!E111</f>
        <v xml:space="preserve"> </v>
      </c>
      <c r="E333" s="3" t="str">
        <f>[2]women!F111</f>
        <v xml:space="preserve"> </v>
      </c>
      <c r="F333" t="str">
        <f>[2]women!G111</f>
        <v xml:space="preserve"> </v>
      </c>
      <c r="G333" t="str">
        <f>[2]women!H111</f>
        <v xml:space="preserve"> </v>
      </c>
    </row>
    <row r="334" spans="1:8" x14ac:dyDescent="0.25">
      <c r="A334" s="1">
        <f>[2]women!A112</f>
        <v>67.5</v>
      </c>
      <c r="B334" s="1">
        <f>[2]women!B112</f>
        <v>60</v>
      </c>
      <c r="C334" t="str">
        <f>[2]women!C112</f>
        <v>Shabanova,Nadezhda</v>
      </c>
      <c r="D334" t="str">
        <f>[2]women!E112</f>
        <v>RUS</v>
      </c>
      <c r="E334" s="3">
        <f>[2]women!F112</f>
        <v>40424</v>
      </c>
      <c r="F334" t="str">
        <f>[2]women!G112</f>
        <v>Idaho Falls</v>
      </c>
      <c r="G334" t="str">
        <f>[2]women!H112</f>
        <v xml:space="preserve"> </v>
      </c>
    </row>
    <row r="335" spans="1:8" x14ac:dyDescent="0.25">
      <c r="A335" s="1">
        <f>[2]women!A113</f>
        <v>75</v>
      </c>
      <c r="B335" s="1" t="str">
        <f>[2]women!B113</f>
        <v xml:space="preserve"> </v>
      </c>
      <c r="C335" t="str">
        <f>[2]women!C113</f>
        <v xml:space="preserve"> </v>
      </c>
      <c r="D335" t="str">
        <f>[2]women!E113</f>
        <v xml:space="preserve"> </v>
      </c>
      <c r="E335" s="3" t="str">
        <f>[2]women!F113</f>
        <v xml:space="preserve"> </v>
      </c>
      <c r="F335" t="str">
        <f>[2]women!G113</f>
        <v xml:space="preserve"> </v>
      </c>
      <c r="G335" t="str">
        <f>[2]women!H113</f>
        <v xml:space="preserve"> </v>
      </c>
    </row>
    <row r="336" spans="1:8" x14ac:dyDescent="0.25">
      <c r="A336" s="1">
        <f>[2]women!A114</f>
        <v>82.5</v>
      </c>
      <c r="B336" s="1" t="str">
        <f>[2]women!B114</f>
        <v xml:space="preserve"> </v>
      </c>
      <c r="C336" t="str">
        <f>[2]women!C114</f>
        <v xml:space="preserve"> </v>
      </c>
      <c r="D336" t="str">
        <f>[2]women!E114</f>
        <v xml:space="preserve"> </v>
      </c>
      <c r="E336" s="3" t="str">
        <f>[2]women!F114</f>
        <v xml:space="preserve"> </v>
      </c>
      <c r="F336" t="str">
        <f>[2]women!G114</f>
        <v xml:space="preserve"> </v>
      </c>
      <c r="G336" t="str">
        <f>[2]women!H114</f>
        <v xml:space="preserve"> </v>
      </c>
    </row>
    <row r="337" spans="1:8" x14ac:dyDescent="0.25">
      <c r="A337" s="1">
        <f>[2]women!A115</f>
        <v>90</v>
      </c>
      <c r="B337" s="1" t="str">
        <f>[2]women!B115</f>
        <v xml:space="preserve"> </v>
      </c>
      <c r="C337" t="str">
        <f>[2]women!C115</f>
        <v xml:space="preserve"> </v>
      </c>
      <c r="D337" t="str">
        <f>[2]women!E115</f>
        <v xml:space="preserve"> </v>
      </c>
      <c r="E337" s="3" t="str">
        <f>[2]women!F115</f>
        <v xml:space="preserve"> </v>
      </c>
      <c r="F337" t="str">
        <f>[2]women!G115</f>
        <v xml:space="preserve"> </v>
      </c>
      <c r="G337" t="str">
        <f>[2]women!H115</f>
        <v xml:space="preserve"> </v>
      </c>
    </row>
    <row r="338" spans="1:8" x14ac:dyDescent="0.25">
      <c r="A338" s="1" t="str">
        <f>[2]women!A116</f>
        <v>90+</v>
      </c>
      <c r="B338" s="1" t="str">
        <f>[2]women!B116</f>
        <v xml:space="preserve"> </v>
      </c>
      <c r="C338" t="str">
        <f>[2]women!C116</f>
        <v xml:space="preserve"> </v>
      </c>
      <c r="D338" t="str">
        <f>[2]women!E116</f>
        <v xml:space="preserve"> </v>
      </c>
      <c r="E338" s="3" t="str">
        <f>[2]women!F116</f>
        <v xml:space="preserve"> </v>
      </c>
      <c r="F338" t="str">
        <f>[2]women!G116</f>
        <v xml:space="preserve"> </v>
      </c>
      <c r="G338" t="str">
        <f>[2]women!H116</f>
        <v xml:space="preserve"> </v>
      </c>
    </row>
    <row r="339" spans="1:8" x14ac:dyDescent="0.25">
      <c r="E339" s="3"/>
      <c r="F339"/>
    </row>
    <row r="340" spans="1:8" s="11" customFormat="1" x14ac:dyDescent="0.25">
      <c r="A340" s="22" t="s">
        <v>0</v>
      </c>
      <c r="B340" s="22">
        <v>0</v>
      </c>
      <c r="C340" s="11">
        <v>60</v>
      </c>
      <c r="D340" s="11" t="str">
        <f>[2]women!C117</f>
        <v xml:space="preserve">60-64 </v>
      </c>
      <c r="E340" s="11" t="str">
        <f>[2]women!E117</f>
        <v xml:space="preserve"> </v>
      </c>
      <c r="F340" s="15" t="str">
        <f>[2]women!F117</f>
        <v xml:space="preserve"> </v>
      </c>
      <c r="G340" s="11" t="str">
        <f>[2]women!G117</f>
        <v xml:space="preserve"> </v>
      </c>
      <c r="H340" s="11" t="str">
        <f>[2]women!H117</f>
        <v xml:space="preserve"> </v>
      </c>
    </row>
    <row r="341" spans="1:8" x14ac:dyDescent="0.25">
      <c r="A341" s="1">
        <f>[2]women!A118</f>
        <v>44</v>
      </c>
      <c r="B341" s="1" t="str">
        <f>[2]women!B118</f>
        <v xml:space="preserve"> </v>
      </c>
      <c r="C341" t="str">
        <f>[2]women!C118</f>
        <v xml:space="preserve"> </v>
      </c>
      <c r="D341" t="str">
        <f>[2]women!E118</f>
        <v xml:space="preserve"> </v>
      </c>
      <c r="E341" s="3" t="str">
        <f>[2]women!F118</f>
        <v xml:space="preserve"> </v>
      </c>
      <c r="F341" t="str">
        <f>[2]women!G118</f>
        <v xml:space="preserve"> </v>
      </c>
      <c r="G341" t="str">
        <f>[2]women!H118</f>
        <v xml:space="preserve"> </v>
      </c>
    </row>
    <row r="342" spans="1:8" x14ac:dyDescent="0.25">
      <c r="A342" s="1">
        <f>[2]women!A119</f>
        <v>48</v>
      </c>
      <c r="B342" s="1" t="str">
        <f>[2]women!B119</f>
        <v xml:space="preserve"> </v>
      </c>
      <c r="C342" t="str">
        <f>[2]women!C119</f>
        <v xml:space="preserve"> </v>
      </c>
      <c r="D342" t="str">
        <f>[2]women!E119</f>
        <v xml:space="preserve"> </v>
      </c>
      <c r="E342" s="3" t="str">
        <f>[2]women!F119</f>
        <v xml:space="preserve"> </v>
      </c>
      <c r="F342" t="str">
        <f>[2]women!G119</f>
        <v xml:space="preserve"> </v>
      </c>
      <c r="G342" t="str">
        <f>[2]women!H119</f>
        <v xml:space="preserve"> </v>
      </c>
    </row>
    <row r="343" spans="1:8" x14ac:dyDescent="0.25">
      <c r="A343" s="1">
        <f>[2]women!A120</f>
        <v>52</v>
      </c>
      <c r="B343" s="1" t="str">
        <f>[2]women!B120</f>
        <v xml:space="preserve"> </v>
      </c>
      <c r="C343" t="str">
        <f>[2]women!C120</f>
        <v xml:space="preserve"> </v>
      </c>
      <c r="D343" t="str">
        <f>[2]women!E120</f>
        <v xml:space="preserve"> </v>
      </c>
      <c r="E343" s="3" t="str">
        <f>[2]women!F120</f>
        <v xml:space="preserve"> </v>
      </c>
      <c r="F343" t="str">
        <f>[2]women!G120</f>
        <v xml:space="preserve"> </v>
      </c>
      <c r="G343" t="str">
        <f>[2]women!H120</f>
        <v xml:space="preserve"> </v>
      </c>
    </row>
    <row r="344" spans="1:8" x14ac:dyDescent="0.25">
      <c r="A344" s="1">
        <f>[2]women!A121</f>
        <v>56</v>
      </c>
      <c r="B344" s="1" t="str">
        <f>[2]women!B121</f>
        <v xml:space="preserve"> </v>
      </c>
      <c r="C344" t="str">
        <f>[2]women!C121</f>
        <v xml:space="preserve"> </v>
      </c>
      <c r="D344" t="str">
        <f>[2]women!E121</f>
        <v xml:space="preserve"> </v>
      </c>
      <c r="E344" s="3" t="str">
        <f>[2]women!F121</f>
        <v xml:space="preserve"> </v>
      </c>
      <c r="F344" t="str">
        <f>[2]women!G121</f>
        <v xml:space="preserve"> </v>
      </c>
      <c r="G344" t="str">
        <f>[2]women!H121</f>
        <v xml:space="preserve"> </v>
      </c>
    </row>
    <row r="345" spans="1:8" x14ac:dyDescent="0.25">
      <c r="A345" s="1">
        <f>[2]women!A122</f>
        <v>60</v>
      </c>
      <c r="B345" s="1">
        <f>[2]women!B122</f>
        <v>47.5</v>
      </c>
      <c r="C345" t="str">
        <f>[2]women!C122</f>
        <v>Kondratyeva,Galina</v>
      </c>
      <c r="D345" t="str">
        <f>[2]women!E122</f>
        <v>RUS</v>
      </c>
      <c r="E345" s="3" t="str">
        <f>[2]women!F122</f>
        <v>22.08.2014</v>
      </c>
      <c r="F345" t="str">
        <f>[2]women!G122</f>
        <v>Moscow</v>
      </c>
      <c r="G345" t="str">
        <f>[2]women!H122</f>
        <v xml:space="preserve"> </v>
      </c>
    </row>
    <row r="346" spans="1:8" x14ac:dyDescent="0.25">
      <c r="A346" s="1">
        <f>[2]women!A123</f>
        <v>67.5</v>
      </c>
      <c r="B346" s="1" t="str">
        <f>[2]women!B123</f>
        <v xml:space="preserve"> </v>
      </c>
      <c r="C346" t="str">
        <f>[2]women!C123</f>
        <v xml:space="preserve"> </v>
      </c>
      <c r="D346" t="str">
        <f>[2]women!E123</f>
        <v xml:space="preserve"> </v>
      </c>
      <c r="E346" s="3" t="str">
        <f>[2]women!F123</f>
        <v xml:space="preserve"> </v>
      </c>
      <c r="F346" t="str">
        <f>[2]women!G123</f>
        <v xml:space="preserve"> </v>
      </c>
      <c r="G346" t="str">
        <f>[2]women!H123</f>
        <v xml:space="preserve"> </v>
      </c>
    </row>
    <row r="347" spans="1:8" x14ac:dyDescent="0.25">
      <c r="A347" s="1">
        <f>[2]women!A124</f>
        <v>75</v>
      </c>
      <c r="B347" s="1" t="str">
        <f>[2]women!B124</f>
        <v xml:space="preserve"> </v>
      </c>
      <c r="C347" t="str">
        <f>[2]women!C124</f>
        <v xml:space="preserve"> </v>
      </c>
      <c r="D347" t="str">
        <f>[2]women!E124</f>
        <v xml:space="preserve"> </v>
      </c>
      <c r="E347" s="3" t="str">
        <f>[2]women!F124</f>
        <v xml:space="preserve"> </v>
      </c>
      <c r="F347" t="str">
        <f>[2]women!G124</f>
        <v xml:space="preserve"> </v>
      </c>
      <c r="G347" t="str">
        <f>[2]women!H124</f>
        <v xml:space="preserve"> </v>
      </c>
    </row>
    <row r="348" spans="1:8" x14ac:dyDescent="0.25">
      <c r="A348" s="1">
        <f>[2]women!A125</f>
        <v>82.5</v>
      </c>
      <c r="B348" s="1" t="str">
        <f>[2]women!B125</f>
        <v xml:space="preserve"> </v>
      </c>
      <c r="C348" t="str">
        <f>[2]women!C125</f>
        <v xml:space="preserve"> </v>
      </c>
      <c r="D348" t="str">
        <f>[2]women!E125</f>
        <v xml:space="preserve"> </v>
      </c>
      <c r="E348" s="3" t="str">
        <f>[2]women!F125</f>
        <v xml:space="preserve"> </v>
      </c>
      <c r="F348" t="str">
        <f>[2]women!G125</f>
        <v xml:space="preserve"> </v>
      </c>
      <c r="G348" t="str">
        <f>[2]women!H125</f>
        <v xml:space="preserve"> </v>
      </c>
    </row>
    <row r="349" spans="1:8" x14ac:dyDescent="0.25">
      <c r="A349" s="1">
        <f>[2]women!A126</f>
        <v>90</v>
      </c>
      <c r="B349" s="1" t="str">
        <f>[2]women!B126</f>
        <v xml:space="preserve"> </v>
      </c>
      <c r="C349" t="str">
        <f>[2]women!C126</f>
        <v xml:space="preserve"> </v>
      </c>
      <c r="D349" t="str">
        <f>[2]women!E126</f>
        <v xml:space="preserve"> </v>
      </c>
      <c r="E349" s="3" t="str">
        <f>[2]women!F126</f>
        <v xml:space="preserve"> </v>
      </c>
      <c r="F349" t="str">
        <f>[2]women!G126</f>
        <v xml:space="preserve"> </v>
      </c>
      <c r="G349" t="str">
        <f>[2]women!H126</f>
        <v xml:space="preserve"> </v>
      </c>
    </row>
    <row r="350" spans="1:8" x14ac:dyDescent="0.25">
      <c r="A350" s="1" t="str">
        <f>[2]women!A127</f>
        <v>90+</v>
      </c>
      <c r="B350" s="1" t="str">
        <f>[2]women!B127</f>
        <v xml:space="preserve"> </v>
      </c>
      <c r="C350" t="str">
        <f>[2]women!C127</f>
        <v xml:space="preserve"> </v>
      </c>
      <c r="D350" t="str">
        <f>[2]women!E127</f>
        <v xml:space="preserve"> </v>
      </c>
      <c r="E350" s="3" t="str">
        <f>[2]women!F127</f>
        <v xml:space="preserve"> </v>
      </c>
      <c r="F350" t="str">
        <f>[2]women!G127</f>
        <v xml:space="preserve"> </v>
      </c>
      <c r="G350" t="str">
        <f>[2]women!H127</f>
        <v xml:space="preserve"> </v>
      </c>
    </row>
    <row r="351" spans="1:8" x14ac:dyDescent="0.25">
      <c r="E351" s="3"/>
      <c r="F351"/>
    </row>
    <row r="352" spans="1:8" s="11" customFormat="1" x14ac:dyDescent="0.25">
      <c r="A352" s="22" t="s">
        <v>0</v>
      </c>
      <c r="B352" s="22">
        <v>0</v>
      </c>
      <c r="C352" s="11">
        <v>65</v>
      </c>
      <c r="D352" s="11" t="str">
        <f>[2]women!C128</f>
        <v xml:space="preserve">65-69 </v>
      </c>
      <c r="E352" s="11" t="str">
        <f>[2]women!E128</f>
        <v xml:space="preserve"> </v>
      </c>
      <c r="F352" s="15" t="str">
        <f>[2]women!F128</f>
        <v xml:space="preserve"> </v>
      </c>
      <c r="G352" s="11" t="str">
        <f>[2]women!G128</f>
        <v xml:space="preserve"> </v>
      </c>
      <c r="H352" s="11" t="str">
        <f>[2]women!H128</f>
        <v xml:space="preserve"> </v>
      </c>
    </row>
    <row r="353" spans="1:8" x14ac:dyDescent="0.25">
      <c r="A353" s="1">
        <f>[2]women!A129</f>
        <v>44</v>
      </c>
      <c r="B353" s="1" t="str">
        <f>[2]women!B129</f>
        <v xml:space="preserve"> </v>
      </c>
      <c r="C353" t="str">
        <f>[2]women!C129</f>
        <v xml:space="preserve"> </v>
      </c>
      <c r="D353" t="str">
        <f>[2]women!E129</f>
        <v xml:space="preserve"> </v>
      </c>
      <c r="E353" s="3" t="str">
        <f>[2]women!F129</f>
        <v xml:space="preserve"> </v>
      </c>
      <c r="F353" t="str">
        <f>[2]women!G129</f>
        <v xml:space="preserve"> </v>
      </c>
      <c r="G353" t="str">
        <f>[2]women!H129</f>
        <v xml:space="preserve"> </v>
      </c>
    </row>
    <row r="354" spans="1:8" x14ac:dyDescent="0.25">
      <c r="A354" s="1">
        <f>[2]women!A130</f>
        <v>48</v>
      </c>
      <c r="B354" s="1" t="str">
        <f>[2]women!B130</f>
        <v xml:space="preserve"> </v>
      </c>
      <c r="C354" t="str">
        <f>[2]women!C130</f>
        <v xml:space="preserve"> </v>
      </c>
      <c r="D354" t="str">
        <f>[2]women!E130</f>
        <v xml:space="preserve"> </v>
      </c>
      <c r="E354" s="3" t="str">
        <f>[2]women!F130</f>
        <v xml:space="preserve"> </v>
      </c>
      <c r="F354" t="str">
        <f>[2]women!G130</f>
        <v xml:space="preserve"> </v>
      </c>
      <c r="G354" t="str">
        <f>[2]women!H130</f>
        <v xml:space="preserve"> </v>
      </c>
    </row>
    <row r="355" spans="1:8" x14ac:dyDescent="0.25">
      <c r="A355" s="1">
        <f>[2]women!A131</f>
        <v>52</v>
      </c>
      <c r="B355" s="1" t="str">
        <f>[2]women!B131</f>
        <v xml:space="preserve"> </v>
      </c>
      <c r="C355" t="str">
        <f>[2]women!C131</f>
        <v xml:space="preserve"> </v>
      </c>
      <c r="D355" t="str">
        <f>[2]women!E131</f>
        <v xml:space="preserve"> </v>
      </c>
      <c r="E355" s="3" t="str">
        <f>[2]women!F131</f>
        <v xml:space="preserve"> </v>
      </c>
      <c r="F355" t="str">
        <f>[2]women!G131</f>
        <v xml:space="preserve"> </v>
      </c>
      <c r="G355" t="str">
        <f>[2]women!H131</f>
        <v xml:space="preserve"> </v>
      </c>
    </row>
    <row r="356" spans="1:8" x14ac:dyDescent="0.25">
      <c r="A356" s="1">
        <f>[2]women!A132</f>
        <v>56</v>
      </c>
      <c r="B356" s="1" t="str">
        <f>[2]women!B132</f>
        <v xml:space="preserve"> </v>
      </c>
      <c r="C356" t="str">
        <f>[2]women!C132</f>
        <v xml:space="preserve"> </v>
      </c>
      <c r="D356" t="str">
        <f>[2]women!E132</f>
        <v xml:space="preserve"> </v>
      </c>
      <c r="E356" s="3" t="str">
        <f>[2]women!F132</f>
        <v xml:space="preserve"> </v>
      </c>
      <c r="F356" t="str">
        <f>[2]women!G132</f>
        <v xml:space="preserve"> </v>
      </c>
      <c r="G356" t="str">
        <f>[2]women!H132</f>
        <v xml:space="preserve"> </v>
      </c>
    </row>
    <row r="357" spans="1:8" x14ac:dyDescent="0.25">
      <c r="A357" s="1">
        <f>[2]women!A133</f>
        <v>60</v>
      </c>
      <c r="B357" s="1" t="str">
        <f>[2]women!B133</f>
        <v xml:space="preserve"> </v>
      </c>
      <c r="C357" t="str">
        <f>[2]women!C133</f>
        <v xml:space="preserve"> </v>
      </c>
      <c r="D357" t="str">
        <f>[2]women!E133</f>
        <v xml:space="preserve"> </v>
      </c>
      <c r="E357" s="3" t="str">
        <f>[2]women!F133</f>
        <v xml:space="preserve"> </v>
      </c>
      <c r="F357" t="str">
        <f>[2]women!G133</f>
        <v xml:space="preserve"> </v>
      </c>
      <c r="G357" t="str">
        <f>[2]women!H133</f>
        <v xml:space="preserve"> </v>
      </c>
    </row>
    <row r="358" spans="1:8" x14ac:dyDescent="0.25">
      <c r="A358" s="1">
        <f>[2]women!A134</f>
        <v>67.5</v>
      </c>
      <c r="B358" s="1" t="str">
        <f>[2]women!B134</f>
        <v xml:space="preserve"> </v>
      </c>
      <c r="C358" t="str">
        <f>[2]women!C134</f>
        <v xml:space="preserve"> </v>
      </c>
      <c r="D358" t="str">
        <f>[2]women!E134</f>
        <v xml:space="preserve"> </v>
      </c>
      <c r="E358" s="3" t="str">
        <f>[2]women!F134</f>
        <v xml:space="preserve"> </v>
      </c>
      <c r="F358" t="str">
        <f>[2]women!G134</f>
        <v xml:space="preserve"> </v>
      </c>
      <c r="G358" t="str">
        <f>[2]women!H134</f>
        <v xml:space="preserve"> </v>
      </c>
    </row>
    <row r="359" spans="1:8" x14ac:dyDescent="0.25">
      <c r="A359" s="1">
        <f>[2]women!A135</f>
        <v>75</v>
      </c>
      <c r="B359" s="1" t="str">
        <f>[2]women!B135</f>
        <v xml:space="preserve"> </v>
      </c>
      <c r="C359" t="str">
        <f>[2]women!C135</f>
        <v xml:space="preserve"> </v>
      </c>
      <c r="D359" t="str">
        <f>[2]women!E135</f>
        <v xml:space="preserve"> </v>
      </c>
      <c r="E359" s="3" t="str">
        <f>[2]women!F135</f>
        <v xml:space="preserve"> </v>
      </c>
      <c r="F359" t="str">
        <f>[2]women!G135</f>
        <v xml:space="preserve"> </v>
      </c>
      <c r="G359" t="str">
        <f>[2]women!H135</f>
        <v xml:space="preserve"> </v>
      </c>
    </row>
    <row r="360" spans="1:8" x14ac:dyDescent="0.25">
      <c r="A360" s="1">
        <f>[2]women!A136</f>
        <v>82.5</v>
      </c>
      <c r="B360" s="1">
        <f>[2]women!B136</f>
        <v>32.5</v>
      </c>
      <c r="C360" t="str">
        <f>[2]women!C136</f>
        <v>Sink,Janet</v>
      </c>
      <c r="D360" t="str">
        <f>[2]women!E136</f>
        <v>USA</v>
      </c>
      <c r="E360" s="3">
        <f>[2]women!F136</f>
        <v>41012</v>
      </c>
      <c r="F360" t="str">
        <f>[2]women!G136</f>
        <v>Burr Ridge</v>
      </c>
      <c r="G360" t="str">
        <f>[2]women!H136</f>
        <v xml:space="preserve"> </v>
      </c>
    </row>
    <row r="361" spans="1:8" x14ac:dyDescent="0.25">
      <c r="A361" s="1">
        <f>[2]women!A137</f>
        <v>90</v>
      </c>
      <c r="B361" s="1">
        <f>[2]women!B137</f>
        <v>40</v>
      </c>
      <c r="C361" t="str">
        <f>[2]women!C137</f>
        <v>Sink,Janet</v>
      </c>
      <c r="D361" t="str">
        <f>[2]women!E137</f>
        <v>USA</v>
      </c>
      <c r="E361" s="3">
        <f>[2]women!F137</f>
        <v>40634</v>
      </c>
      <c r="F361" t="str">
        <f>[2]women!G137</f>
        <v>West Palm Beach</v>
      </c>
      <c r="G361" t="str">
        <f>[2]women!H137</f>
        <v xml:space="preserve"> </v>
      </c>
    </row>
    <row r="362" spans="1:8" x14ac:dyDescent="0.25">
      <c r="A362" s="1" t="str">
        <f>[2]women!A138</f>
        <v>90+</v>
      </c>
      <c r="B362" s="1" t="str">
        <f>[2]women!B138</f>
        <v xml:space="preserve"> </v>
      </c>
      <c r="C362" t="str">
        <f>[2]women!C138</f>
        <v xml:space="preserve"> </v>
      </c>
      <c r="D362" t="str">
        <f>[2]women!E138</f>
        <v xml:space="preserve"> </v>
      </c>
      <c r="E362" s="3" t="str">
        <f>[2]women!F138</f>
        <v xml:space="preserve"> </v>
      </c>
      <c r="F362" t="str">
        <f>[2]women!G138</f>
        <v xml:space="preserve"> </v>
      </c>
      <c r="G362" t="str">
        <f>[2]women!H138</f>
        <v xml:space="preserve"> </v>
      </c>
    </row>
    <row r="363" spans="1:8" x14ac:dyDescent="0.25">
      <c r="E363" s="3"/>
      <c r="F363"/>
    </row>
    <row r="364" spans="1:8" s="11" customFormat="1" x14ac:dyDescent="0.25">
      <c r="A364" s="22" t="s">
        <v>0</v>
      </c>
      <c r="B364" s="22">
        <v>0</v>
      </c>
      <c r="C364" s="11">
        <v>70</v>
      </c>
      <c r="D364" s="11" t="str">
        <f>[2]women!C139</f>
        <v xml:space="preserve">70-74 </v>
      </c>
      <c r="E364" s="11" t="str">
        <f>[2]women!E139</f>
        <v xml:space="preserve"> </v>
      </c>
      <c r="F364" s="15" t="str">
        <f>[2]women!F139</f>
        <v xml:space="preserve"> </v>
      </c>
      <c r="G364" s="11" t="str">
        <f>[2]women!G139</f>
        <v xml:space="preserve"> </v>
      </c>
      <c r="H364" s="11" t="str">
        <f>[2]women!H139</f>
        <v xml:space="preserve"> </v>
      </c>
    </row>
    <row r="365" spans="1:8" x14ac:dyDescent="0.25">
      <c r="A365" s="1">
        <f>[2]women!A140</f>
        <v>44</v>
      </c>
      <c r="B365" s="1" t="str">
        <f>[2]women!B140</f>
        <v xml:space="preserve"> </v>
      </c>
      <c r="C365" t="str">
        <f>[2]women!C140</f>
        <v xml:space="preserve"> </v>
      </c>
      <c r="D365" t="str">
        <f>[2]women!E140</f>
        <v xml:space="preserve"> </v>
      </c>
      <c r="E365" s="3" t="str">
        <f>[2]women!F140</f>
        <v xml:space="preserve"> </v>
      </c>
      <c r="F365" t="str">
        <f>[2]women!G140</f>
        <v xml:space="preserve"> </v>
      </c>
      <c r="G365" t="str">
        <f>[2]women!H140</f>
        <v xml:space="preserve"> </v>
      </c>
    </row>
    <row r="366" spans="1:8" x14ac:dyDescent="0.25">
      <c r="A366" s="1">
        <f>[2]women!A141</f>
        <v>48</v>
      </c>
      <c r="B366" s="1" t="str">
        <f>[2]women!B141</f>
        <v xml:space="preserve"> </v>
      </c>
      <c r="C366" t="str">
        <f>[2]women!C141</f>
        <v xml:space="preserve"> </v>
      </c>
      <c r="D366" t="str">
        <f>[2]women!E141</f>
        <v xml:space="preserve"> </v>
      </c>
      <c r="E366" s="3" t="str">
        <f>[2]women!F141</f>
        <v xml:space="preserve"> </v>
      </c>
      <c r="F366" t="str">
        <f>[2]women!G141</f>
        <v xml:space="preserve"> </v>
      </c>
      <c r="G366" t="str">
        <f>[2]women!H141</f>
        <v xml:space="preserve"> </v>
      </c>
    </row>
    <row r="367" spans="1:8" x14ac:dyDescent="0.25">
      <c r="A367" s="1">
        <f>[2]women!A142</f>
        <v>52</v>
      </c>
      <c r="B367" s="1" t="str">
        <f>[2]women!B142</f>
        <v xml:space="preserve"> </v>
      </c>
      <c r="C367" t="str">
        <f>[2]women!C142</f>
        <v xml:space="preserve"> </v>
      </c>
      <c r="D367" t="str">
        <f>[2]women!E142</f>
        <v xml:space="preserve"> </v>
      </c>
      <c r="E367" s="3" t="str">
        <f>[2]women!F142</f>
        <v xml:space="preserve"> </v>
      </c>
      <c r="F367" t="str">
        <f>[2]women!G142</f>
        <v xml:space="preserve"> </v>
      </c>
      <c r="G367" t="str">
        <f>[2]women!H142</f>
        <v xml:space="preserve"> </v>
      </c>
    </row>
    <row r="368" spans="1:8" x14ac:dyDescent="0.25">
      <c r="A368" s="1">
        <f>[2]women!A143</f>
        <v>56</v>
      </c>
      <c r="B368" s="1" t="str">
        <f>[2]women!B143</f>
        <v xml:space="preserve"> </v>
      </c>
      <c r="C368" t="str">
        <f>[2]women!C143</f>
        <v xml:space="preserve"> </v>
      </c>
      <c r="D368" t="str">
        <f>[2]women!E143</f>
        <v xml:space="preserve"> </v>
      </c>
      <c r="E368" s="3" t="str">
        <f>[2]women!F143</f>
        <v xml:space="preserve"> </v>
      </c>
      <c r="F368" t="str">
        <f>[2]women!G143</f>
        <v xml:space="preserve"> </v>
      </c>
      <c r="G368" t="str">
        <f>[2]women!H143</f>
        <v xml:space="preserve"> </v>
      </c>
    </row>
    <row r="369" spans="1:8" x14ac:dyDescent="0.25">
      <c r="A369" s="1">
        <f>[2]women!A144</f>
        <v>60</v>
      </c>
      <c r="B369" s="1" t="str">
        <f>[2]women!B144</f>
        <v xml:space="preserve"> </v>
      </c>
      <c r="C369" t="str">
        <f>[2]women!C144</f>
        <v xml:space="preserve"> </v>
      </c>
      <c r="D369" t="str">
        <f>[2]women!E144</f>
        <v xml:space="preserve"> </v>
      </c>
      <c r="E369" s="3" t="str">
        <f>[2]women!F144</f>
        <v xml:space="preserve"> </v>
      </c>
      <c r="F369" t="str">
        <f>[2]women!G144</f>
        <v xml:space="preserve"> </v>
      </c>
      <c r="G369" t="str">
        <f>[2]women!H144</f>
        <v xml:space="preserve"> </v>
      </c>
    </row>
    <row r="370" spans="1:8" x14ac:dyDescent="0.25">
      <c r="A370" s="1">
        <f>[2]women!A145</f>
        <v>67.5</v>
      </c>
      <c r="B370" s="1" t="str">
        <f>[2]women!B145</f>
        <v xml:space="preserve"> </v>
      </c>
      <c r="C370" t="str">
        <f>[2]women!C145</f>
        <v xml:space="preserve"> </v>
      </c>
      <c r="D370" t="str">
        <f>[2]women!E145</f>
        <v xml:space="preserve"> </v>
      </c>
      <c r="E370" s="3" t="str">
        <f>[2]women!F145</f>
        <v xml:space="preserve"> </v>
      </c>
      <c r="F370" t="str">
        <f>[2]women!G145</f>
        <v xml:space="preserve"> </v>
      </c>
      <c r="G370" t="str">
        <f>[2]women!H145</f>
        <v xml:space="preserve"> </v>
      </c>
    </row>
    <row r="371" spans="1:8" x14ac:dyDescent="0.25">
      <c r="A371" s="1">
        <f>[2]women!A146</f>
        <v>75</v>
      </c>
      <c r="B371" s="1" t="str">
        <f>[2]women!B146</f>
        <v xml:space="preserve"> </v>
      </c>
      <c r="C371" t="str">
        <f>[2]women!C146</f>
        <v xml:space="preserve"> </v>
      </c>
      <c r="D371" t="str">
        <f>[2]women!E146</f>
        <v xml:space="preserve"> </v>
      </c>
      <c r="E371" s="3" t="str">
        <f>[2]women!F146</f>
        <v xml:space="preserve"> </v>
      </c>
      <c r="F371" t="str">
        <f>[2]women!G146</f>
        <v xml:space="preserve"> </v>
      </c>
      <c r="G371" t="str">
        <f>[2]women!H146</f>
        <v xml:space="preserve"> </v>
      </c>
    </row>
    <row r="372" spans="1:8" x14ac:dyDescent="0.25">
      <c r="A372" s="1">
        <f>[2]women!A147</f>
        <v>82.5</v>
      </c>
      <c r="B372" s="1" t="str">
        <f>[2]women!B147</f>
        <v xml:space="preserve"> </v>
      </c>
      <c r="C372" t="str">
        <f>[2]women!C147</f>
        <v xml:space="preserve"> </v>
      </c>
      <c r="D372" t="str">
        <f>[2]women!E147</f>
        <v xml:space="preserve"> </v>
      </c>
      <c r="E372" s="3" t="str">
        <f>[2]women!F147</f>
        <v xml:space="preserve"> </v>
      </c>
      <c r="F372" t="str">
        <f>[2]women!G147</f>
        <v xml:space="preserve"> </v>
      </c>
      <c r="G372" t="str">
        <f>[2]women!H147</f>
        <v xml:space="preserve"> </v>
      </c>
    </row>
    <row r="373" spans="1:8" x14ac:dyDescent="0.25">
      <c r="A373" s="1">
        <f>[2]women!A148</f>
        <v>90</v>
      </c>
      <c r="B373" s="1">
        <f>[2]women!B148</f>
        <v>45</v>
      </c>
      <c r="C373" t="str">
        <f>[2]women!C148</f>
        <v>Sink,Janet</v>
      </c>
      <c r="D373" t="str">
        <f>[2]women!E148</f>
        <v>USA</v>
      </c>
      <c r="E373" s="3">
        <f>[2]women!F148</f>
        <v>41390</v>
      </c>
      <c r="F373" t="str">
        <f>[2]women!G148</f>
        <v>Grand Rapids,MI</v>
      </c>
      <c r="G373" t="str">
        <f>[2]women!H148</f>
        <v xml:space="preserve"> </v>
      </c>
    </row>
    <row r="374" spans="1:8" x14ac:dyDescent="0.25">
      <c r="A374" s="1" t="str">
        <f>[2]women!A149</f>
        <v>90+</v>
      </c>
      <c r="B374" s="1" t="str">
        <f>[2]women!B149</f>
        <v xml:space="preserve"> </v>
      </c>
      <c r="C374" t="str">
        <f>[2]women!C149</f>
        <v xml:space="preserve"> </v>
      </c>
      <c r="D374" t="str">
        <f>[2]women!E149</f>
        <v xml:space="preserve"> </v>
      </c>
      <c r="E374" s="3" t="str">
        <f>[2]women!F149</f>
        <v xml:space="preserve"> </v>
      </c>
      <c r="F374" t="str">
        <f>[2]women!G149</f>
        <v xml:space="preserve"> </v>
      </c>
      <c r="G374" t="str">
        <f>[2]women!H149</f>
        <v xml:space="preserve"> </v>
      </c>
    </row>
    <row r="375" spans="1:8" x14ac:dyDescent="0.25">
      <c r="E375" s="3"/>
      <c r="F375"/>
    </row>
    <row r="376" spans="1:8" s="11" customFormat="1" x14ac:dyDescent="0.25">
      <c r="A376" s="22" t="s">
        <v>0</v>
      </c>
      <c r="B376" s="22">
        <v>0</v>
      </c>
      <c r="C376" s="11">
        <v>75</v>
      </c>
      <c r="D376" s="11" t="str">
        <f>[2]women!C150</f>
        <v xml:space="preserve">75-79 </v>
      </c>
      <c r="E376" s="11" t="str">
        <f>[2]women!E150</f>
        <v xml:space="preserve"> </v>
      </c>
      <c r="F376" s="15" t="str">
        <f>[2]women!F150</f>
        <v xml:space="preserve"> </v>
      </c>
      <c r="G376" s="11" t="str">
        <f>[2]women!G150</f>
        <v xml:space="preserve"> </v>
      </c>
      <c r="H376" s="11" t="str">
        <f>[2]women!H150</f>
        <v xml:space="preserve"> </v>
      </c>
    </row>
    <row r="377" spans="1:8" x14ac:dyDescent="0.25">
      <c r="A377" s="1">
        <f>[2]women!A151</f>
        <v>44</v>
      </c>
      <c r="B377" s="1" t="str">
        <f>[2]women!B151</f>
        <v xml:space="preserve"> </v>
      </c>
      <c r="C377" t="str">
        <f>[2]women!C151</f>
        <v xml:space="preserve"> </v>
      </c>
      <c r="D377" t="str">
        <f>[2]women!E151</f>
        <v xml:space="preserve"> </v>
      </c>
      <c r="E377" s="3" t="str">
        <f>[2]women!F151</f>
        <v xml:space="preserve"> </v>
      </c>
      <c r="F377" t="str">
        <f>[2]women!G151</f>
        <v xml:space="preserve"> </v>
      </c>
      <c r="G377" t="str">
        <f>[2]women!H151</f>
        <v xml:space="preserve"> </v>
      </c>
    </row>
    <row r="378" spans="1:8" x14ac:dyDescent="0.25">
      <c r="A378" s="1">
        <f>[2]women!A152</f>
        <v>48</v>
      </c>
      <c r="B378" s="1" t="str">
        <f>[2]women!B152</f>
        <v xml:space="preserve"> </v>
      </c>
      <c r="C378" t="str">
        <f>[2]women!C152</f>
        <v xml:space="preserve"> </v>
      </c>
      <c r="D378" t="str">
        <f>[2]women!E152</f>
        <v xml:space="preserve"> </v>
      </c>
      <c r="E378" s="3" t="str">
        <f>[2]women!F152</f>
        <v xml:space="preserve"> </v>
      </c>
      <c r="F378" t="str">
        <f>[2]women!G152</f>
        <v xml:space="preserve"> </v>
      </c>
      <c r="G378" t="str">
        <f>[2]women!H152</f>
        <v xml:space="preserve"> </v>
      </c>
    </row>
    <row r="379" spans="1:8" x14ac:dyDescent="0.25">
      <c r="A379" s="1">
        <f>[2]women!A153</f>
        <v>52</v>
      </c>
      <c r="B379" s="1" t="str">
        <f>[2]women!B153</f>
        <v xml:space="preserve"> </v>
      </c>
      <c r="C379" t="str">
        <f>[2]women!C153</f>
        <v xml:space="preserve"> </v>
      </c>
      <c r="D379" t="str">
        <f>[2]women!E153</f>
        <v xml:space="preserve"> </v>
      </c>
      <c r="E379" s="3" t="str">
        <f>[2]women!F153</f>
        <v xml:space="preserve"> </v>
      </c>
      <c r="F379" t="str">
        <f>[2]women!G153</f>
        <v xml:space="preserve"> </v>
      </c>
      <c r="G379" t="str">
        <f>[2]women!H153</f>
        <v xml:space="preserve"> </v>
      </c>
    </row>
    <row r="380" spans="1:8" x14ac:dyDescent="0.25">
      <c r="A380" s="1">
        <f>[2]women!A154</f>
        <v>56</v>
      </c>
      <c r="B380" s="1" t="str">
        <f>[2]women!B154</f>
        <v xml:space="preserve"> </v>
      </c>
      <c r="C380" t="str">
        <f>[2]women!C154</f>
        <v xml:space="preserve"> </v>
      </c>
      <c r="D380" t="str">
        <f>[2]women!E154</f>
        <v xml:space="preserve"> </v>
      </c>
      <c r="E380" s="3" t="str">
        <f>[2]women!F154</f>
        <v xml:space="preserve"> </v>
      </c>
      <c r="F380" t="str">
        <f>[2]women!G154</f>
        <v xml:space="preserve"> </v>
      </c>
      <c r="G380" t="str">
        <f>[2]women!H154</f>
        <v xml:space="preserve"> </v>
      </c>
    </row>
    <row r="381" spans="1:8" x14ac:dyDescent="0.25">
      <c r="A381" s="1">
        <f>[2]women!A155</f>
        <v>60</v>
      </c>
      <c r="B381" s="1" t="str">
        <f>[2]women!B155</f>
        <v xml:space="preserve"> </v>
      </c>
      <c r="C381" t="str">
        <f>[2]women!C155</f>
        <v xml:space="preserve"> </v>
      </c>
      <c r="D381" t="str">
        <f>[2]women!E155</f>
        <v xml:space="preserve"> </v>
      </c>
      <c r="E381" s="3" t="str">
        <f>[2]women!F155</f>
        <v xml:space="preserve"> </v>
      </c>
      <c r="F381" t="str">
        <f>[2]women!G155</f>
        <v xml:space="preserve"> </v>
      </c>
      <c r="G381" t="str">
        <f>[2]women!H155</f>
        <v xml:space="preserve"> </v>
      </c>
    </row>
    <row r="382" spans="1:8" x14ac:dyDescent="0.25">
      <c r="A382" s="1">
        <f>[2]women!A156</f>
        <v>67.5</v>
      </c>
      <c r="B382" s="1" t="str">
        <f>[2]women!B156</f>
        <v xml:space="preserve"> </v>
      </c>
      <c r="C382" t="str">
        <f>[2]women!C156</f>
        <v xml:space="preserve"> </v>
      </c>
      <c r="D382" t="str">
        <f>[2]women!E156</f>
        <v xml:space="preserve"> </v>
      </c>
      <c r="E382" s="3" t="str">
        <f>[2]women!F156</f>
        <v xml:space="preserve"> </v>
      </c>
      <c r="F382" t="str">
        <f>[2]women!G156</f>
        <v xml:space="preserve"> </v>
      </c>
      <c r="G382" t="str">
        <f>[2]women!H156</f>
        <v xml:space="preserve"> </v>
      </c>
    </row>
    <row r="383" spans="1:8" x14ac:dyDescent="0.25">
      <c r="A383" s="1">
        <f>[2]women!A157</f>
        <v>75</v>
      </c>
      <c r="B383" s="1">
        <f>[2]women!B157</f>
        <v>46</v>
      </c>
      <c r="C383" t="str">
        <f>[2]women!C157</f>
        <v>Tsverova,Galina</v>
      </c>
      <c r="D383" t="str">
        <f>[2]women!E157</f>
        <v>RUS</v>
      </c>
      <c r="E383" s="3">
        <f>[2]women!F157</f>
        <v>40088</v>
      </c>
      <c r="F383" t="str">
        <f>[2]women!G157</f>
        <v>Rostov</v>
      </c>
      <c r="G383" t="str">
        <f>[2]women!H157</f>
        <v xml:space="preserve"> </v>
      </c>
    </row>
    <row r="384" spans="1:8" x14ac:dyDescent="0.25">
      <c r="A384" s="1">
        <f>[2]women!A158</f>
        <v>82.5</v>
      </c>
      <c r="B384" s="1" t="str">
        <f>[2]women!B158</f>
        <v xml:space="preserve"> </v>
      </c>
      <c r="C384" t="str">
        <f>[2]women!C158</f>
        <v xml:space="preserve"> </v>
      </c>
      <c r="D384" t="str">
        <f>[2]women!E158</f>
        <v xml:space="preserve"> </v>
      </c>
      <c r="E384" s="3" t="str">
        <f>[2]women!F158</f>
        <v xml:space="preserve"> </v>
      </c>
      <c r="F384" t="str">
        <f>[2]women!G158</f>
        <v xml:space="preserve"> </v>
      </c>
      <c r="G384" t="str">
        <f>[2]women!H158</f>
        <v xml:space="preserve"> </v>
      </c>
    </row>
    <row r="385" spans="1:8" x14ac:dyDescent="0.25">
      <c r="A385" s="1">
        <f>[2]women!A159</f>
        <v>90</v>
      </c>
      <c r="B385" s="1" t="str">
        <f>[2]women!B159</f>
        <v xml:space="preserve"> </v>
      </c>
      <c r="C385" t="str">
        <f>[2]women!C159</f>
        <v xml:space="preserve"> </v>
      </c>
      <c r="D385" t="str">
        <f>[2]women!E159</f>
        <v xml:space="preserve"> </v>
      </c>
      <c r="E385" s="3" t="str">
        <f>[2]women!F159</f>
        <v xml:space="preserve"> </v>
      </c>
      <c r="F385" t="str">
        <f>[2]women!G159</f>
        <v xml:space="preserve"> </v>
      </c>
      <c r="G385" t="str">
        <f>[2]women!H159</f>
        <v xml:space="preserve"> </v>
      </c>
    </row>
    <row r="386" spans="1:8" x14ac:dyDescent="0.25">
      <c r="A386" s="1" t="str">
        <f>[2]women!A160</f>
        <v>90+</v>
      </c>
      <c r="B386" s="1" t="str">
        <f>[2]women!B160</f>
        <v xml:space="preserve"> </v>
      </c>
      <c r="C386" t="str">
        <f>[2]women!C160</f>
        <v xml:space="preserve"> </v>
      </c>
      <c r="D386" t="str">
        <f>[2]women!E160</f>
        <v xml:space="preserve"> </v>
      </c>
      <c r="E386" s="3" t="str">
        <f>[2]women!F160</f>
        <v xml:space="preserve"> </v>
      </c>
      <c r="F386" t="str">
        <f>[2]women!G160</f>
        <v xml:space="preserve"> </v>
      </c>
      <c r="G386" t="str">
        <f>[2]women!H160</f>
        <v xml:space="preserve"> </v>
      </c>
    </row>
    <row r="387" spans="1:8" x14ac:dyDescent="0.25">
      <c r="E387" s="3"/>
      <c r="F387"/>
    </row>
    <row r="388" spans="1:8" s="11" customFormat="1" x14ac:dyDescent="0.25">
      <c r="A388" s="22" t="s">
        <v>0</v>
      </c>
      <c r="B388" s="22">
        <v>0</v>
      </c>
      <c r="C388" s="11">
        <v>80</v>
      </c>
      <c r="D388" s="11" t="str">
        <f>[2]women!C161</f>
        <v xml:space="preserve">80-84  </v>
      </c>
      <c r="E388" s="15" t="str">
        <f>[2]women!F161</f>
        <v xml:space="preserve"> </v>
      </c>
      <c r="F388" s="11" t="str">
        <f>[2]women!G161</f>
        <v xml:space="preserve"> </v>
      </c>
    </row>
    <row r="389" spans="1:8" s="16" customFormat="1" x14ac:dyDescent="0.25">
      <c r="A389" s="28">
        <f>[2]women!A162</f>
        <v>44</v>
      </c>
      <c r="B389" s="28" t="str">
        <f>[2]women!B162</f>
        <v xml:space="preserve"> </v>
      </c>
      <c r="C389" s="16" t="str">
        <f>[2]women!C162</f>
        <v xml:space="preserve"> </v>
      </c>
      <c r="D389" s="16" t="str">
        <f>[2]women!E162</f>
        <v xml:space="preserve"> </v>
      </c>
      <c r="E389" s="47" t="str">
        <f>[2]women!F162</f>
        <v xml:space="preserve"> </v>
      </c>
      <c r="F389" s="16" t="str">
        <f>[2]women!G162</f>
        <v xml:space="preserve"> </v>
      </c>
      <c r="G389" s="16" t="str">
        <f>[2]women!G161</f>
        <v xml:space="preserve"> </v>
      </c>
      <c r="H389" s="16" t="str">
        <f>[2]women!H161</f>
        <v xml:space="preserve"> </v>
      </c>
    </row>
    <row r="390" spans="1:8" x14ac:dyDescent="0.25">
      <c r="A390" s="1">
        <f>[2]women!A163</f>
        <v>48</v>
      </c>
      <c r="B390" s="1" t="str">
        <f>[2]women!B163</f>
        <v xml:space="preserve"> </v>
      </c>
      <c r="C390" t="str">
        <f>[2]women!C163</f>
        <v xml:space="preserve"> </v>
      </c>
      <c r="D390" t="str">
        <f>[2]women!E163</f>
        <v xml:space="preserve"> </v>
      </c>
      <c r="E390" s="3" t="str">
        <f>[2]women!F163</f>
        <v xml:space="preserve"> </v>
      </c>
      <c r="F390" t="str">
        <f>[2]women!G163</f>
        <v xml:space="preserve"> </v>
      </c>
      <c r="G390" t="str">
        <f>[2]women!H162</f>
        <v xml:space="preserve"> </v>
      </c>
    </row>
    <row r="391" spans="1:8" x14ac:dyDescent="0.25">
      <c r="A391" s="1">
        <f>[2]women!A164</f>
        <v>52</v>
      </c>
      <c r="B391" s="1" t="str">
        <f>[2]women!B164</f>
        <v xml:space="preserve"> </v>
      </c>
      <c r="C391" t="str">
        <f>[2]women!C164</f>
        <v xml:space="preserve"> </v>
      </c>
      <c r="D391" t="str">
        <f>[2]women!E164</f>
        <v xml:space="preserve"> </v>
      </c>
      <c r="E391" s="3" t="str">
        <f>[2]women!F164</f>
        <v xml:space="preserve"> </v>
      </c>
      <c r="F391" t="str">
        <f>[2]women!G164</f>
        <v xml:space="preserve"> </v>
      </c>
      <c r="G391" t="str">
        <f>[2]women!H163</f>
        <v xml:space="preserve"> </v>
      </c>
    </row>
    <row r="392" spans="1:8" x14ac:dyDescent="0.25">
      <c r="A392" s="1">
        <f>[2]women!A165</f>
        <v>56</v>
      </c>
      <c r="B392" s="1" t="str">
        <f>[2]women!B165</f>
        <v xml:space="preserve"> </v>
      </c>
      <c r="C392" t="str">
        <f>[2]women!C165</f>
        <v xml:space="preserve"> </v>
      </c>
      <c r="D392" t="str">
        <f>[2]women!E165</f>
        <v xml:space="preserve"> </v>
      </c>
      <c r="E392" s="3" t="str">
        <f>[2]women!F165</f>
        <v xml:space="preserve"> </v>
      </c>
      <c r="F392" t="str">
        <f>[2]women!G165</f>
        <v xml:space="preserve"> </v>
      </c>
      <c r="G392" t="str">
        <f>[2]women!H164</f>
        <v xml:space="preserve"> </v>
      </c>
    </row>
    <row r="393" spans="1:8" x14ac:dyDescent="0.25">
      <c r="A393" s="1">
        <f>[2]women!A166</f>
        <v>60</v>
      </c>
      <c r="B393" s="1" t="str">
        <f>[2]women!B166</f>
        <v xml:space="preserve"> </v>
      </c>
      <c r="C393" t="str">
        <f>[2]women!C166</f>
        <v xml:space="preserve"> </v>
      </c>
      <c r="D393" t="str">
        <f>[2]women!E166</f>
        <v xml:space="preserve"> </v>
      </c>
      <c r="E393" s="3" t="str">
        <f>[2]women!F166</f>
        <v xml:space="preserve"> </v>
      </c>
      <c r="F393" t="str">
        <f>[2]women!G166</f>
        <v xml:space="preserve"> </v>
      </c>
      <c r="G393" t="str">
        <f>[2]women!H165</f>
        <v xml:space="preserve"> </v>
      </c>
    </row>
    <row r="394" spans="1:8" x14ac:dyDescent="0.25">
      <c r="A394" s="1">
        <f>[2]women!A167</f>
        <v>67.5</v>
      </c>
      <c r="B394" s="1" t="str">
        <f>[2]women!B167</f>
        <v xml:space="preserve"> </v>
      </c>
      <c r="C394" t="str">
        <f>[2]women!C167</f>
        <v xml:space="preserve"> </v>
      </c>
      <c r="D394" t="str">
        <f>[2]women!E167</f>
        <v xml:space="preserve"> </v>
      </c>
      <c r="E394" s="3" t="str">
        <f>[2]women!F167</f>
        <v xml:space="preserve"> </v>
      </c>
      <c r="F394" t="str">
        <f>[2]women!G167</f>
        <v xml:space="preserve"> </v>
      </c>
      <c r="G394" t="str">
        <f>[2]women!H166</f>
        <v xml:space="preserve"> </v>
      </c>
    </row>
    <row r="395" spans="1:8" x14ac:dyDescent="0.25">
      <c r="A395" s="1">
        <f>[2]women!A168</f>
        <v>75</v>
      </c>
      <c r="B395" s="1">
        <f>[2]women!B168</f>
        <v>50</v>
      </c>
      <c r="C395" t="str">
        <f>[2]women!C168</f>
        <v>Tsverova,Galina</v>
      </c>
      <c r="D395" t="str">
        <f>[2]women!E168</f>
        <v>RUS</v>
      </c>
      <c r="E395" s="3">
        <f>[2]women!F168</f>
        <v>41201</v>
      </c>
      <c r="F395" t="str">
        <f>[2]women!G168</f>
        <v>Krasnodar</v>
      </c>
      <c r="G395" t="str">
        <f>[2]women!H167</f>
        <v xml:space="preserve"> </v>
      </c>
    </row>
    <row r="396" spans="1:8" x14ac:dyDescent="0.25">
      <c r="A396" s="1">
        <f>[2]women!A169</f>
        <v>82.5</v>
      </c>
      <c r="B396" s="1" t="str">
        <f>[2]women!B169</f>
        <v xml:space="preserve"> </v>
      </c>
      <c r="C396" t="str">
        <f>[2]women!C169</f>
        <v xml:space="preserve"> </v>
      </c>
      <c r="D396" t="str">
        <f>[2]women!E169</f>
        <v xml:space="preserve"> </v>
      </c>
      <c r="E396" s="3" t="str">
        <f>[2]women!F169</f>
        <v xml:space="preserve"> </v>
      </c>
      <c r="F396" t="str">
        <f>[2]women!G169</f>
        <v xml:space="preserve"> </v>
      </c>
      <c r="G396" t="str">
        <f>[2]women!H168</f>
        <v xml:space="preserve"> </v>
      </c>
    </row>
    <row r="397" spans="1:8" x14ac:dyDescent="0.25">
      <c r="A397" s="1">
        <f>[2]women!A170</f>
        <v>90</v>
      </c>
      <c r="B397" s="1" t="str">
        <f>[2]women!B170</f>
        <v xml:space="preserve"> </v>
      </c>
      <c r="C397" t="str">
        <f>[2]women!C170</f>
        <v xml:space="preserve"> </v>
      </c>
      <c r="D397" t="str">
        <f>[2]women!E170</f>
        <v xml:space="preserve"> </v>
      </c>
      <c r="E397" s="3" t="str">
        <f>[2]women!F170</f>
        <v xml:space="preserve"> </v>
      </c>
      <c r="F397" t="str">
        <f>[2]women!G170</f>
        <v xml:space="preserve"> </v>
      </c>
      <c r="G397" t="str">
        <f>[2]women!H169</f>
        <v xml:space="preserve"> </v>
      </c>
    </row>
    <row r="398" spans="1:8" x14ac:dyDescent="0.25">
      <c r="A398" s="1" t="str">
        <f>[2]women!A171</f>
        <v>90+</v>
      </c>
      <c r="B398" s="1" t="str">
        <f>[2]women!B171</f>
        <v xml:space="preserve"> </v>
      </c>
      <c r="C398" t="str">
        <f>[2]women!C171</f>
        <v xml:space="preserve"> </v>
      </c>
      <c r="D398" t="str">
        <f>[2]women!E171</f>
        <v xml:space="preserve"> </v>
      </c>
      <c r="E398" s="3" t="str">
        <f>[2]women!F171</f>
        <v xml:space="preserve"> </v>
      </c>
      <c r="F398" t="str">
        <f>[2]women!G171</f>
        <v xml:space="preserve"> </v>
      </c>
      <c r="G398" t="str">
        <f>[2]women!H170</f>
        <v xml:space="preserve"> </v>
      </c>
    </row>
    <row r="399" spans="1:8" x14ac:dyDescent="0.25">
      <c r="A399" s="1">
        <f>[2]women!A172</f>
        <v>0</v>
      </c>
      <c r="B399" s="1">
        <f>[2]women!B172</f>
        <v>0</v>
      </c>
      <c r="C399">
        <f>[2]women!C172</f>
        <v>0</v>
      </c>
      <c r="D399">
        <f>[2]women!E172</f>
        <v>0</v>
      </c>
      <c r="E399" s="3">
        <f>[2]women!F172</f>
        <v>0</v>
      </c>
      <c r="F399">
        <f>[2]women!G172</f>
        <v>0</v>
      </c>
      <c r="G399" t="str">
        <f>[2]women!H171</f>
        <v xml:space="preserve"> </v>
      </c>
    </row>
    <row r="400" spans="1:8" x14ac:dyDescent="0.25">
      <c r="A400" s="1">
        <f>[2]women!A173</f>
        <v>0</v>
      </c>
      <c r="B400" s="1">
        <f>[2]women!B173</f>
        <v>0</v>
      </c>
      <c r="C400">
        <f>[2]women!C173</f>
        <v>0</v>
      </c>
      <c r="D400">
        <f>[2]women!E173</f>
        <v>0</v>
      </c>
      <c r="E400" s="3">
        <f>[2]women!F173</f>
        <v>0</v>
      </c>
      <c r="F400">
        <f>[2]women!G173</f>
        <v>0</v>
      </c>
    </row>
    <row r="401" spans="1:6" x14ac:dyDescent="0.25">
      <c r="A401" s="1">
        <f>[2]women!A174</f>
        <v>0</v>
      </c>
      <c r="B401" s="1">
        <f>[2]women!B174</f>
        <v>0</v>
      </c>
      <c r="C401">
        <f>[2]women!C174</f>
        <v>0</v>
      </c>
      <c r="D401">
        <f>[2]women!E174</f>
        <v>0</v>
      </c>
      <c r="E401" s="3">
        <f>[2]women!F174</f>
        <v>0</v>
      </c>
      <c r="F401">
        <f>[2]women!G174</f>
        <v>0</v>
      </c>
    </row>
    <row r="402" spans="1:6" x14ac:dyDescent="0.25">
      <c r="A402" s="1">
        <f>[2]women!A175</f>
        <v>0</v>
      </c>
      <c r="B402" s="1">
        <f>[2]women!B175</f>
        <v>0</v>
      </c>
      <c r="C402">
        <f>[2]women!C175</f>
        <v>0</v>
      </c>
      <c r="D402">
        <f>[2]women!E175</f>
        <v>0</v>
      </c>
      <c r="E402" s="3">
        <f>[2]women!F175</f>
        <v>0</v>
      </c>
      <c r="F402">
        <f>[2]women!G175</f>
        <v>0</v>
      </c>
    </row>
    <row r="403" spans="1:6" x14ac:dyDescent="0.25">
      <c r="A403" s="1">
        <f>[2]women!A176</f>
        <v>0</v>
      </c>
      <c r="B403" s="1">
        <f>[2]women!B176</f>
        <v>0</v>
      </c>
      <c r="C403">
        <f>[2]women!C176</f>
        <v>0</v>
      </c>
      <c r="D403">
        <f>[2]women!E176</f>
        <v>0</v>
      </c>
      <c r="E403" s="3">
        <f>[2]women!F176</f>
        <v>0</v>
      </c>
      <c r="F403">
        <f>[2]women!G176</f>
        <v>0</v>
      </c>
    </row>
    <row r="404" spans="1:6" x14ac:dyDescent="0.25">
      <c r="A404" s="1">
        <f>[2]women!A177</f>
        <v>0</v>
      </c>
      <c r="B404" s="1">
        <f>[2]women!B177</f>
        <v>0</v>
      </c>
      <c r="C404">
        <f>[2]women!C177</f>
        <v>0</v>
      </c>
      <c r="D404">
        <f>[2]women!E177</f>
        <v>0</v>
      </c>
      <c r="E404" s="3">
        <f>[2]women!F177</f>
        <v>0</v>
      </c>
      <c r="F404">
        <f>[2]women!G177</f>
        <v>0</v>
      </c>
    </row>
    <row r="405" spans="1:6" x14ac:dyDescent="0.25">
      <c r="A405" s="1">
        <f>[2]women!A178</f>
        <v>0</v>
      </c>
      <c r="B405" s="1">
        <f>[2]women!B178</f>
        <v>0</v>
      </c>
      <c r="C405">
        <f>[2]women!C178</f>
        <v>0</v>
      </c>
      <c r="D405">
        <f>[2]women!E178</f>
        <v>0</v>
      </c>
      <c r="E405" s="3">
        <f>[2]women!F178</f>
        <v>0</v>
      </c>
      <c r="F405">
        <f>[2]women!G178</f>
        <v>0</v>
      </c>
    </row>
    <row r="406" spans="1:6" x14ac:dyDescent="0.25">
      <c r="A406" s="1">
        <f>[2]women!A179</f>
        <v>0</v>
      </c>
      <c r="B406" s="1">
        <f>[2]women!B179</f>
        <v>0</v>
      </c>
      <c r="C406">
        <f>[2]women!C179</f>
        <v>0</v>
      </c>
      <c r="D406">
        <f>[2]women!E179</f>
        <v>0</v>
      </c>
      <c r="E406" s="3">
        <f>[2]women!F179</f>
        <v>0</v>
      </c>
      <c r="F406">
        <f>[2]women!G179</f>
        <v>0</v>
      </c>
    </row>
    <row r="407" spans="1:6" x14ac:dyDescent="0.25">
      <c r="A407" s="1">
        <f>[2]women!A180</f>
        <v>0</v>
      </c>
      <c r="B407" s="1">
        <f>[2]women!B180</f>
        <v>0</v>
      </c>
      <c r="C407">
        <f>[2]women!C180</f>
        <v>0</v>
      </c>
      <c r="D407">
        <f>[2]women!E180</f>
        <v>0</v>
      </c>
      <c r="E407" s="3">
        <f>[2]women!F180</f>
        <v>0</v>
      </c>
      <c r="F407">
        <f>[2]women!G180</f>
        <v>0</v>
      </c>
    </row>
    <row r="408" spans="1:6" x14ac:dyDescent="0.25">
      <c r="A408" s="1">
        <f>[2]women!A181</f>
        <v>0</v>
      </c>
      <c r="B408" s="1">
        <f>[2]women!B181</f>
        <v>0</v>
      </c>
      <c r="C408">
        <f>[2]women!C181</f>
        <v>0</v>
      </c>
      <c r="D408">
        <f>[2]women!E181</f>
        <v>0</v>
      </c>
      <c r="E408" s="3">
        <f>[2]women!F181</f>
        <v>0</v>
      </c>
      <c r="F408">
        <f>[2]women!G181</f>
        <v>0</v>
      </c>
    </row>
    <row r="409" spans="1:6" x14ac:dyDescent="0.25">
      <c r="A409" s="1">
        <f>[2]women!A182</f>
        <v>0</v>
      </c>
      <c r="B409" s="1">
        <f>[2]women!B182</f>
        <v>0</v>
      </c>
      <c r="C409">
        <f>[2]women!C182</f>
        <v>0</v>
      </c>
      <c r="D409">
        <f>[2]women!E182</f>
        <v>0</v>
      </c>
      <c r="E409" s="3">
        <f>[2]women!F182</f>
        <v>0</v>
      </c>
      <c r="F409">
        <f>[2]women!G182</f>
        <v>0</v>
      </c>
    </row>
    <row r="410" spans="1:6" x14ac:dyDescent="0.25">
      <c r="A410" s="1">
        <f>[2]women!A183</f>
        <v>0</v>
      </c>
      <c r="B410" s="1">
        <f>[2]women!B183</f>
        <v>0</v>
      </c>
      <c r="C410">
        <f>[2]women!C183</f>
        <v>0</v>
      </c>
      <c r="D410">
        <f>[2]women!E183</f>
        <v>0</v>
      </c>
      <c r="E410" s="3">
        <f>[2]women!F183</f>
        <v>0</v>
      </c>
      <c r="F410">
        <f>[2]women!G183</f>
        <v>0</v>
      </c>
    </row>
    <row r="411" spans="1:6" x14ac:dyDescent="0.25">
      <c r="A411" s="1">
        <f>[2]women!A184</f>
        <v>0</v>
      </c>
      <c r="B411" s="1">
        <f>[2]women!B184</f>
        <v>0</v>
      </c>
      <c r="C411">
        <f>[2]women!C184</f>
        <v>0</v>
      </c>
      <c r="D411">
        <f>[2]women!E184</f>
        <v>0</v>
      </c>
      <c r="E411" s="3">
        <f>[2]women!F184</f>
        <v>0</v>
      </c>
      <c r="F411">
        <f>[2]women!G184</f>
        <v>0</v>
      </c>
    </row>
    <row r="412" spans="1:6" x14ac:dyDescent="0.25">
      <c r="A412" s="1">
        <f>[2]women!A185</f>
        <v>0</v>
      </c>
      <c r="B412" s="1">
        <f>[2]women!B185</f>
        <v>0</v>
      </c>
      <c r="C412">
        <f>[2]women!C185</f>
        <v>0</v>
      </c>
      <c r="D412">
        <f>[2]women!E185</f>
        <v>0</v>
      </c>
      <c r="E412" s="3">
        <f>[2]women!F185</f>
        <v>0</v>
      </c>
      <c r="F412">
        <f>[2]women!G185</f>
        <v>0</v>
      </c>
    </row>
    <row r="413" spans="1:6" x14ac:dyDescent="0.25">
      <c r="A413" s="1">
        <f>[2]women!A186</f>
        <v>0</v>
      </c>
      <c r="B413" s="1">
        <f>[2]women!B186</f>
        <v>0</v>
      </c>
      <c r="C413">
        <f>[2]women!C186</f>
        <v>0</v>
      </c>
      <c r="D413">
        <f>[2]women!E186</f>
        <v>0</v>
      </c>
      <c r="E413" s="3">
        <f>[2]women!F186</f>
        <v>0</v>
      </c>
      <c r="F413">
        <f>[2]women!G186</f>
        <v>0</v>
      </c>
    </row>
    <row r="424" spans="1:1" x14ac:dyDescent="0.25">
      <c r="A424" s="1" t="s">
        <v>1</v>
      </c>
    </row>
    <row r="425" spans="1:1" x14ac:dyDescent="0.25">
      <c r="A425" s="1" t="s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7"/>
  <sheetViews>
    <sheetView workbookViewId="0">
      <selection activeCell="B5" sqref="B5"/>
    </sheetView>
  </sheetViews>
  <sheetFormatPr defaultRowHeight="15" x14ac:dyDescent="0.25"/>
  <cols>
    <col min="1" max="2" width="9.140625" style="1"/>
    <col min="3" max="3" width="20.28515625" style="5" customWidth="1"/>
    <col min="4" max="4" width="9.140625" style="5"/>
    <col min="5" max="5" width="9.140625" style="1"/>
    <col min="6" max="6" width="9.140625" style="6"/>
    <col min="7" max="7" width="18.7109375" style="1" customWidth="1"/>
  </cols>
  <sheetData>
    <row r="1" spans="1:7" ht="23.25" x14ac:dyDescent="0.35">
      <c r="B1" s="1">
        <v>2</v>
      </c>
      <c r="C1" s="7"/>
    </row>
    <row r="2" spans="1:7" x14ac:dyDescent="0.25">
      <c r="A2" s="1">
        <v>2</v>
      </c>
    </row>
    <row r="3" spans="1:7" s="1" customFormat="1" x14ac:dyDescent="0.25">
      <c r="C3" s="5"/>
      <c r="D3" s="5"/>
      <c r="F3" s="6"/>
    </row>
    <row r="4" spans="1:7" s="25" customFormat="1" ht="21" x14ac:dyDescent="0.35">
      <c r="D4" s="37"/>
      <c r="E4" s="37"/>
      <c r="F4" s="37"/>
      <c r="G4" s="37"/>
    </row>
    <row r="5" spans="1:7" s="25" customFormat="1" ht="21" x14ac:dyDescent="0.35">
      <c r="A5" s="1"/>
      <c r="B5" s="38" t="str">
        <f>[3]awpc!C1</f>
        <v>Men's AWPC Bench Records</v>
      </c>
      <c r="C5" s="1"/>
      <c r="D5" s="1"/>
      <c r="E5" s="1"/>
      <c r="F5" s="1"/>
      <c r="G5" s="1"/>
    </row>
    <row r="6" spans="1:7" ht="21" x14ac:dyDescent="0.35">
      <c r="B6" s="37"/>
      <c r="C6" s="37"/>
    </row>
    <row r="7" spans="1:7" s="11" customFormat="1" x14ac:dyDescent="0.25">
      <c r="A7" s="20" t="s">
        <v>0</v>
      </c>
      <c r="B7" s="20">
        <v>1</v>
      </c>
      <c r="C7" s="21">
        <v>-2</v>
      </c>
      <c r="D7" s="21" t="str">
        <f>[3]awpc!C1</f>
        <v>Men's AWPC Bench Records</v>
      </c>
      <c r="E7" s="22"/>
      <c r="F7" s="23"/>
      <c r="G7" s="22"/>
    </row>
    <row r="8" spans="1:7" x14ac:dyDescent="0.25">
      <c r="A8" s="1">
        <f>[3]awpc!A2</f>
        <v>52</v>
      </c>
      <c r="B8" s="1">
        <f>[3]awpc!B2</f>
        <v>127.5</v>
      </c>
      <c r="C8" s="5" t="str">
        <f>[3]awpc!C2</f>
        <v>Sokushev,Vadim</v>
      </c>
      <c r="D8" s="5">
        <f>[3]awpc!D2</f>
        <v>90</v>
      </c>
      <c r="E8" s="1" t="str">
        <f>[3]awpc!E2</f>
        <v>RUS</v>
      </c>
      <c r="F8" s="6">
        <f>[3]awpc!F2</f>
        <v>41502</v>
      </c>
      <c r="G8" s="1" t="str">
        <f>[3]awpc!G2</f>
        <v>Novosibirsk</v>
      </c>
    </row>
    <row r="9" spans="1:7" x14ac:dyDescent="0.25">
      <c r="A9" s="1">
        <f>[3]awpc!A3</f>
        <v>56</v>
      </c>
      <c r="B9" s="1">
        <f>[3]awpc!B3</f>
        <v>143</v>
      </c>
      <c r="C9" s="5" t="str">
        <f>[3]awpc!C3</f>
        <v>Pham</v>
      </c>
      <c r="D9" s="5">
        <f>[3]awpc!D3</f>
        <v>0</v>
      </c>
      <c r="E9" s="1" t="str">
        <f>[3]awpc!E3</f>
        <v>USA</v>
      </c>
      <c r="F9" s="6" t="str">
        <f>[3]awpc!F3</f>
        <v>/</v>
      </c>
      <c r="G9" s="1">
        <f>[3]awpc!G3</f>
        <v>0</v>
      </c>
    </row>
    <row r="10" spans="1:7" x14ac:dyDescent="0.25">
      <c r="A10" s="1">
        <f>[3]awpc!A4</f>
        <v>60</v>
      </c>
      <c r="B10" s="1">
        <f>[3]awpc!B4</f>
        <v>155</v>
      </c>
      <c r="C10" s="5" t="str">
        <f>[3]awpc!C4</f>
        <v>Boryuk,Sergiy</v>
      </c>
      <c r="D10" s="5">
        <f>[3]awpc!D4</f>
        <v>85</v>
      </c>
      <c r="E10" s="1" t="str">
        <f>[3]awpc!E4</f>
        <v>UKR</v>
      </c>
      <c r="F10" s="6">
        <f>[3]awpc!F4</f>
        <v>41129</v>
      </c>
      <c r="G10" s="1" t="str">
        <f>[3]awpc!G4</f>
        <v>Kryvyi Rig</v>
      </c>
    </row>
    <row r="11" spans="1:7" x14ac:dyDescent="0.25">
      <c r="A11" s="1">
        <f>[3]awpc!A5</f>
        <v>67.5</v>
      </c>
      <c r="B11" s="1">
        <f>[3]awpc!B5</f>
        <v>200</v>
      </c>
      <c r="C11" s="5" t="str">
        <f>[3]awpc!C5</f>
        <v>Mukite, Joe</v>
      </c>
      <c r="D11" s="5">
        <f>[3]awpc!D5</f>
        <v>66</v>
      </c>
      <c r="E11" s="1" t="str">
        <f>[3]awpc!E5</f>
        <v>USA</v>
      </c>
      <c r="F11" s="6">
        <f>[3]awpc!F5</f>
        <v>2003</v>
      </c>
      <c r="G11" s="1">
        <f>[3]awpc!G5</f>
        <v>0</v>
      </c>
    </row>
    <row r="12" spans="1:7" x14ac:dyDescent="0.25">
      <c r="A12" s="1">
        <f>[3]awpc!A6</f>
        <v>75</v>
      </c>
      <c r="B12" s="1">
        <f>[3]awpc!B6</f>
        <v>232.5</v>
      </c>
      <c r="C12" s="5" t="str">
        <f>[3]awpc!C6</f>
        <v>Haiduke,Jeffrey</v>
      </c>
      <c r="D12" s="5">
        <f>[3]awpc!D6</f>
        <v>83</v>
      </c>
      <c r="E12" s="1" t="str">
        <f>[3]awpc!E6</f>
        <v>USA</v>
      </c>
      <c r="F12" s="6">
        <f>[3]awpc!F6</f>
        <v>40286</v>
      </c>
      <c r="G12" s="1" t="str">
        <f>[3]awpc!G6</f>
        <v>Detroit</v>
      </c>
    </row>
    <row r="13" spans="1:7" x14ac:dyDescent="0.25">
      <c r="A13" s="1">
        <f>[3]awpc!A7</f>
        <v>82.5</v>
      </c>
      <c r="B13" s="1">
        <f>[3]awpc!B7</f>
        <v>282.5</v>
      </c>
      <c r="C13" s="5" t="str">
        <f>[3]awpc!C7</f>
        <v>Hensley, Tim</v>
      </c>
      <c r="D13" s="5">
        <f>[3]awpc!D7</f>
        <v>80</v>
      </c>
      <c r="E13" s="1" t="str">
        <f>[3]awpc!E7</f>
        <v>USA</v>
      </c>
      <c r="F13" s="6">
        <f>[3]awpc!F7</f>
        <v>40025</v>
      </c>
      <c r="G13" s="1" t="str">
        <f>[3]awpc!G7</f>
        <v>Burr Ridge</v>
      </c>
    </row>
    <row r="14" spans="1:7" x14ac:dyDescent="0.25">
      <c r="A14" s="1">
        <f>[3]awpc!A8</f>
        <v>90</v>
      </c>
      <c r="B14" s="1">
        <f>[3]awpc!B8</f>
        <v>321</v>
      </c>
      <c r="C14" s="5" t="str">
        <f>[3]awpc!C8</f>
        <v>Hensley, Tim</v>
      </c>
      <c r="D14" s="5">
        <f>[3]awpc!D8</f>
        <v>80</v>
      </c>
      <c r="E14" s="1" t="str">
        <f>[3]awpc!E8</f>
        <v>USA</v>
      </c>
      <c r="F14" s="6">
        <f>[3]awpc!F8</f>
        <v>41390</v>
      </c>
      <c r="G14" s="1" t="str">
        <f>[3]awpc!G8</f>
        <v>Grand Rapids</v>
      </c>
    </row>
    <row r="15" spans="1:7" x14ac:dyDescent="0.25">
      <c r="A15" s="1">
        <f>[3]awpc!A9</f>
        <v>100</v>
      </c>
      <c r="B15" s="1">
        <f>[3]awpc!B9</f>
        <v>345</v>
      </c>
      <c r="C15" s="5" t="str">
        <f>[3]awpc!C9</f>
        <v>Minuth,Matt</v>
      </c>
      <c r="D15" s="5">
        <f>[3]awpc!D9</f>
        <v>80</v>
      </c>
      <c r="E15" s="1" t="str">
        <f>[3]awpc!E9</f>
        <v>USA</v>
      </c>
      <c r="F15" s="6">
        <f>[3]awpc!F9</f>
        <v>39661</v>
      </c>
      <c r="G15" s="1" t="str">
        <f>[3]awpc!G9</f>
        <v>Oak Brook</v>
      </c>
    </row>
    <row r="16" spans="1:7" x14ac:dyDescent="0.25">
      <c r="A16" s="1">
        <f>[3]awpc!A10</f>
        <v>110</v>
      </c>
      <c r="B16" s="1">
        <f>[3]awpc!B10</f>
        <v>310</v>
      </c>
      <c r="C16" s="5" t="str">
        <f>[3]awpc!C10</f>
        <v xml:space="preserve">DeCaires,Eric </v>
      </c>
      <c r="D16" s="5">
        <f>[3]awpc!D10</f>
        <v>86</v>
      </c>
      <c r="E16" s="1" t="str">
        <f>[3]awpc!E10</f>
        <v>USA</v>
      </c>
      <c r="F16" s="6">
        <f>[3]awpc!F10</f>
        <v>41111</v>
      </c>
      <c r="G16" s="1" t="str">
        <f>[3]awpc!G10</f>
        <v>Detroit</v>
      </c>
    </row>
    <row r="17" spans="1:7" x14ac:dyDescent="0.25">
      <c r="A17" s="1">
        <f>[3]awpc!A11</f>
        <v>125</v>
      </c>
      <c r="B17" s="1">
        <f>[3]awpc!B11</f>
        <v>330</v>
      </c>
      <c r="C17" s="5" t="str">
        <f>[3]awpc!C11</f>
        <v>Harrison, Jr., Tommy</v>
      </c>
      <c r="D17" s="5">
        <f>[3]awpc!D11</f>
        <v>73</v>
      </c>
      <c r="E17" s="1" t="str">
        <f>[3]awpc!E11</f>
        <v>USA</v>
      </c>
      <c r="F17" s="6">
        <f>[3]awpc!F11</f>
        <v>38920</v>
      </c>
      <c r="G17" s="1" t="str">
        <f>[3]awpc!G11</f>
        <v>Flint</v>
      </c>
    </row>
    <row r="18" spans="1:7" x14ac:dyDescent="0.25">
      <c r="A18" s="1">
        <f>[3]awpc!A12</f>
        <v>140</v>
      </c>
      <c r="B18" s="1">
        <f>[3]awpc!B12</f>
        <v>370</v>
      </c>
      <c r="C18" s="5" t="str">
        <f>[3]awpc!C12</f>
        <v>Mitchell,Mike</v>
      </c>
      <c r="D18" s="5">
        <f>[3]awpc!D12</f>
        <v>77</v>
      </c>
      <c r="E18" s="1" t="str">
        <f>[3]awpc!E12</f>
        <v>USA</v>
      </c>
      <c r="F18" s="6">
        <f>[3]awpc!F12</f>
        <v>40025</v>
      </c>
      <c r="G18" s="1" t="str">
        <f>[3]awpc!G12</f>
        <v>Burr Ridge</v>
      </c>
    </row>
    <row r="19" spans="1:7" x14ac:dyDescent="0.25">
      <c r="A19" s="1" t="str">
        <f>[3]awpc!A13</f>
        <v>140+</v>
      </c>
      <c r="B19" s="1">
        <f>[3]awpc!B13</f>
        <v>387.5</v>
      </c>
      <c r="C19" s="5" t="str">
        <f>[3]awpc!C13</f>
        <v>Vick, Robert</v>
      </c>
      <c r="D19" s="5">
        <f>[3]awpc!D13</f>
        <v>73</v>
      </c>
      <c r="E19" s="1" t="str">
        <f>[3]awpc!E13</f>
        <v>USA</v>
      </c>
      <c r="F19" s="6">
        <f>[3]awpc!F13</f>
        <v>39661</v>
      </c>
      <c r="G19" s="1" t="str">
        <f>[3]awpc!G13</f>
        <v>Oak Brook</v>
      </c>
    </row>
    <row r="21" spans="1:7" s="11" customFormat="1" x14ac:dyDescent="0.25">
      <c r="A21" s="20" t="s">
        <v>0</v>
      </c>
      <c r="B21" s="20">
        <v>0</v>
      </c>
      <c r="C21" s="21">
        <v>-2</v>
      </c>
      <c r="D21" s="21" t="str">
        <f>[3]awpc!C15</f>
        <v>Women's AWBC Bench Records</v>
      </c>
      <c r="E21" s="22"/>
      <c r="F21" s="23"/>
      <c r="G21" s="22"/>
    </row>
    <row r="22" spans="1:7" x14ac:dyDescent="0.25">
      <c r="A22" s="1">
        <f>[3]awpc!A16</f>
        <v>44</v>
      </c>
      <c r="B22" s="1">
        <f>[3]awpc!B16</f>
        <v>77.5</v>
      </c>
      <c r="C22" s="5" t="str">
        <f>[3]awpc!C16</f>
        <v xml:space="preserve"> Hickman, Dawn</v>
      </c>
      <c r="D22" s="5">
        <f>[3]awpc!D16</f>
        <v>68</v>
      </c>
      <c r="E22" s="1" t="str">
        <f>[3]awpc!E16</f>
        <v xml:space="preserve"> USA</v>
      </c>
      <c r="F22" s="6">
        <f>[3]awpc!F16</f>
        <v>40789</v>
      </c>
      <c r="G22" s="1" t="str">
        <f>[3]awpc!G16</f>
        <v xml:space="preserve"> Idaho Falls</v>
      </c>
    </row>
    <row r="23" spans="1:7" x14ac:dyDescent="0.25">
      <c r="A23" s="1">
        <f>[3]awpc!A17</f>
        <v>48</v>
      </c>
      <c r="B23" s="1">
        <f>[3]awpc!B17</f>
        <v>87.5</v>
      </c>
      <c r="C23" s="5" t="str">
        <f>[3]awpc!C17</f>
        <v>Sergienko Anastasiya</v>
      </c>
      <c r="D23" s="5">
        <f>[3]awpc!D17</f>
        <v>87</v>
      </c>
      <c r="E23" s="1" t="str">
        <f>[3]awpc!E17</f>
        <v>RUS</v>
      </c>
      <c r="F23" s="6" t="str">
        <f>[3]awpc!F17</f>
        <v>23.08.2014</v>
      </c>
      <c r="G23" s="1" t="str">
        <f>[3]awpc!G17</f>
        <v>Moscow</v>
      </c>
    </row>
    <row r="24" spans="1:7" x14ac:dyDescent="0.25">
      <c r="A24" s="1">
        <f>[3]awpc!A18</f>
        <v>52</v>
      </c>
      <c r="B24" s="1">
        <f>[3]awpc!B18</f>
        <v>110</v>
      </c>
      <c r="C24" s="5" t="str">
        <f>[3]awpc!C18</f>
        <v>Antipova, Agnessa</v>
      </c>
      <c r="D24" s="5">
        <f>[3]awpc!D18</f>
        <v>81</v>
      </c>
      <c r="E24" s="1" t="str">
        <f>[3]awpc!E18</f>
        <v>RUS</v>
      </c>
      <c r="F24" s="6">
        <f>[3]awpc!F18</f>
        <v>40813</v>
      </c>
      <c r="G24" s="1" t="str">
        <f>[3]awpc!G18</f>
        <v>Yekaterinbourg</v>
      </c>
    </row>
    <row r="25" spans="1:7" x14ac:dyDescent="0.25">
      <c r="A25" s="1">
        <f>[3]awpc!A19</f>
        <v>56</v>
      </c>
      <c r="B25" s="1">
        <f>[3]awpc!B19</f>
        <v>112.5</v>
      </c>
      <c r="C25" s="5" t="str">
        <f>[3]awpc!C19</f>
        <v>Konoval,Anna</v>
      </c>
      <c r="D25" s="5">
        <f>[3]awpc!D19</f>
        <v>84</v>
      </c>
      <c r="E25" s="1" t="str">
        <f>[3]awpc!E19</f>
        <v>UKR</v>
      </c>
      <c r="F25" s="6">
        <f>[3]awpc!F19</f>
        <v>41496</v>
      </c>
      <c r="G25" s="1" t="str">
        <f>[3]awpc!G19</f>
        <v>Kursk</v>
      </c>
    </row>
    <row r="26" spans="1:7" x14ac:dyDescent="0.25">
      <c r="A26" s="1">
        <f>[3]awpc!A20</f>
        <v>60</v>
      </c>
      <c r="B26" s="1">
        <f>[3]awpc!B20</f>
        <v>90</v>
      </c>
      <c r="C26" s="5" t="str">
        <f>[3]awpc!C20</f>
        <v>Bobchenko,Lyudmyla</v>
      </c>
      <c r="D26" s="5">
        <f>[3]awpc!D20</f>
        <v>79</v>
      </c>
      <c r="E26" s="1" t="str">
        <f>[3]awpc!E20</f>
        <v>UKR</v>
      </c>
      <c r="F26" s="6">
        <f>[3]awpc!F20</f>
        <v>40375</v>
      </c>
      <c r="G26" s="1" t="str">
        <f>[3]awpc!G20</f>
        <v>West Palm Beach</v>
      </c>
    </row>
    <row r="27" spans="1:7" x14ac:dyDescent="0.25">
      <c r="A27" s="1">
        <f>[3]awpc!A21</f>
        <v>67.5</v>
      </c>
      <c r="B27" s="1">
        <f>[3]awpc!B21</f>
        <v>140</v>
      </c>
      <c r="C27" s="5" t="str">
        <f>[3]awpc!C21</f>
        <v>Medvedeva, Yulia</v>
      </c>
      <c r="D27" s="5">
        <f>[3]awpc!D21</f>
        <v>79</v>
      </c>
      <c r="E27" s="1" t="str">
        <f>[3]awpc!E21</f>
        <v>RUS</v>
      </c>
      <c r="F27" s="6">
        <f>[3]awpc!F21</f>
        <v>40034</v>
      </c>
      <c r="G27" s="1" t="str">
        <f>[3]awpc!G21</f>
        <v>Kursk</v>
      </c>
    </row>
    <row r="28" spans="1:7" x14ac:dyDescent="0.25">
      <c r="A28" s="1">
        <f>[3]awpc!A22</f>
        <v>75</v>
      </c>
      <c r="B28" s="1">
        <f>[3]awpc!B22</f>
        <v>155</v>
      </c>
      <c r="C28" s="5" t="str">
        <f>[3]awpc!C22</f>
        <v>Fineis-Curry, Brooke</v>
      </c>
      <c r="D28" s="5">
        <f>[3]awpc!D22</f>
        <v>77</v>
      </c>
      <c r="E28" s="1" t="str">
        <f>[3]awpc!E22</f>
        <v>USA</v>
      </c>
      <c r="F28" s="6">
        <f>[3]awpc!F22</f>
        <v>38920</v>
      </c>
      <c r="G28" s="1" t="str">
        <f>[3]awpc!G22</f>
        <v>Flint</v>
      </c>
    </row>
    <row r="29" spans="1:7" x14ac:dyDescent="0.25">
      <c r="A29" s="1">
        <f>[3]awpc!A23</f>
        <v>82.5</v>
      </c>
      <c r="B29" s="1">
        <f>[3]awpc!B23</f>
        <v>130</v>
      </c>
      <c r="C29" s="5" t="str">
        <f>[3]awpc!C23</f>
        <v>Bako Nataliya</v>
      </c>
      <c r="D29" s="5">
        <f>[3]awpc!D23</f>
        <v>73</v>
      </c>
      <c r="E29" s="1" t="str">
        <f>[3]awpc!E23</f>
        <v>RUS</v>
      </c>
      <c r="F29" s="6">
        <f>[3]awpc!F23</f>
        <v>40025</v>
      </c>
      <c r="G29" s="1" t="str">
        <f>[3]awpc!G23</f>
        <v>Burr Ridge</v>
      </c>
    </row>
    <row r="30" spans="1:7" x14ac:dyDescent="0.25">
      <c r="A30" s="1">
        <f>[3]awpc!A24</f>
        <v>90</v>
      </c>
      <c r="B30" s="1">
        <f>[3]awpc!B24</f>
        <v>130</v>
      </c>
      <c r="C30" s="5" t="str">
        <f>[3]awpc!C24</f>
        <v>Johnson</v>
      </c>
      <c r="D30" s="5">
        <f>[3]awpc!D24</f>
        <v>0</v>
      </c>
      <c r="E30" s="1" t="str">
        <f>[3]awpc!E24</f>
        <v>USA</v>
      </c>
      <c r="F30" s="6">
        <f>[3]awpc!F24</f>
        <v>1999</v>
      </c>
      <c r="G30" s="1">
        <f>[3]awpc!G24</f>
        <v>0</v>
      </c>
    </row>
    <row r="31" spans="1:7" x14ac:dyDescent="0.25">
      <c r="A31" s="1" t="str">
        <f>[3]awpc!A25</f>
        <v>90+</v>
      </c>
      <c r="B31" s="1">
        <f>[3]awpc!B25</f>
        <v>190</v>
      </c>
      <c r="C31" s="5" t="str">
        <f>[3]awpc!C25</f>
        <v>Nutter, Rachel</v>
      </c>
      <c r="D31" s="5">
        <f>[3]awpc!D25</f>
        <v>70</v>
      </c>
      <c r="E31" s="1" t="str">
        <f>[3]awpc!E25</f>
        <v>USA</v>
      </c>
      <c r="F31" s="6">
        <f>[3]awpc!F25</f>
        <v>40789</v>
      </c>
      <c r="G31" s="1" t="str">
        <f>[3]awpc!G25</f>
        <v>Idaho Falls</v>
      </c>
    </row>
    <row r="33" spans="1:7" s="11" customFormat="1" x14ac:dyDescent="0.25">
      <c r="A33" s="20" t="s">
        <v>0</v>
      </c>
      <c r="B33" s="20">
        <v>1</v>
      </c>
      <c r="C33" s="21">
        <v>20</v>
      </c>
      <c r="D33" s="21" t="str">
        <f>[3]awpc!C27</f>
        <v xml:space="preserve">Men's Junior 20-23 </v>
      </c>
      <c r="E33" s="22"/>
      <c r="F33" s="23"/>
      <c r="G33" s="22"/>
    </row>
    <row r="34" spans="1:7" x14ac:dyDescent="0.25">
      <c r="A34" s="1">
        <f>[3]awpc!A28</f>
        <v>52</v>
      </c>
      <c r="B34" s="1">
        <f>[3]awpc!B28</f>
        <v>127.5</v>
      </c>
      <c r="C34" s="5" t="str">
        <f>[3]awpc!C28</f>
        <v>Sokushev,Vadim</v>
      </c>
      <c r="D34" s="5">
        <f>[3]awpc!D28</f>
        <v>90</v>
      </c>
      <c r="E34" s="1" t="str">
        <f>[3]awpc!E28</f>
        <v>RUS</v>
      </c>
      <c r="F34" s="6">
        <f>[3]awpc!F28</f>
        <v>41502</v>
      </c>
      <c r="G34" s="1" t="str">
        <f>[3]awpc!G28</f>
        <v>Novosibirsk</v>
      </c>
    </row>
    <row r="35" spans="1:7" x14ac:dyDescent="0.25">
      <c r="A35" s="1">
        <f>[3]awpc!A29</f>
        <v>56</v>
      </c>
      <c r="B35" s="1">
        <f>[3]awpc!B29</f>
        <v>72.5</v>
      </c>
      <c r="C35" s="5" t="str">
        <f>[3]awpc!C29</f>
        <v>Akakiev,Vladimir</v>
      </c>
      <c r="D35" s="5">
        <f>[3]awpc!D29</f>
        <v>85</v>
      </c>
      <c r="E35" s="1" t="str">
        <f>[3]awpc!E29</f>
        <v>RUS</v>
      </c>
      <c r="F35" s="6">
        <f>[3]awpc!F29</f>
        <v>39606</v>
      </c>
      <c r="G35" s="1" t="str">
        <f>[3]awpc!G29</f>
        <v>Kursk</v>
      </c>
    </row>
    <row r="36" spans="1:7" x14ac:dyDescent="0.25">
      <c r="A36" s="1">
        <f>[3]awpc!A30</f>
        <v>60</v>
      </c>
      <c r="B36" s="1">
        <f>[3]awpc!B30</f>
        <v>132.5</v>
      </c>
      <c r="C36" s="5" t="str">
        <f>[3]awpc!C30</f>
        <v>Yanushkevich,Andrei</v>
      </c>
      <c r="D36" s="5">
        <f>[3]awpc!D30</f>
        <v>84</v>
      </c>
      <c r="E36" s="1" t="str">
        <f>[3]awpc!E30</f>
        <v>RUS</v>
      </c>
      <c r="F36" s="6">
        <f>[3]awpc!F30</f>
        <v>39123</v>
      </c>
      <c r="G36" s="1" t="str">
        <f>[3]awpc!G30</f>
        <v>Chelyabinsk</v>
      </c>
    </row>
    <row r="37" spans="1:7" x14ac:dyDescent="0.25">
      <c r="A37" s="1">
        <f>[3]awpc!A31</f>
        <v>67.5</v>
      </c>
      <c r="B37" s="1">
        <f>[3]awpc!B31</f>
        <v>175</v>
      </c>
      <c r="C37" s="5" t="str">
        <f>[3]awpc!C31</f>
        <v>Warpeha</v>
      </c>
      <c r="D37" s="5">
        <f>[3]awpc!D31</f>
        <v>0</v>
      </c>
      <c r="E37" s="1" t="str">
        <f>[3]awpc!E31</f>
        <v>USA</v>
      </c>
      <c r="F37" s="6" t="str">
        <f>[3]awpc!F31</f>
        <v>\</v>
      </c>
      <c r="G37" s="1">
        <f>[3]awpc!G31</f>
        <v>0</v>
      </c>
    </row>
    <row r="38" spans="1:7" x14ac:dyDescent="0.25">
      <c r="A38" s="1">
        <f>[3]awpc!A32</f>
        <v>75</v>
      </c>
      <c r="B38" s="1">
        <f>[3]awpc!B32</f>
        <v>200</v>
      </c>
      <c r="C38" s="5" t="str">
        <f>[3]awpc!C32</f>
        <v>Land, John</v>
      </c>
      <c r="D38" s="5">
        <f>[3]awpc!D32</f>
        <v>83</v>
      </c>
      <c r="E38" s="1" t="str">
        <f>[3]awpc!E32</f>
        <v>USA</v>
      </c>
      <c r="F38" s="6">
        <f>[3]awpc!F32</f>
        <v>38814</v>
      </c>
      <c r="G38" s="1" t="str">
        <f>[3]awpc!G32</f>
        <v>Baton Rouge</v>
      </c>
    </row>
    <row r="39" spans="1:7" x14ac:dyDescent="0.25">
      <c r="A39" s="1">
        <f>[3]awpc!A33</f>
        <v>82.5</v>
      </c>
      <c r="B39" s="1">
        <f>[3]awpc!B33</f>
        <v>220</v>
      </c>
      <c r="C39" s="5" t="str">
        <f>[3]awpc!C33</f>
        <v xml:space="preserve">Pronin,Denis </v>
      </c>
      <c r="D39" s="5">
        <f>[3]awpc!D33</f>
        <v>88</v>
      </c>
      <c r="E39" s="1" t="str">
        <f>[3]awpc!E33</f>
        <v>CAN</v>
      </c>
      <c r="F39" s="6">
        <f>[3]awpc!F33</f>
        <v>40375</v>
      </c>
      <c r="G39" s="1" t="str">
        <f>[3]awpc!G33</f>
        <v>West Palm Beach</v>
      </c>
    </row>
    <row r="40" spans="1:7" x14ac:dyDescent="0.25">
      <c r="A40" s="1">
        <f>[3]awpc!A34</f>
        <v>90</v>
      </c>
      <c r="B40" s="1">
        <f>[3]awpc!B34</f>
        <v>250</v>
      </c>
      <c r="C40" s="5" t="str">
        <f>[3]awpc!C34</f>
        <v>DeCaires,Eric</v>
      </c>
      <c r="D40" s="5">
        <f>[3]awpc!D34</f>
        <v>86</v>
      </c>
      <c r="E40" s="1" t="str">
        <f>[3]awpc!E34</f>
        <v>USA</v>
      </c>
      <c r="F40" s="6">
        <f>[3]awpc!F34</f>
        <v>40286</v>
      </c>
      <c r="G40" s="1" t="str">
        <f>[3]awpc!G34</f>
        <v>Detroit</v>
      </c>
    </row>
    <row r="41" spans="1:7" x14ac:dyDescent="0.25">
      <c r="A41" s="1">
        <f>[3]awpc!A35</f>
        <v>100</v>
      </c>
      <c r="B41" s="1">
        <f>[3]awpc!B35</f>
        <v>250</v>
      </c>
      <c r="C41" s="5" t="str">
        <f>[3]awpc!C35</f>
        <v>Likhovitskiy,Ivan</v>
      </c>
      <c r="D41" s="5">
        <f>[3]awpc!D35</f>
        <v>90</v>
      </c>
      <c r="E41" s="1" t="str">
        <f>[3]awpc!E35</f>
        <v>RUS</v>
      </c>
      <c r="F41" s="6">
        <f>[3]awpc!F35</f>
        <v>41201</v>
      </c>
      <c r="G41" s="1" t="str">
        <f>[3]awpc!G35</f>
        <v>Krasnodar</v>
      </c>
    </row>
    <row r="42" spans="1:7" x14ac:dyDescent="0.25">
      <c r="A42" s="1">
        <f>[3]awpc!A36</f>
        <v>110</v>
      </c>
      <c r="B42" s="1">
        <f>[3]awpc!B36</f>
        <v>250</v>
      </c>
      <c r="C42" s="5" t="str">
        <f>[3]awpc!C36</f>
        <v>Kulebyakin Ruslan</v>
      </c>
      <c r="D42" s="5">
        <f>[3]awpc!D36</f>
        <v>91</v>
      </c>
      <c r="E42" s="1" t="str">
        <f>[3]awpc!E36</f>
        <v>RUS</v>
      </c>
      <c r="F42" s="6" t="str">
        <f>[3]awpc!F36</f>
        <v>23.08.2014</v>
      </c>
      <c r="G42" s="1" t="str">
        <f>[3]awpc!G36</f>
        <v>Moscow</v>
      </c>
    </row>
    <row r="43" spans="1:7" x14ac:dyDescent="0.25">
      <c r="A43" s="1">
        <f>[3]awpc!A37</f>
        <v>125</v>
      </c>
      <c r="B43" s="1">
        <f>[3]awpc!B37</f>
        <v>242.5</v>
      </c>
      <c r="C43" s="5" t="str">
        <f>[3]awpc!C37</f>
        <v>Briley, Chad</v>
      </c>
      <c r="D43" s="5">
        <f>[3]awpc!D37</f>
        <v>83</v>
      </c>
      <c r="E43" s="1" t="str">
        <f>[3]awpc!E37</f>
        <v>USA</v>
      </c>
      <c r="F43" s="6">
        <f>[3]awpc!F37</f>
        <v>38814</v>
      </c>
      <c r="G43" s="1" t="str">
        <f>[3]awpc!G37</f>
        <v>Baton Rouge</v>
      </c>
    </row>
    <row r="44" spans="1:7" x14ac:dyDescent="0.25">
      <c r="A44" s="1">
        <f>[3]awpc!A38</f>
        <v>140</v>
      </c>
      <c r="B44" s="1">
        <f>[3]awpc!B38</f>
        <v>237.5</v>
      </c>
      <c r="C44" s="5" t="str">
        <f>[3]awpc!C38</f>
        <v>Court, Mathew</v>
      </c>
      <c r="D44" s="5">
        <f>[3]awpc!D38</f>
        <v>84</v>
      </c>
      <c r="E44" s="1" t="str">
        <f>[3]awpc!E38</f>
        <v>CAN</v>
      </c>
      <c r="F44" s="6">
        <f>[3]awpc!F38</f>
        <v>39207</v>
      </c>
      <c r="G44" s="1" t="str">
        <f>[3]awpc!G38</f>
        <v>Toronto</v>
      </c>
    </row>
    <row r="45" spans="1:7" x14ac:dyDescent="0.25">
      <c r="A45" s="1" t="str">
        <f>[3]awpc!A39</f>
        <v>140+</v>
      </c>
      <c r="B45" s="1">
        <f>[3]awpc!B39</f>
        <v>272.5</v>
      </c>
      <c r="C45" s="5" t="str">
        <f>[3]awpc!C39</f>
        <v>Singh, Richard</v>
      </c>
      <c r="D45" s="5">
        <f>[3]awpc!D39</f>
        <v>88</v>
      </c>
      <c r="E45" s="1" t="str">
        <f>[3]awpc!E39</f>
        <v>CAN</v>
      </c>
      <c r="F45" s="6">
        <f>[3]awpc!F39</f>
        <v>41063</v>
      </c>
      <c r="G45" s="1" t="str">
        <f>[3]awpc!G39</f>
        <v>Ontario</v>
      </c>
    </row>
    <row r="47" spans="1:7" s="11" customFormat="1" x14ac:dyDescent="0.25">
      <c r="A47" s="20" t="s">
        <v>0</v>
      </c>
      <c r="B47" s="20">
        <v>0</v>
      </c>
      <c r="C47" s="21">
        <v>20</v>
      </c>
      <c r="D47" s="21" t="str">
        <f>[3]awpc!C41</f>
        <v>Women's Junior 20-23</v>
      </c>
      <c r="E47" s="22"/>
      <c r="F47" s="23"/>
      <c r="G47" s="22"/>
    </row>
    <row r="48" spans="1:7" x14ac:dyDescent="0.25">
      <c r="A48" s="1">
        <f>[3]awpc!A42</f>
        <v>44</v>
      </c>
      <c r="B48" s="1">
        <f>[3]awpc!B42</f>
        <v>0</v>
      </c>
      <c r="C48" s="5">
        <f>[3]awpc!C42</f>
        <v>0</v>
      </c>
      <c r="D48" s="5">
        <f>[3]awpc!D42</f>
        <v>0</v>
      </c>
      <c r="E48" s="1">
        <f>[3]awpc!E42</f>
        <v>0</v>
      </c>
      <c r="F48" s="6">
        <f>[3]awpc!F42</f>
        <v>0</v>
      </c>
      <c r="G48" s="1">
        <f>[3]awpc!G42</f>
        <v>0</v>
      </c>
    </row>
    <row r="49" spans="1:7" x14ac:dyDescent="0.25">
      <c r="A49" s="1">
        <f>[3]awpc!A43</f>
        <v>48</v>
      </c>
      <c r="B49" s="1">
        <f>[3]awpc!B43</f>
        <v>80</v>
      </c>
      <c r="C49" s="5" t="str">
        <f>[3]awpc!C43</f>
        <v>Dudyreva, Irina</v>
      </c>
      <c r="D49" s="5">
        <f>[3]awpc!D43</f>
        <v>90</v>
      </c>
      <c r="E49" s="1" t="str">
        <f>[3]awpc!E43</f>
        <v>RUS</v>
      </c>
      <c r="F49" s="6">
        <f>[3]awpc!F43</f>
        <v>40409</v>
      </c>
      <c r="G49" s="1" t="str">
        <f>[3]awpc!G43</f>
        <v>Moscow</v>
      </c>
    </row>
    <row r="50" spans="1:7" x14ac:dyDescent="0.25">
      <c r="A50" s="1">
        <f>[3]awpc!A44</f>
        <v>52</v>
      </c>
      <c r="B50" s="1">
        <f>[3]awpc!B44</f>
        <v>85</v>
      </c>
      <c r="C50" s="5" t="str">
        <f>[3]awpc!C44</f>
        <v>Blinkova,Natalya</v>
      </c>
      <c r="D50" s="5">
        <f>[3]awpc!D44</f>
        <v>92</v>
      </c>
      <c r="E50" s="1" t="str">
        <f>[3]awpc!E44</f>
        <v>RUS</v>
      </c>
      <c r="F50" s="6">
        <f>[3]awpc!F44</f>
        <v>41129</v>
      </c>
      <c r="G50" s="1" t="str">
        <f>[3]awpc!G44</f>
        <v>Kryvyi Rig</v>
      </c>
    </row>
    <row r="51" spans="1:7" x14ac:dyDescent="0.25">
      <c r="A51" s="1">
        <f>[3]awpc!A45</f>
        <v>56</v>
      </c>
      <c r="B51" s="1">
        <f>[3]awpc!B45</f>
        <v>65</v>
      </c>
      <c r="C51" s="5" t="str">
        <f>[3]awpc!C45</f>
        <v>Ogorodnikova,Anna</v>
      </c>
      <c r="D51" s="5">
        <f>[3]awpc!D45</f>
        <v>84</v>
      </c>
      <c r="E51" s="1" t="str">
        <f>[3]awpc!E45</f>
        <v>RUS</v>
      </c>
      <c r="F51" s="6">
        <f>[3]awpc!F45</f>
        <v>39312</v>
      </c>
      <c r="G51" s="1" t="str">
        <f>[3]awpc!G45</f>
        <v>Kursk</v>
      </c>
    </row>
    <row r="52" spans="1:7" x14ac:dyDescent="0.25">
      <c r="A52" s="1">
        <f>[3]awpc!A46</f>
        <v>60</v>
      </c>
      <c r="B52" s="1">
        <f>[3]awpc!B46</f>
        <v>88</v>
      </c>
      <c r="C52" s="5" t="str">
        <f>[3]awpc!C46</f>
        <v>Telpova,Olga</v>
      </c>
      <c r="D52" s="5">
        <f>[3]awpc!D46</f>
        <v>86</v>
      </c>
      <c r="E52" s="1" t="str">
        <f>[3]awpc!E46</f>
        <v>RUS</v>
      </c>
      <c r="F52" s="6">
        <f>[3]awpc!F46</f>
        <v>40258</v>
      </c>
      <c r="G52" s="1" t="str">
        <f>[3]awpc!G46</f>
        <v>Kursk</v>
      </c>
    </row>
    <row r="53" spans="1:7" x14ac:dyDescent="0.25">
      <c r="A53" s="1">
        <f>[3]awpc!A47</f>
        <v>67.5</v>
      </c>
      <c r="B53" s="1">
        <f>[3]awpc!B47</f>
        <v>90</v>
      </c>
      <c r="C53" s="5" t="str">
        <f>[3]awpc!C47</f>
        <v>Gongor Otgontuya</v>
      </c>
      <c r="D53" s="5">
        <f>[3]awpc!D47</f>
        <v>91</v>
      </c>
      <c r="E53" s="1" t="str">
        <f>[3]awpc!E47</f>
        <v>MGL</v>
      </c>
      <c r="F53" s="6" t="str">
        <f>[3]awpc!F47</f>
        <v>23.08.2014</v>
      </c>
      <c r="G53" s="1" t="str">
        <f>[3]awpc!G47</f>
        <v>Moscow</v>
      </c>
    </row>
    <row r="54" spans="1:7" x14ac:dyDescent="0.25">
      <c r="A54" s="1">
        <f>[3]awpc!A48</f>
        <v>75</v>
      </c>
      <c r="B54" s="1">
        <f>[3]awpc!B48</f>
        <v>95</v>
      </c>
      <c r="C54" s="5" t="str">
        <f>[3]awpc!C48</f>
        <v>Desrosier, Jasmin</v>
      </c>
      <c r="D54" s="5">
        <f>[3]awpc!D48</f>
        <v>83</v>
      </c>
      <c r="E54" s="1" t="str">
        <f>[3]awpc!E48</f>
        <v>USA</v>
      </c>
      <c r="F54" s="6">
        <f>[3]awpc!F48</f>
        <v>38464</v>
      </c>
      <c r="G54" s="1" t="str">
        <f>[3]awpc!G48</f>
        <v>Saco</v>
      </c>
    </row>
    <row r="55" spans="1:7" x14ac:dyDescent="0.25">
      <c r="A55" s="1">
        <f>[3]awpc!A49</f>
        <v>82.5</v>
      </c>
      <c r="B55" s="1">
        <f>[3]awpc!B49</f>
        <v>85</v>
      </c>
      <c r="C55" s="5" t="str">
        <f>[3]awpc!C49</f>
        <v>Licata</v>
      </c>
      <c r="D55" s="5">
        <f>[3]awpc!D49</f>
        <v>0</v>
      </c>
      <c r="E55" s="1" t="str">
        <f>[3]awpc!E49</f>
        <v>USA</v>
      </c>
      <c r="F55" s="6">
        <f>[3]awpc!F49</f>
        <v>2000</v>
      </c>
      <c r="G55" s="1">
        <f>[3]awpc!G49</f>
        <v>0</v>
      </c>
    </row>
    <row r="56" spans="1:7" x14ac:dyDescent="0.25">
      <c r="A56" s="1">
        <f>[3]awpc!A50</f>
        <v>90</v>
      </c>
      <c r="B56" s="1">
        <f>[3]awpc!B50</f>
        <v>0</v>
      </c>
      <c r="C56" s="5">
        <f>[3]awpc!C50</f>
        <v>0</v>
      </c>
      <c r="D56" s="5">
        <f>[3]awpc!D50</f>
        <v>0</v>
      </c>
      <c r="E56" s="1">
        <f>[3]awpc!E50</f>
        <v>0</v>
      </c>
      <c r="F56" s="6">
        <f>[3]awpc!F50</f>
        <v>0</v>
      </c>
      <c r="G56" s="1">
        <f>[3]awpc!G50</f>
        <v>0</v>
      </c>
    </row>
    <row r="57" spans="1:7" x14ac:dyDescent="0.25">
      <c r="A57" s="1" t="str">
        <f>[3]awpc!A51</f>
        <v>90+</v>
      </c>
      <c r="B57" s="1">
        <f>[3]awpc!B51</f>
        <v>0</v>
      </c>
      <c r="C57" s="5">
        <f>[3]awpc!C51</f>
        <v>0</v>
      </c>
      <c r="D57" s="5">
        <f>[3]awpc!D51</f>
        <v>0</v>
      </c>
      <c r="E57" s="1">
        <f>[3]awpc!E51</f>
        <v>0</v>
      </c>
      <c r="F57" s="6">
        <f>[3]awpc!F51</f>
        <v>0</v>
      </c>
      <c r="G57" s="1">
        <f>[3]awpc!G51</f>
        <v>0</v>
      </c>
    </row>
    <row r="59" spans="1:7" s="11" customFormat="1" x14ac:dyDescent="0.25">
      <c r="A59" s="20" t="s">
        <v>0</v>
      </c>
      <c r="B59" s="20">
        <v>1</v>
      </c>
      <c r="C59" s="21">
        <v>13</v>
      </c>
      <c r="D59" s="21" t="str">
        <f>[3]awpc!C53</f>
        <v>Men's 13-15</v>
      </c>
      <c r="E59" s="22"/>
      <c r="F59" s="23"/>
      <c r="G59" s="22"/>
    </row>
    <row r="60" spans="1:7" x14ac:dyDescent="0.25">
      <c r="A60" s="1">
        <f>[3]awpc!A54</f>
        <v>52</v>
      </c>
      <c r="B60" s="1">
        <f>[3]awpc!B54</f>
        <v>80</v>
      </c>
      <c r="C60" s="5" t="str">
        <f>[3]awpc!C54</f>
        <v>Grechko Sergey</v>
      </c>
      <c r="D60" s="5">
        <f>[3]awpc!D54</f>
        <v>92</v>
      </c>
      <c r="E60" s="1" t="str">
        <f>[3]awpc!E54</f>
        <v>RUS</v>
      </c>
      <c r="F60" s="6">
        <f>[3]awpc!F54</f>
        <v>39529</v>
      </c>
      <c r="G60" s="1" t="str">
        <f>[3]awpc!G54</f>
        <v xml:space="preserve">Rostov </v>
      </c>
    </row>
    <row r="61" spans="1:7" x14ac:dyDescent="0.25">
      <c r="A61" s="1">
        <f>[3]awpc!A55</f>
        <v>56</v>
      </c>
      <c r="B61" s="1">
        <f>[3]awpc!B55</f>
        <v>67.5</v>
      </c>
      <c r="C61" s="5" t="str">
        <f>[3]awpc!C55</f>
        <v>Petrosyan Arman</v>
      </c>
      <c r="D61" s="5">
        <f>[3]awpc!D55</f>
        <v>93</v>
      </c>
      <c r="E61" s="1" t="str">
        <f>[3]awpc!E55</f>
        <v>RUS</v>
      </c>
      <c r="F61" s="6">
        <f>[3]awpc!F55</f>
        <v>39669</v>
      </c>
      <c r="G61" s="1" t="str">
        <f>[3]awpc!G55</f>
        <v>Kursk</v>
      </c>
    </row>
    <row r="62" spans="1:7" x14ac:dyDescent="0.25">
      <c r="A62" s="1">
        <f>[3]awpc!A56</f>
        <v>60</v>
      </c>
      <c r="B62" s="1">
        <f>[3]awpc!B56</f>
        <v>115</v>
      </c>
      <c r="C62" s="5" t="str">
        <f>[3]awpc!C56</f>
        <v>Dunn, Jordan</v>
      </c>
      <c r="D62" s="5">
        <f>[3]awpc!D56</f>
        <v>91</v>
      </c>
      <c r="E62" s="1" t="str">
        <f>[3]awpc!E56</f>
        <v>USA</v>
      </c>
      <c r="F62" s="6">
        <f>[3]awpc!F56</f>
        <v>38814</v>
      </c>
      <c r="G62" s="1" t="str">
        <f>[3]awpc!G56</f>
        <v>Baton Rouge</v>
      </c>
    </row>
    <row r="63" spans="1:7" x14ac:dyDescent="0.25">
      <c r="A63" s="1">
        <f>[3]awpc!A57</f>
        <v>67.5</v>
      </c>
      <c r="B63" s="1">
        <f>[3]awpc!B57</f>
        <v>117.5</v>
      </c>
      <c r="C63" s="5" t="str">
        <f>[3]awpc!C57</f>
        <v>Tishinin,Denis</v>
      </c>
      <c r="D63" s="5">
        <f>[3]awpc!D57</f>
        <v>91</v>
      </c>
      <c r="E63" s="1" t="str">
        <f>[3]awpc!E57</f>
        <v>RUS</v>
      </c>
      <c r="F63" s="6">
        <f>[3]awpc!F57</f>
        <v>39312</v>
      </c>
      <c r="G63" s="1" t="str">
        <f>[3]awpc!G57</f>
        <v>Kursk</v>
      </c>
    </row>
    <row r="64" spans="1:7" x14ac:dyDescent="0.25">
      <c r="A64" s="1">
        <f>[3]awpc!A58</f>
        <v>75</v>
      </c>
      <c r="B64" s="1">
        <f>[3]awpc!B58</f>
        <v>112.5</v>
      </c>
      <c r="C64" s="5" t="str">
        <f>[3]awpc!C58</f>
        <v>Rezitsky,Nikita</v>
      </c>
      <c r="D64" s="5">
        <f>[3]awpc!D58</f>
        <v>93</v>
      </c>
      <c r="E64" s="1" t="str">
        <f>[3]awpc!E58</f>
        <v>RUS</v>
      </c>
      <c r="F64" s="6">
        <f>[3]awpc!F58</f>
        <v>39873</v>
      </c>
      <c r="G64" s="1" t="str">
        <f>[3]awpc!G58</f>
        <v>Chelyabinsk</v>
      </c>
    </row>
    <row r="65" spans="1:7" x14ac:dyDescent="0.25">
      <c r="A65" s="1">
        <f>[3]awpc!A59</f>
        <v>82.5</v>
      </c>
      <c r="B65" s="1">
        <f>[3]awpc!B59</f>
        <v>172.5</v>
      </c>
      <c r="C65" s="5" t="str">
        <f>[3]awpc!C59</f>
        <v>Frizzell</v>
      </c>
      <c r="D65" s="5">
        <f>[3]awpc!D59</f>
        <v>0</v>
      </c>
      <c r="E65" s="1" t="str">
        <f>[3]awpc!E59</f>
        <v>USA</v>
      </c>
      <c r="F65" s="6">
        <f>[3]awpc!F59</f>
        <v>2002</v>
      </c>
      <c r="G65" s="1">
        <f>[3]awpc!G59</f>
        <v>0</v>
      </c>
    </row>
    <row r="66" spans="1:7" x14ac:dyDescent="0.25">
      <c r="A66" s="1">
        <f>[3]awpc!A60</f>
        <v>90</v>
      </c>
      <c r="B66" s="1">
        <f>[3]awpc!B60</f>
        <v>138.5</v>
      </c>
      <c r="C66" s="5" t="str">
        <f>[3]awpc!C60</f>
        <v>Archuleta,Gabriel</v>
      </c>
      <c r="D66" s="5">
        <f>[3]awpc!D60</f>
        <v>94</v>
      </c>
      <c r="E66" s="1" t="str">
        <f>[3]awpc!E60</f>
        <v>USA</v>
      </c>
      <c r="F66" s="6">
        <f>[3]awpc!F60</f>
        <v>39907</v>
      </c>
      <c r="G66" s="1" t="str">
        <f>[3]awpc!G60</f>
        <v>Idaho Falls</v>
      </c>
    </row>
    <row r="67" spans="1:7" x14ac:dyDescent="0.25">
      <c r="A67" s="1">
        <f>[3]awpc!A61</f>
        <v>100</v>
      </c>
      <c r="B67" s="1">
        <f>[3]awpc!B61</f>
        <v>140</v>
      </c>
      <c r="C67" s="5" t="str">
        <f>[3]awpc!C61</f>
        <v>Abrego, Vincent</v>
      </c>
      <c r="D67" s="5">
        <f>[3]awpc!D61</f>
        <v>0</v>
      </c>
      <c r="E67" s="1" t="str">
        <f>[3]awpc!E61</f>
        <v>USA</v>
      </c>
      <c r="F67" s="6">
        <f>[3]awpc!F61</f>
        <v>2003</v>
      </c>
      <c r="G67" s="1">
        <f>[3]awpc!G61</f>
        <v>0</v>
      </c>
    </row>
    <row r="68" spans="1:7" x14ac:dyDescent="0.25">
      <c r="A68" s="1">
        <f>[3]awpc!A62</f>
        <v>110</v>
      </c>
      <c r="B68" s="1">
        <f>[3]awpc!B62</f>
        <v>210</v>
      </c>
      <c r="C68" s="5" t="str">
        <f>[3]awpc!C62</f>
        <v>Kennedy,Cody</v>
      </c>
      <c r="D68" s="5">
        <f>[3]awpc!D62</f>
        <v>95</v>
      </c>
      <c r="E68" s="1" t="str">
        <f>[3]awpc!E62</f>
        <v>USA</v>
      </c>
      <c r="F68" s="6">
        <f>[3]awpc!F62</f>
        <v>40375</v>
      </c>
      <c r="G68" s="1" t="str">
        <f>[3]awpc!G62</f>
        <v>West Palm Beach</v>
      </c>
    </row>
    <row r="69" spans="1:7" x14ac:dyDescent="0.25">
      <c r="A69" s="1">
        <f>[3]awpc!A63</f>
        <v>125</v>
      </c>
      <c r="B69" s="1">
        <f>[3]awpc!B63</f>
        <v>155</v>
      </c>
      <c r="C69" s="5" t="str">
        <f>[3]awpc!C63</f>
        <v>Aspuru, Fernando</v>
      </c>
      <c r="D69" s="5">
        <f>[3]awpc!D63</f>
        <v>83</v>
      </c>
      <c r="E69" s="1" t="str">
        <f>[3]awpc!E63</f>
        <v>USA</v>
      </c>
      <c r="F69" s="6">
        <f>[3]awpc!F63</f>
        <v>1999</v>
      </c>
      <c r="G69" s="1">
        <f>[3]awpc!G63</f>
        <v>0</v>
      </c>
    </row>
    <row r="70" spans="1:7" x14ac:dyDescent="0.25">
      <c r="A70" s="1">
        <f>[3]awpc!A64</f>
        <v>140</v>
      </c>
      <c r="B70" s="1">
        <f>[3]awpc!B64</f>
        <v>145</v>
      </c>
      <c r="C70" s="5" t="str">
        <f>[3]awpc!C64</f>
        <v>Middleton</v>
      </c>
      <c r="D70" s="5">
        <f>[3]awpc!D64</f>
        <v>0</v>
      </c>
      <c r="E70" s="1" t="str">
        <f>[3]awpc!E64</f>
        <v>USA</v>
      </c>
      <c r="F70" s="6">
        <f>[3]awpc!F64</f>
        <v>2001</v>
      </c>
      <c r="G70" s="1">
        <f>[3]awpc!G64</f>
        <v>0</v>
      </c>
    </row>
    <row r="71" spans="1:7" x14ac:dyDescent="0.25">
      <c r="A71" s="1" t="str">
        <f>[3]awpc!A65</f>
        <v>140+</v>
      </c>
      <c r="B71" s="1">
        <f>[3]awpc!B65</f>
        <v>0</v>
      </c>
      <c r="C71" s="5">
        <f>[3]awpc!C65</f>
        <v>0</v>
      </c>
      <c r="D71" s="5">
        <f>[3]awpc!D65</f>
        <v>0</v>
      </c>
      <c r="E71" s="1">
        <f>[3]awpc!E65</f>
        <v>0</v>
      </c>
      <c r="F71" s="6">
        <f>[3]awpc!F65</f>
        <v>0</v>
      </c>
      <c r="G71" s="1">
        <f>[3]awpc!G65</f>
        <v>0</v>
      </c>
    </row>
    <row r="73" spans="1:7" s="11" customFormat="1" x14ac:dyDescent="0.25">
      <c r="A73" s="20" t="s">
        <v>0</v>
      </c>
      <c r="B73" s="20">
        <v>1</v>
      </c>
      <c r="C73" s="21">
        <v>16</v>
      </c>
      <c r="D73" s="21" t="str">
        <f>[3]awpc!C67</f>
        <v xml:space="preserve">Men's 16-17 </v>
      </c>
      <c r="E73" s="22"/>
      <c r="F73" s="23"/>
      <c r="G73" s="22"/>
    </row>
    <row r="74" spans="1:7" x14ac:dyDescent="0.25">
      <c r="A74" s="1">
        <f>[3]awpc!A68</f>
        <v>52</v>
      </c>
      <c r="B74" s="1">
        <f>[3]awpc!B68</f>
        <v>72.5</v>
      </c>
      <c r="C74" s="5" t="str">
        <f>[3]awpc!C68</f>
        <v>Sabelnikov,Ilya</v>
      </c>
      <c r="D74" s="5">
        <f>[3]awpc!D68</f>
        <v>91</v>
      </c>
      <c r="E74" s="1" t="str">
        <f>[3]awpc!E68</f>
        <v>RUS</v>
      </c>
      <c r="F74" s="6">
        <f>[3]awpc!F68</f>
        <v>39606</v>
      </c>
      <c r="G74" s="1" t="str">
        <f>[3]awpc!G68</f>
        <v>Kursk</v>
      </c>
    </row>
    <row r="75" spans="1:7" x14ac:dyDescent="0.25">
      <c r="A75" s="1">
        <f>[3]awpc!A69</f>
        <v>56</v>
      </c>
      <c r="B75" s="1" t="str">
        <f>[3]awpc!B69</f>
        <v>112.5</v>
      </c>
      <c r="C75" s="5" t="str">
        <f>[3]awpc!C69</f>
        <v>Guliev Fakhi</v>
      </c>
      <c r="D75" s="5">
        <f>[3]awpc!D69</f>
        <v>91</v>
      </c>
      <c r="E75" s="1" t="str">
        <f>[3]awpc!E69</f>
        <v>RUS</v>
      </c>
      <c r="F75" s="6">
        <f>[3]awpc!F69</f>
        <v>39529</v>
      </c>
      <c r="G75" s="1" t="str">
        <f>[3]awpc!G69</f>
        <v>Rostov</v>
      </c>
    </row>
    <row r="76" spans="1:7" x14ac:dyDescent="0.25">
      <c r="A76" s="1">
        <f>[3]awpc!A70</f>
        <v>60</v>
      </c>
      <c r="B76" s="1">
        <f>[3]awpc!B70</f>
        <v>142.5</v>
      </c>
      <c r="C76" s="5" t="str">
        <f>[3]awpc!C70</f>
        <v>Chekalin,Vladislav</v>
      </c>
      <c r="D76" s="5">
        <f>[3]awpc!D70</f>
        <v>95</v>
      </c>
      <c r="E76" s="1" t="str">
        <f>[3]awpc!E70</f>
        <v>RUS</v>
      </c>
      <c r="F76" s="6">
        <f>[3]awpc!F70</f>
        <v>41137</v>
      </c>
      <c r="G76" s="1" t="str">
        <f>[3]awpc!G70</f>
        <v>Novosibirsk</v>
      </c>
    </row>
    <row r="77" spans="1:7" x14ac:dyDescent="0.25">
      <c r="A77" s="1">
        <f>[3]awpc!A71</f>
        <v>67.5</v>
      </c>
      <c r="B77" s="1">
        <f>[3]awpc!B71</f>
        <v>150</v>
      </c>
      <c r="C77" s="5" t="str">
        <f>[3]awpc!C71</f>
        <v>Buchnev,Oleg</v>
      </c>
      <c r="D77" s="5">
        <f>[3]awpc!D71</f>
        <v>95</v>
      </c>
      <c r="E77" s="1" t="str">
        <f>[3]awpc!E71</f>
        <v>RUS</v>
      </c>
      <c r="F77" s="6">
        <f>[3]awpc!F71</f>
        <v>41129</v>
      </c>
      <c r="G77" s="1" t="str">
        <f>[3]awpc!G71</f>
        <v>Kryvyi Rig</v>
      </c>
    </row>
    <row r="78" spans="1:7" x14ac:dyDescent="0.25">
      <c r="A78" s="1">
        <f>[3]awpc!A72</f>
        <v>75</v>
      </c>
      <c r="B78" s="1">
        <f>[3]awpc!B72</f>
        <v>185</v>
      </c>
      <c r="C78" s="5" t="str">
        <f>[3]awpc!C72</f>
        <v>Dunn,Jordan</v>
      </c>
      <c r="D78" s="5">
        <f>[3]awpc!D72</f>
        <v>91</v>
      </c>
      <c r="E78" s="1" t="str">
        <f>[3]awpc!E72</f>
        <v>USA</v>
      </c>
      <c r="F78" s="6">
        <f>[3]awpc!F72</f>
        <v>39551</v>
      </c>
      <c r="G78" s="1" t="str">
        <f>[3]awpc!G72</f>
        <v>Lake George</v>
      </c>
    </row>
    <row r="79" spans="1:7" x14ac:dyDescent="0.25">
      <c r="A79" s="1">
        <f>[3]awpc!A73</f>
        <v>82.5</v>
      </c>
      <c r="B79" s="1">
        <f>[3]awpc!B73</f>
        <v>170</v>
      </c>
      <c r="C79" s="5" t="str">
        <f>[3]awpc!C73</f>
        <v>Karpenko,Alexander</v>
      </c>
      <c r="D79" s="5">
        <f>[3]awpc!D73</f>
        <v>92</v>
      </c>
      <c r="E79" s="1" t="str">
        <f>[3]awpc!E73</f>
        <v>RUS</v>
      </c>
      <c r="F79" s="6">
        <f>[3]awpc!F73</f>
        <v>40258</v>
      </c>
      <c r="G79" s="1" t="str">
        <f>[3]awpc!G73</f>
        <v>Kursk</v>
      </c>
    </row>
    <row r="80" spans="1:7" x14ac:dyDescent="0.25">
      <c r="A80" s="1">
        <f>[3]awpc!A74</f>
        <v>90</v>
      </c>
      <c r="B80" s="1">
        <f>[3]awpc!B74</f>
        <v>180</v>
      </c>
      <c r="C80" s="5" t="str">
        <f>[3]awpc!C74</f>
        <v>Boyko Ilya</v>
      </c>
      <c r="D80" s="5">
        <f>[3]awpc!D74</f>
        <v>94</v>
      </c>
      <c r="E80" s="1" t="str">
        <f>[3]awpc!E74</f>
        <v>RUS</v>
      </c>
      <c r="F80" s="6">
        <f>[3]awpc!F74</f>
        <v>40813</v>
      </c>
      <c r="G80" s="1" t="str">
        <f>[3]awpc!G74</f>
        <v>Yekaterinbourgh</v>
      </c>
    </row>
    <row r="81" spans="1:7" x14ac:dyDescent="0.25">
      <c r="A81" s="1">
        <f>[3]awpc!A75</f>
        <v>100</v>
      </c>
      <c r="B81" s="1">
        <f>[3]awpc!B75</f>
        <v>227.5</v>
      </c>
      <c r="C81" s="5" t="str">
        <f>[3]awpc!C75</f>
        <v>McCloskey,Anthony</v>
      </c>
      <c r="D81" s="5">
        <f>[3]awpc!D75</f>
        <v>91</v>
      </c>
      <c r="E81" s="1" t="str">
        <f>[3]awpc!E75</f>
        <v>USA</v>
      </c>
      <c r="F81" s="6">
        <f>[3]awpc!F75</f>
        <v>39551</v>
      </c>
      <c r="G81" s="1" t="str">
        <f>[3]awpc!G75</f>
        <v>Lake George</v>
      </c>
    </row>
    <row r="82" spans="1:7" x14ac:dyDescent="0.25">
      <c r="A82" s="1">
        <f>[3]awpc!A76</f>
        <v>110</v>
      </c>
      <c r="B82" s="1">
        <f>[3]awpc!B76</f>
        <v>195</v>
      </c>
      <c r="C82" s="5" t="str">
        <f>[3]awpc!C76</f>
        <v>Kinsely, Clayton</v>
      </c>
      <c r="D82" s="5">
        <f>[3]awpc!D76</f>
        <v>88</v>
      </c>
      <c r="E82" s="1" t="str">
        <f>[3]awpc!E76</f>
        <v>USA</v>
      </c>
      <c r="F82" s="6">
        <f>[3]awpc!F76</f>
        <v>38814</v>
      </c>
      <c r="G82" s="1" t="str">
        <f>[3]awpc!G76</f>
        <v>Baton Rouge</v>
      </c>
    </row>
    <row r="83" spans="1:7" x14ac:dyDescent="0.25">
      <c r="A83" s="1">
        <f>[3]awpc!A77</f>
        <v>125</v>
      </c>
      <c r="B83" s="1">
        <f>[3]awpc!B77</f>
        <v>227.5</v>
      </c>
      <c r="C83" s="5" t="str">
        <f>[3]awpc!C77</f>
        <v>Beck, Hunter</v>
      </c>
      <c r="D83" s="5">
        <f>[3]awpc!D77</f>
        <v>88</v>
      </c>
      <c r="E83" s="1" t="str">
        <f>[3]awpc!E77</f>
        <v>USA</v>
      </c>
      <c r="F83" s="6">
        <f>[3]awpc!F77</f>
        <v>38465</v>
      </c>
      <c r="G83" s="1" t="str">
        <f>[3]awpc!G77</f>
        <v>Saco</v>
      </c>
    </row>
    <row r="84" spans="1:7" x14ac:dyDescent="0.25">
      <c r="A84" s="1">
        <f>[3]awpc!A78</f>
        <v>140</v>
      </c>
      <c r="B84" s="1">
        <f>[3]awpc!B78</f>
        <v>200</v>
      </c>
      <c r="C84" s="5" t="str">
        <f>[3]awpc!C78</f>
        <v>Burton,Alex</v>
      </c>
      <c r="D84" s="5">
        <f>[3]awpc!D78</f>
        <v>90</v>
      </c>
      <c r="E84" s="1" t="str">
        <f>[3]awpc!E78</f>
        <v>USA</v>
      </c>
      <c r="F84" s="6">
        <f>[3]awpc!F78</f>
        <v>39661</v>
      </c>
      <c r="G84" s="1" t="str">
        <f>[3]awpc!G78</f>
        <v>Oak Brook</v>
      </c>
    </row>
    <row r="85" spans="1:7" x14ac:dyDescent="0.25">
      <c r="A85" s="1" t="str">
        <f>[3]awpc!A79</f>
        <v>140+</v>
      </c>
      <c r="B85" s="1">
        <f>[3]awpc!B79</f>
        <v>142.5</v>
      </c>
      <c r="C85" s="5" t="str">
        <f>[3]awpc!C79</f>
        <v>Pelosi, Michael</v>
      </c>
      <c r="D85" s="5">
        <f>[3]awpc!D79</f>
        <v>87</v>
      </c>
      <c r="E85" s="1" t="str">
        <f>[3]awpc!E79</f>
        <v>USA</v>
      </c>
      <c r="F85" s="6">
        <f>[3]awpc!F79</f>
        <v>38464</v>
      </c>
      <c r="G85" s="1" t="str">
        <f>[3]awpc!G79</f>
        <v>Saco</v>
      </c>
    </row>
    <row r="87" spans="1:7" s="11" customFormat="1" x14ac:dyDescent="0.25">
      <c r="A87" s="20" t="s">
        <v>0</v>
      </c>
      <c r="B87" s="20">
        <v>1</v>
      </c>
      <c r="C87" s="21">
        <v>18</v>
      </c>
      <c r="D87" s="21" t="str">
        <f>[3]awpc!C81</f>
        <v xml:space="preserve">Men's 18-19 </v>
      </c>
      <c r="E87" s="22"/>
      <c r="F87" s="23"/>
      <c r="G87" s="22"/>
    </row>
    <row r="88" spans="1:7" x14ac:dyDescent="0.25">
      <c r="A88" s="1">
        <f>[3]awpc!A82</f>
        <v>52</v>
      </c>
      <c r="B88" s="1">
        <f>[3]awpc!B82</f>
        <v>105</v>
      </c>
      <c r="C88" s="5" t="str">
        <f>[3]awpc!C82</f>
        <v>Sergeev Sergey</v>
      </c>
      <c r="D88" s="5">
        <f>[3]awpc!D82</f>
        <v>90</v>
      </c>
      <c r="E88" s="1" t="str">
        <f>[3]awpc!E82</f>
        <v>RUS</v>
      </c>
      <c r="F88" s="6">
        <f>[3]awpc!F82</f>
        <v>39528</v>
      </c>
      <c r="G88" s="1" t="str">
        <f>[3]awpc!G82</f>
        <v>Rostov</v>
      </c>
    </row>
    <row r="89" spans="1:7" x14ac:dyDescent="0.25">
      <c r="A89" s="1">
        <f>[3]awpc!A83</f>
        <v>56</v>
      </c>
      <c r="B89" s="1">
        <f>[3]awpc!B83</f>
        <v>115</v>
      </c>
      <c r="C89" s="5" t="str">
        <f>[3]awpc!C83</f>
        <v>Zhikan,Vladimir</v>
      </c>
      <c r="D89" s="5">
        <f>[3]awpc!D83</f>
        <v>94</v>
      </c>
      <c r="E89" s="1" t="str">
        <f>[3]awpc!E83</f>
        <v>RUS</v>
      </c>
      <c r="F89" s="6">
        <f>[3]awpc!F83</f>
        <v>41137</v>
      </c>
      <c r="G89" s="1" t="str">
        <f>[3]awpc!G83</f>
        <v>Novosibirsk</v>
      </c>
    </row>
    <row r="90" spans="1:7" x14ac:dyDescent="0.25">
      <c r="A90" s="1">
        <f>[3]awpc!A84</f>
        <v>60</v>
      </c>
      <c r="B90" s="1">
        <f>[3]awpc!B84</f>
        <v>125</v>
      </c>
      <c r="C90" s="5" t="str">
        <f>[3]awpc!C84</f>
        <v>Gornyy, Olexiy</v>
      </c>
      <c r="D90" s="5">
        <f>[3]awpc!D84</f>
        <v>92</v>
      </c>
      <c r="E90" s="1" t="str">
        <f>[3]awpc!E84</f>
        <v>UKR</v>
      </c>
      <c r="F90" s="6">
        <f>[3]awpc!F84</f>
        <v>40628</v>
      </c>
      <c r="G90" s="1" t="str">
        <f>[3]awpc!G84</f>
        <v>Kryvyi Rig</v>
      </c>
    </row>
    <row r="91" spans="1:7" x14ac:dyDescent="0.25">
      <c r="A91" s="1">
        <f>[3]awpc!A85</f>
        <v>67.5</v>
      </c>
      <c r="B91" s="1">
        <f>[3]awpc!B85</f>
        <v>163.5</v>
      </c>
      <c r="C91" s="5" t="str">
        <f>[3]awpc!C85</f>
        <v>Noskov,Andrei</v>
      </c>
      <c r="D91" s="5">
        <f>[3]awpc!D85</f>
        <v>93</v>
      </c>
      <c r="E91" s="1" t="str">
        <f>[3]awpc!E85</f>
        <v>RUS</v>
      </c>
      <c r="F91" s="6">
        <f>[3]awpc!F85</f>
        <v>41201</v>
      </c>
      <c r="G91" s="1" t="str">
        <f>[3]awpc!G85</f>
        <v>Krasnodar</v>
      </c>
    </row>
    <row r="92" spans="1:7" x14ac:dyDescent="0.25">
      <c r="A92" s="1">
        <f>[3]awpc!A86</f>
        <v>75</v>
      </c>
      <c r="B92" s="1">
        <f>[3]awpc!B86</f>
        <v>205</v>
      </c>
      <c r="C92" s="5" t="str">
        <f>[3]awpc!C86</f>
        <v>Tinajero, Daniel</v>
      </c>
      <c r="D92" s="5">
        <f>[3]awpc!D86</f>
        <v>87</v>
      </c>
      <c r="E92" s="1" t="str">
        <f>[3]awpc!E86</f>
        <v>USA</v>
      </c>
      <c r="F92" s="6">
        <f>[3]awpc!F86</f>
        <v>38920</v>
      </c>
      <c r="G92" s="1" t="str">
        <f>[3]awpc!G86</f>
        <v>Flint</v>
      </c>
    </row>
    <row r="93" spans="1:7" x14ac:dyDescent="0.25">
      <c r="A93" s="1">
        <f>[3]awpc!A87</f>
        <v>82.5</v>
      </c>
      <c r="B93" s="1">
        <f>[3]awpc!B87</f>
        <v>207.5</v>
      </c>
      <c r="C93" s="5" t="str">
        <f>[3]awpc!C87</f>
        <v>Karpenko, Alexander</v>
      </c>
      <c r="D93" s="5">
        <f>[3]awpc!D87</f>
        <v>92</v>
      </c>
      <c r="E93" s="1" t="str">
        <f>[3]awpc!E87</f>
        <v>RUS</v>
      </c>
      <c r="F93" s="6">
        <f>[3]awpc!F87</f>
        <v>41018</v>
      </c>
      <c r="G93" s="1" t="str">
        <f>[3]awpc!G87</f>
        <v>Rostov</v>
      </c>
    </row>
    <row r="94" spans="1:7" x14ac:dyDescent="0.25">
      <c r="A94" s="1">
        <f>[3]awpc!A88</f>
        <v>90</v>
      </c>
      <c r="B94" s="1">
        <f>[3]awpc!B88</f>
        <v>182.5</v>
      </c>
      <c r="C94" s="5" t="str">
        <f>[3]awpc!C88</f>
        <v>Howard</v>
      </c>
      <c r="D94" s="5">
        <f>[3]awpc!D88</f>
        <v>0</v>
      </c>
      <c r="E94" s="1" t="str">
        <f>[3]awpc!E88</f>
        <v>USA</v>
      </c>
      <c r="F94" s="6">
        <f>[3]awpc!F88</f>
        <v>2001</v>
      </c>
      <c r="G94" s="1">
        <f>[3]awpc!G88</f>
        <v>0</v>
      </c>
    </row>
    <row r="95" spans="1:7" x14ac:dyDescent="0.25">
      <c r="A95" s="1">
        <f>[3]awpc!A89</f>
        <v>100</v>
      </c>
      <c r="B95" s="1">
        <f>[3]awpc!B89</f>
        <v>215</v>
      </c>
      <c r="C95" s="5" t="str">
        <f>[3]awpc!C89</f>
        <v>Roberts</v>
      </c>
      <c r="D95" s="5">
        <f>[3]awpc!D89</f>
        <v>0</v>
      </c>
      <c r="E95" s="1" t="str">
        <f>[3]awpc!E89</f>
        <v>USA</v>
      </c>
      <c r="F95" s="6">
        <f>[3]awpc!F89</f>
        <v>1999</v>
      </c>
      <c r="G95" s="1">
        <f>[3]awpc!G89</f>
        <v>0</v>
      </c>
    </row>
    <row r="96" spans="1:7" x14ac:dyDescent="0.25">
      <c r="A96" s="1">
        <f>[3]awpc!A90</f>
        <v>110</v>
      </c>
      <c r="B96" s="1">
        <f>[3]awpc!B90</f>
        <v>220</v>
      </c>
      <c r="C96" s="5" t="str">
        <f>[3]awpc!C90</f>
        <v>Brewer, Trey</v>
      </c>
      <c r="D96" s="5">
        <f>[3]awpc!D90</f>
        <v>85</v>
      </c>
      <c r="E96" s="1" t="str">
        <f>[3]awpc!E90</f>
        <v>USA</v>
      </c>
      <c r="F96" s="6">
        <f>[3]awpc!F90</f>
        <v>39161</v>
      </c>
      <c r="G96" s="1" t="str">
        <f>[3]awpc!G90</f>
        <v>Las Vegas</v>
      </c>
    </row>
    <row r="97" spans="1:7" x14ac:dyDescent="0.25">
      <c r="A97" s="1">
        <f>[3]awpc!A91</f>
        <v>125</v>
      </c>
      <c r="B97" s="1">
        <f>[3]awpc!B91</f>
        <v>205</v>
      </c>
      <c r="C97" s="5" t="str">
        <f>[3]awpc!C91</f>
        <v>Singh,Richard</v>
      </c>
      <c r="D97" s="5">
        <f>[3]awpc!D91</f>
        <v>88</v>
      </c>
      <c r="E97" s="1" t="str">
        <f>[3]awpc!E91</f>
        <v>CAN</v>
      </c>
      <c r="F97" s="6">
        <f>[3]awpc!F91</f>
        <v>39297</v>
      </c>
      <c r="G97" s="1" t="str">
        <f>[3]awpc!G91</f>
        <v>Rosemont</v>
      </c>
    </row>
    <row r="98" spans="1:7" x14ac:dyDescent="0.25">
      <c r="A98" s="1">
        <f>[3]awpc!A92</f>
        <v>140</v>
      </c>
      <c r="B98" s="1">
        <f>[3]awpc!B92</f>
        <v>247.5</v>
      </c>
      <c r="C98" s="5" t="str">
        <f>[3]awpc!C92</f>
        <v>Arman, Matt</v>
      </c>
      <c r="D98" s="5">
        <f>[3]awpc!D92</f>
        <v>87</v>
      </c>
      <c r="E98" s="1" t="str">
        <f>[3]awpc!E92</f>
        <v>USA</v>
      </c>
      <c r="F98" s="6">
        <f>[3]awpc!F92</f>
        <v>38920</v>
      </c>
      <c r="G98" s="1" t="str">
        <f>[3]awpc!G92</f>
        <v>Flint</v>
      </c>
    </row>
    <row r="99" spans="1:7" x14ac:dyDescent="0.25">
      <c r="A99" s="1" t="str">
        <f>[3]awpc!A93</f>
        <v>140+</v>
      </c>
      <c r="B99" s="1">
        <f>[3]awpc!B93</f>
        <v>272.5</v>
      </c>
      <c r="C99" s="5" t="str">
        <f>[3]awpc!C93</f>
        <v>Garvey Jr, Darrell</v>
      </c>
      <c r="D99" s="5">
        <f>[3]awpc!D93</f>
        <v>87</v>
      </c>
      <c r="E99" s="1" t="str">
        <f>[3]awpc!E93</f>
        <v>USA</v>
      </c>
      <c r="F99" s="6">
        <f>[3]awpc!F93</f>
        <v>38814</v>
      </c>
      <c r="G99" s="1" t="str">
        <f>[3]awpc!G93</f>
        <v>Baton Rouge</v>
      </c>
    </row>
    <row r="101" spans="1:7" s="11" customFormat="1" x14ac:dyDescent="0.25">
      <c r="A101" s="20" t="s">
        <v>0</v>
      </c>
      <c r="B101" s="20">
        <v>0</v>
      </c>
      <c r="C101" s="21">
        <v>13</v>
      </c>
      <c r="D101" s="21" t="str">
        <f>[3]awpc!C95</f>
        <v>Women's 13-15</v>
      </c>
      <c r="E101" s="22"/>
      <c r="F101" s="23"/>
      <c r="G101" s="22"/>
    </row>
    <row r="102" spans="1:7" x14ac:dyDescent="0.25">
      <c r="A102" s="1">
        <f>[3]awpc!A96</f>
        <v>44</v>
      </c>
      <c r="B102" s="1">
        <f>[3]awpc!B96</f>
        <v>0</v>
      </c>
      <c r="C102" s="5">
        <f>[3]awpc!C96</f>
        <v>0</v>
      </c>
      <c r="D102" s="5">
        <f>[3]awpc!D96</f>
        <v>0</v>
      </c>
      <c r="E102" s="1">
        <f>[3]awpc!E96</f>
        <v>0</v>
      </c>
      <c r="F102" s="6">
        <f>[3]awpc!F96</f>
        <v>0</v>
      </c>
      <c r="G102" s="1">
        <f>[3]awpc!G96</f>
        <v>0</v>
      </c>
    </row>
    <row r="103" spans="1:7" x14ac:dyDescent="0.25">
      <c r="A103" s="1">
        <f>[3]awpc!A97</f>
        <v>48</v>
      </c>
      <c r="B103" s="1">
        <f>[3]awpc!B97</f>
        <v>0</v>
      </c>
      <c r="C103" s="5">
        <f>[3]awpc!C97</f>
        <v>0</v>
      </c>
      <c r="D103" s="5">
        <f>[3]awpc!D97</f>
        <v>0</v>
      </c>
      <c r="E103" s="1">
        <f>[3]awpc!E97</f>
        <v>0</v>
      </c>
      <c r="F103" s="6">
        <f>[3]awpc!F97</f>
        <v>0</v>
      </c>
      <c r="G103" s="1">
        <f>[3]awpc!G97</f>
        <v>0</v>
      </c>
    </row>
    <row r="104" spans="1:7" x14ac:dyDescent="0.25">
      <c r="A104" s="1">
        <f>[3]awpc!A98</f>
        <v>52</v>
      </c>
      <c r="B104" s="1">
        <f>[3]awpc!B98</f>
        <v>70</v>
      </c>
      <c r="C104" s="5" t="str">
        <f>[3]awpc!C98</f>
        <v>Harris, Amanda</v>
      </c>
      <c r="D104" s="5">
        <f>[3]awpc!D98</f>
        <v>91</v>
      </c>
      <c r="E104" s="1" t="str">
        <f>[3]awpc!E98</f>
        <v>USA</v>
      </c>
      <c r="F104" s="6">
        <f>[3]awpc!F98</f>
        <v>38814</v>
      </c>
      <c r="G104" s="1" t="str">
        <f>[3]awpc!G98</f>
        <v>Baton Rouge</v>
      </c>
    </row>
    <row r="105" spans="1:7" x14ac:dyDescent="0.25">
      <c r="A105" s="1">
        <f>[3]awpc!A99</f>
        <v>56</v>
      </c>
      <c r="B105" s="1">
        <f>[3]awpc!B99</f>
        <v>0</v>
      </c>
      <c r="C105" s="5">
        <f>[3]awpc!C99</f>
        <v>0</v>
      </c>
      <c r="D105" s="5">
        <f>[3]awpc!D99</f>
        <v>0</v>
      </c>
      <c r="E105" s="1">
        <f>[3]awpc!E99</f>
        <v>0</v>
      </c>
      <c r="F105" s="6">
        <f>[3]awpc!F99</f>
        <v>0</v>
      </c>
      <c r="G105" s="1">
        <f>[3]awpc!G99</f>
        <v>0</v>
      </c>
    </row>
    <row r="106" spans="1:7" x14ac:dyDescent="0.25">
      <c r="A106" s="1">
        <f>[3]awpc!A100</f>
        <v>60</v>
      </c>
      <c r="B106" s="1">
        <f>[3]awpc!B100</f>
        <v>62.5</v>
      </c>
      <c r="C106" s="5" t="str">
        <f>[3]awpc!C100</f>
        <v>Mayer, Rachael</v>
      </c>
      <c r="D106" s="5">
        <f>[3]awpc!D100</f>
        <v>89</v>
      </c>
      <c r="E106" s="1" t="str">
        <f>[3]awpc!E100</f>
        <v>USA</v>
      </c>
      <c r="F106" s="6">
        <f>[3]awpc!F100</f>
        <v>38465</v>
      </c>
      <c r="G106" s="1" t="str">
        <f>[3]awpc!G100</f>
        <v>Saco</v>
      </c>
    </row>
    <row r="107" spans="1:7" x14ac:dyDescent="0.25">
      <c r="A107" s="1">
        <f>[3]awpc!A101</f>
        <v>67.5</v>
      </c>
      <c r="B107" s="1">
        <f>[3]awpc!B101</f>
        <v>85</v>
      </c>
      <c r="C107" s="5" t="str">
        <f>[3]awpc!C101</f>
        <v>Brandau</v>
      </c>
      <c r="D107" s="5">
        <f>[3]awpc!D101</f>
        <v>0</v>
      </c>
      <c r="E107" s="1" t="str">
        <f>[3]awpc!E101</f>
        <v>USA</v>
      </c>
      <c r="F107" s="6">
        <f>[3]awpc!F101</f>
        <v>2000</v>
      </c>
      <c r="G107" s="1">
        <f>[3]awpc!G101</f>
        <v>0</v>
      </c>
    </row>
    <row r="108" spans="1:7" x14ac:dyDescent="0.25">
      <c r="A108" s="1">
        <f>[3]awpc!A102</f>
        <v>75</v>
      </c>
      <c r="B108" s="1">
        <f>[3]awpc!B102</f>
        <v>0</v>
      </c>
      <c r="C108" s="5">
        <f>[3]awpc!C102</f>
        <v>0</v>
      </c>
      <c r="D108" s="5">
        <f>[3]awpc!D102</f>
        <v>0</v>
      </c>
      <c r="E108" s="1">
        <f>[3]awpc!E102</f>
        <v>0</v>
      </c>
      <c r="F108" s="6">
        <f>[3]awpc!F102</f>
        <v>0</v>
      </c>
      <c r="G108" s="1">
        <f>[3]awpc!G102</f>
        <v>0</v>
      </c>
    </row>
    <row r="109" spans="1:7" x14ac:dyDescent="0.25">
      <c r="A109" s="1">
        <f>[3]awpc!A103</f>
        <v>82.5</v>
      </c>
      <c r="B109" s="1">
        <f>[3]awpc!B103</f>
        <v>0</v>
      </c>
      <c r="C109" s="5">
        <f>[3]awpc!C103</f>
        <v>0</v>
      </c>
      <c r="D109" s="5">
        <f>[3]awpc!D103</f>
        <v>0</v>
      </c>
      <c r="E109" s="1">
        <f>[3]awpc!E103</f>
        <v>0</v>
      </c>
      <c r="F109" s="6">
        <f>[3]awpc!F103</f>
        <v>0</v>
      </c>
      <c r="G109" s="1">
        <f>[3]awpc!G103</f>
        <v>0</v>
      </c>
    </row>
    <row r="110" spans="1:7" x14ac:dyDescent="0.25">
      <c r="A110" s="1">
        <f>[3]awpc!A104</f>
        <v>90</v>
      </c>
      <c r="B110" s="1">
        <f>[3]awpc!B104</f>
        <v>0</v>
      </c>
      <c r="C110" s="5">
        <f>[3]awpc!C104</f>
        <v>0</v>
      </c>
      <c r="D110" s="5">
        <f>[3]awpc!D104</f>
        <v>0</v>
      </c>
      <c r="E110" s="1">
        <f>[3]awpc!E104</f>
        <v>0</v>
      </c>
      <c r="F110" s="6">
        <f>[3]awpc!F104</f>
        <v>0</v>
      </c>
      <c r="G110" s="1">
        <f>[3]awpc!G104</f>
        <v>0</v>
      </c>
    </row>
    <row r="111" spans="1:7" x14ac:dyDescent="0.25">
      <c r="A111" s="1" t="str">
        <f>[3]awpc!A105</f>
        <v>90+</v>
      </c>
      <c r="B111" s="1">
        <f>[3]awpc!B105</f>
        <v>50</v>
      </c>
      <c r="C111" s="5" t="str">
        <f>[3]awpc!C105</f>
        <v>Biddle, Hannah</v>
      </c>
      <c r="D111" s="5">
        <f>[3]awpc!D105</f>
        <v>90</v>
      </c>
      <c r="E111" s="1" t="str">
        <f>[3]awpc!E105</f>
        <v>USA</v>
      </c>
      <c r="F111" s="6">
        <f>[3]awpc!F105</f>
        <v>38563</v>
      </c>
      <c r="G111" s="1" t="str">
        <f>[3]awpc!G105</f>
        <v>Lincolnwood</v>
      </c>
    </row>
    <row r="113" spans="1:7" s="11" customFormat="1" x14ac:dyDescent="0.25">
      <c r="A113" s="20" t="s">
        <v>0</v>
      </c>
      <c r="B113" s="20">
        <v>0</v>
      </c>
      <c r="C113" s="21">
        <v>16</v>
      </c>
      <c r="D113" s="21" t="str">
        <f>[3]awpc!C107</f>
        <v>Women's 16-17</v>
      </c>
      <c r="E113" s="22"/>
      <c r="F113" s="23"/>
      <c r="G113" s="22"/>
    </row>
    <row r="114" spans="1:7" x14ac:dyDescent="0.25">
      <c r="A114" s="1">
        <f>[3]awpc!A108</f>
        <v>44</v>
      </c>
      <c r="B114" s="1">
        <f>[3]awpc!B108</f>
        <v>47.5</v>
      </c>
      <c r="C114" s="5" t="str">
        <f>[3]awpc!C108</f>
        <v>Cunningham,Geri</v>
      </c>
      <c r="D114" s="5">
        <f>[3]awpc!D108</f>
        <v>92</v>
      </c>
      <c r="E114" s="1" t="str">
        <f>[3]awpc!E108</f>
        <v>USA</v>
      </c>
      <c r="F114" s="6">
        <f>[3]awpc!F108</f>
        <v>39907</v>
      </c>
      <c r="G114" s="1" t="str">
        <f>[3]awpc!G108</f>
        <v>Idaho Falls</v>
      </c>
    </row>
    <row r="115" spans="1:7" x14ac:dyDescent="0.25">
      <c r="A115" s="1">
        <f>[3]awpc!A109</f>
        <v>48</v>
      </c>
      <c r="B115" s="1">
        <f>[3]awpc!B109</f>
        <v>0</v>
      </c>
      <c r="C115" s="5">
        <f>[3]awpc!C109</f>
        <v>0</v>
      </c>
      <c r="D115" s="5">
        <f>[3]awpc!D109</f>
        <v>0</v>
      </c>
      <c r="E115" s="1">
        <f>[3]awpc!E109</f>
        <v>0</v>
      </c>
      <c r="F115" s="6">
        <f>[3]awpc!F109</f>
        <v>0</v>
      </c>
      <c r="G115" s="1">
        <f>[3]awpc!G109</f>
        <v>0</v>
      </c>
    </row>
    <row r="116" spans="1:7" x14ac:dyDescent="0.25">
      <c r="A116" s="1">
        <f>[3]awpc!A110</f>
        <v>52</v>
      </c>
      <c r="B116" s="1">
        <f>[3]awpc!B110</f>
        <v>52.5</v>
      </c>
      <c r="C116" s="5" t="str">
        <f>[3]awpc!C110</f>
        <v>Reutova,Nadezhda</v>
      </c>
      <c r="D116" s="5">
        <f>[3]awpc!D110</f>
        <v>93</v>
      </c>
      <c r="E116" s="1" t="str">
        <f>[3]awpc!E110</f>
        <v>RUS</v>
      </c>
      <c r="F116" s="6">
        <f>[3]awpc!F110</f>
        <v>40258</v>
      </c>
      <c r="G116" s="1" t="str">
        <f>[3]awpc!G110</f>
        <v>Kursk</v>
      </c>
    </row>
    <row r="117" spans="1:7" x14ac:dyDescent="0.25">
      <c r="A117" s="1">
        <f>[3]awpc!A111</f>
        <v>56</v>
      </c>
      <c r="B117" s="1">
        <f>[3]awpc!B111</f>
        <v>80</v>
      </c>
      <c r="C117" s="5" t="str">
        <f>[3]awpc!C111</f>
        <v>Harris,Amanda</v>
      </c>
      <c r="D117" s="5">
        <f>[3]awpc!D111</f>
        <v>91</v>
      </c>
      <c r="E117" s="1" t="str">
        <f>[3]awpc!E111</f>
        <v>USA</v>
      </c>
      <c r="F117" s="6">
        <f>[3]awpc!F111</f>
        <v>39297</v>
      </c>
      <c r="G117" s="1" t="str">
        <f>[3]awpc!G111</f>
        <v>Rosemont</v>
      </c>
    </row>
    <row r="118" spans="1:7" x14ac:dyDescent="0.25">
      <c r="A118" s="1">
        <f>[3]awpc!A112</f>
        <v>60</v>
      </c>
      <c r="B118" s="1">
        <f>[3]awpc!B112</f>
        <v>41</v>
      </c>
      <c r="C118" s="5" t="str">
        <f>[3]awpc!C112</f>
        <v>Gray,Nerissa</v>
      </c>
      <c r="D118" s="5">
        <f>[3]awpc!D112</f>
        <v>92</v>
      </c>
      <c r="E118" s="1" t="str">
        <f>[3]awpc!E112</f>
        <v>AUS</v>
      </c>
      <c r="F118" s="6">
        <f>[3]awpc!F112</f>
        <v>39607</v>
      </c>
      <c r="G118" s="1" t="str">
        <f>[3]awpc!G112</f>
        <v>Lithgow</v>
      </c>
    </row>
    <row r="119" spans="1:7" x14ac:dyDescent="0.25">
      <c r="A119" s="1">
        <f>[3]awpc!A113</f>
        <v>67.5</v>
      </c>
      <c r="B119" s="1">
        <f>[3]awpc!B113</f>
        <v>77.5</v>
      </c>
      <c r="C119" s="5" t="str">
        <f>[3]awpc!C113</f>
        <v>Mayer, Rachael</v>
      </c>
      <c r="D119" s="5">
        <f>[3]awpc!D113</f>
        <v>89</v>
      </c>
      <c r="E119" s="1" t="str">
        <f>[3]awpc!E113</f>
        <v>USA</v>
      </c>
      <c r="F119" s="6">
        <f>[3]awpc!F113</f>
        <v>38920</v>
      </c>
      <c r="G119" s="1" t="str">
        <f>[3]awpc!G113</f>
        <v>Flint</v>
      </c>
    </row>
    <row r="120" spans="1:7" x14ac:dyDescent="0.25">
      <c r="A120" s="1">
        <f>[3]awpc!A114</f>
        <v>75</v>
      </c>
      <c r="B120" s="1">
        <f>[3]awpc!B114</f>
        <v>0</v>
      </c>
      <c r="C120" s="5">
        <f>[3]awpc!C114</f>
        <v>0</v>
      </c>
      <c r="D120" s="5">
        <f>[3]awpc!D114</f>
        <v>0</v>
      </c>
      <c r="E120" s="1">
        <f>[3]awpc!E114</f>
        <v>0</v>
      </c>
      <c r="F120" s="6">
        <f>[3]awpc!F114</f>
        <v>0</v>
      </c>
      <c r="G120" s="1">
        <f>[3]awpc!G114</f>
        <v>0</v>
      </c>
    </row>
    <row r="121" spans="1:7" x14ac:dyDescent="0.25">
      <c r="A121" s="1">
        <f>[3]awpc!A115</f>
        <v>82.5</v>
      </c>
      <c r="B121" s="1">
        <f>[3]awpc!B115</f>
        <v>60</v>
      </c>
      <c r="C121" s="5" t="str">
        <f>[3]awpc!C115</f>
        <v>Biddle, Abigail</v>
      </c>
      <c r="D121" s="5">
        <f>[3]awpc!D115</f>
        <v>88</v>
      </c>
      <c r="E121" s="1" t="str">
        <f>[3]awpc!E115</f>
        <v>USA</v>
      </c>
      <c r="F121" s="6">
        <f>[3]awpc!F115</f>
        <v>38563</v>
      </c>
      <c r="G121" s="1" t="str">
        <f>[3]awpc!G115</f>
        <v>Lincolnwood</v>
      </c>
    </row>
    <row r="122" spans="1:7" x14ac:dyDescent="0.25">
      <c r="A122" s="1">
        <f>[3]awpc!A116</f>
        <v>90</v>
      </c>
      <c r="B122" s="1">
        <f>[3]awpc!B116</f>
        <v>117.5</v>
      </c>
      <c r="C122" s="5" t="str">
        <f>[3]awpc!C116</f>
        <v>McCloskey,Anna</v>
      </c>
      <c r="D122" s="5">
        <f>[3]awpc!D116</f>
        <v>93</v>
      </c>
      <c r="E122" s="1" t="str">
        <f>[3]awpc!E116</f>
        <v>USA</v>
      </c>
      <c r="F122" s="6">
        <f>[3]awpc!F116</f>
        <v>40375</v>
      </c>
      <c r="G122" s="1" t="str">
        <f>[3]awpc!G116</f>
        <v>West Palm Beach</v>
      </c>
    </row>
    <row r="123" spans="1:7" x14ac:dyDescent="0.25">
      <c r="A123" s="1" t="str">
        <f>[3]awpc!A117</f>
        <v>90+</v>
      </c>
      <c r="B123" s="1">
        <f>[3]awpc!B117</f>
        <v>122.5</v>
      </c>
      <c r="C123" s="5" t="str">
        <f>[3]awpc!C117</f>
        <v>Chatelain,Ashton</v>
      </c>
      <c r="D123" s="5">
        <f>[3]awpc!D117</f>
        <v>92</v>
      </c>
      <c r="E123" s="1" t="str">
        <f>[3]awpc!E117</f>
        <v>USA</v>
      </c>
      <c r="F123" s="6">
        <f>[3]awpc!F117</f>
        <v>40376</v>
      </c>
      <c r="G123" s="1" t="str">
        <f>[3]awpc!G117</f>
        <v>West Palm Beach</v>
      </c>
    </row>
    <row r="125" spans="1:7" s="11" customFormat="1" x14ac:dyDescent="0.25">
      <c r="A125" s="20" t="s">
        <v>0</v>
      </c>
      <c r="B125" s="20">
        <v>0</v>
      </c>
      <c r="C125" s="21">
        <v>18</v>
      </c>
      <c r="D125" s="21" t="str">
        <f>[3]awpc!C119</f>
        <v xml:space="preserve">Women's 18-19 </v>
      </c>
      <c r="E125" s="22"/>
      <c r="F125" s="23"/>
      <c r="G125" s="22"/>
    </row>
    <row r="126" spans="1:7" x14ac:dyDescent="0.25">
      <c r="A126" s="1">
        <f>[3]awpc!A120</f>
        <v>44</v>
      </c>
      <c r="B126" s="1">
        <f>[3]awpc!B120</f>
        <v>0</v>
      </c>
      <c r="C126" s="5">
        <f>[3]awpc!C120</f>
        <v>0</v>
      </c>
      <c r="D126" s="5">
        <f>[3]awpc!D120</f>
        <v>0</v>
      </c>
      <c r="E126" s="1">
        <f>[3]awpc!E120</f>
        <v>0</v>
      </c>
      <c r="F126" s="6">
        <f>[3]awpc!F120</f>
        <v>0</v>
      </c>
      <c r="G126" s="1">
        <f>[3]awpc!G120</f>
        <v>0</v>
      </c>
    </row>
    <row r="127" spans="1:7" x14ac:dyDescent="0.25">
      <c r="A127" s="1">
        <f>[3]awpc!A121</f>
        <v>48</v>
      </c>
      <c r="B127" s="1">
        <f>[3]awpc!B121</f>
        <v>72.5</v>
      </c>
      <c r="C127" s="5" t="str">
        <f>[3]awpc!C121</f>
        <v>Dudyreva,Irina</v>
      </c>
      <c r="D127" s="5">
        <f>[3]awpc!D121</f>
        <v>90</v>
      </c>
      <c r="E127" s="1" t="str">
        <f>[3]awpc!E121</f>
        <v>RUS</v>
      </c>
      <c r="F127" s="6">
        <f>[3]awpc!F121</f>
        <v>40258</v>
      </c>
      <c r="G127" s="1" t="str">
        <f>[3]awpc!G121</f>
        <v>Kursk</v>
      </c>
    </row>
    <row r="128" spans="1:7" x14ac:dyDescent="0.25">
      <c r="A128" s="1">
        <f>[3]awpc!A122</f>
        <v>52</v>
      </c>
      <c r="B128" s="1">
        <f>[3]awpc!B122</f>
        <v>0</v>
      </c>
      <c r="C128" s="5">
        <f>[3]awpc!C122</f>
        <v>0</v>
      </c>
      <c r="D128" s="5">
        <f>[3]awpc!D122</f>
        <v>0</v>
      </c>
      <c r="E128" s="1">
        <f>[3]awpc!E122</f>
        <v>0</v>
      </c>
      <c r="F128" s="6">
        <f>[3]awpc!F122</f>
        <v>0</v>
      </c>
      <c r="G128" s="1">
        <f>[3]awpc!G122</f>
        <v>0</v>
      </c>
    </row>
    <row r="129" spans="1:7" x14ac:dyDescent="0.25">
      <c r="A129" s="1">
        <f>[3]awpc!A123</f>
        <v>56</v>
      </c>
      <c r="B129" s="1">
        <f>[3]awpc!B123</f>
        <v>77.5</v>
      </c>
      <c r="C129" s="5" t="str">
        <f>[3]awpc!C123</f>
        <v>Tom</v>
      </c>
      <c r="D129" s="5">
        <f>[3]awpc!D123</f>
        <v>0</v>
      </c>
      <c r="E129" s="1" t="str">
        <f>[3]awpc!E123</f>
        <v>USA</v>
      </c>
      <c r="F129" s="6">
        <f>[3]awpc!F123</f>
        <v>2004</v>
      </c>
      <c r="G129" s="1">
        <f>[3]awpc!G123</f>
        <v>0</v>
      </c>
    </row>
    <row r="130" spans="1:7" x14ac:dyDescent="0.25">
      <c r="A130" s="1">
        <f>[3]awpc!A124</f>
        <v>60</v>
      </c>
      <c r="B130" s="1">
        <f>[3]awpc!B124</f>
        <v>82.5</v>
      </c>
      <c r="C130" s="5" t="str">
        <f>[3]awpc!C124</f>
        <v>Palmberg,Kayla</v>
      </c>
      <c r="D130" s="5">
        <f>[3]awpc!D124</f>
        <v>91</v>
      </c>
      <c r="E130" s="1" t="str">
        <f>[3]awpc!E124</f>
        <v>USA</v>
      </c>
      <c r="F130" s="6">
        <f>[3]awpc!F124</f>
        <v>40375</v>
      </c>
      <c r="G130" s="1" t="str">
        <f>[3]awpc!G124</f>
        <v>West Palm Beach</v>
      </c>
    </row>
    <row r="131" spans="1:7" x14ac:dyDescent="0.25">
      <c r="A131" s="1">
        <f>[3]awpc!A125</f>
        <v>67.5</v>
      </c>
      <c r="B131" s="1">
        <f>[3]awpc!B125</f>
        <v>87.5</v>
      </c>
      <c r="C131" s="5" t="str">
        <f>[3]awpc!C125</f>
        <v>Czerwiec, Kimberly</v>
      </c>
      <c r="D131" s="5">
        <f>[3]awpc!D125</f>
        <v>87</v>
      </c>
      <c r="E131" s="1" t="str">
        <f>[3]awpc!E125</f>
        <v>USA</v>
      </c>
      <c r="F131" s="6">
        <f>[3]awpc!F125</f>
        <v>38920</v>
      </c>
      <c r="G131" s="1" t="str">
        <f>[3]awpc!G125</f>
        <v>Flint</v>
      </c>
    </row>
    <row r="132" spans="1:7" x14ac:dyDescent="0.25">
      <c r="A132" s="1">
        <f>[3]awpc!A126</f>
        <v>75</v>
      </c>
      <c r="B132" s="1">
        <f>[3]awpc!B126</f>
        <v>62.5</v>
      </c>
      <c r="C132" s="5" t="str">
        <f>[3]awpc!C126</f>
        <v>Fitzpatrick, Erin</v>
      </c>
      <c r="D132" s="5">
        <f>[3]awpc!D126</f>
        <v>87</v>
      </c>
      <c r="E132" s="1" t="str">
        <f>[3]awpc!E126</f>
        <v>USA</v>
      </c>
      <c r="F132" s="6">
        <f>[3]awpc!F126</f>
        <v>38814</v>
      </c>
      <c r="G132" s="1" t="str">
        <f>[3]awpc!G126</f>
        <v>Baton Rouge</v>
      </c>
    </row>
    <row r="133" spans="1:7" x14ac:dyDescent="0.25">
      <c r="A133" s="1">
        <f>[3]awpc!A127</f>
        <v>82.5</v>
      </c>
      <c r="B133" s="1">
        <f>[3]awpc!B127</f>
        <v>0</v>
      </c>
      <c r="C133" s="5">
        <f>[3]awpc!C127</f>
        <v>0</v>
      </c>
      <c r="D133" s="5">
        <f>[3]awpc!D127</f>
        <v>0</v>
      </c>
      <c r="E133" s="1">
        <f>[3]awpc!E127</f>
        <v>0</v>
      </c>
      <c r="F133" s="6">
        <f>[3]awpc!F127</f>
        <v>0</v>
      </c>
      <c r="G133" s="1">
        <f>[3]awpc!G127</f>
        <v>0</v>
      </c>
    </row>
    <row r="134" spans="1:7" x14ac:dyDescent="0.25">
      <c r="A134" s="1">
        <f>[3]awpc!A128</f>
        <v>90</v>
      </c>
      <c r="B134" s="1">
        <f>[3]awpc!B128</f>
        <v>0</v>
      </c>
      <c r="C134" s="5">
        <f>[3]awpc!C128</f>
        <v>0</v>
      </c>
      <c r="D134" s="5">
        <f>[3]awpc!D128</f>
        <v>0</v>
      </c>
      <c r="E134" s="1">
        <f>[3]awpc!E128</f>
        <v>0</v>
      </c>
      <c r="F134" s="6">
        <f>[3]awpc!F128</f>
        <v>0</v>
      </c>
      <c r="G134" s="1">
        <f>[3]awpc!G128</f>
        <v>0</v>
      </c>
    </row>
    <row r="135" spans="1:7" x14ac:dyDescent="0.25">
      <c r="A135" s="1" t="str">
        <f>[3]awpc!A129</f>
        <v>90+</v>
      </c>
      <c r="B135" s="1">
        <f>[3]awpc!B129</f>
        <v>172.5</v>
      </c>
      <c r="C135" s="5" t="str">
        <f>[3]awpc!C129</f>
        <v>Dudley, Machia</v>
      </c>
      <c r="D135" s="5">
        <f>[3]awpc!D129</f>
        <v>86</v>
      </c>
      <c r="E135" s="1" t="str">
        <f>[3]awpc!E129</f>
        <v>USA</v>
      </c>
      <c r="F135" s="6">
        <f>[3]awpc!F129</f>
        <v>38814</v>
      </c>
      <c r="G135" s="1" t="str">
        <f>[3]awpc!G129</f>
        <v>Baton Rouge</v>
      </c>
    </row>
    <row r="137" spans="1:7" s="11" customFormat="1" x14ac:dyDescent="0.25">
      <c r="A137" s="22" t="s">
        <v>0</v>
      </c>
      <c r="B137" s="22">
        <v>1</v>
      </c>
      <c r="C137" s="21">
        <v>-4</v>
      </c>
      <c r="D137" s="21" t="str">
        <f>[3]awpc!C131</f>
        <v xml:space="preserve">Men's Submaster 33-39 </v>
      </c>
      <c r="E137" s="22"/>
      <c r="F137" s="23"/>
      <c r="G137" s="22"/>
    </row>
    <row r="138" spans="1:7" x14ac:dyDescent="0.25">
      <c r="A138" s="1">
        <f>[3]awpc!A132</f>
        <v>52</v>
      </c>
      <c r="B138" s="1">
        <f>[3]awpc!B132</f>
        <v>110</v>
      </c>
      <c r="C138" s="5" t="str">
        <f>[3]awpc!C132</f>
        <v>Leoni, Rob</v>
      </c>
      <c r="D138" s="5">
        <f>[3]awpc!D132</f>
        <v>66</v>
      </c>
      <c r="E138" s="1" t="str">
        <f>[3]awpc!E132</f>
        <v>USA</v>
      </c>
      <c r="F138" s="6">
        <f>[3]awpc!F132</f>
        <v>38564</v>
      </c>
      <c r="G138" s="1" t="str">
        <f>[3]awpc!G132</f>
        <v>Lincolnwood</v>
      </c>
    </row>
    <row r="139" spans="1:7" x14ac:dyDescent="0.25">
      <c r="A139" s="1">
        <f>[3]awpc!A133</f>
        <v>56</v>
      </c>
      <c r="B139" s="1">
        <f>[3]awpc!B133</f>
        <v>140</v>
      </c>
      <c r="C139" s="5" t="str">
        <f>[3]awpc!C133</f>
        <v>Artemyev,Igor</v>
      </c>
      <c r="D139" s="5">
        <f>[3]awpc!D133</f>
        <v>71</v>
      </c>
      <c r="E139" s="1" t="str">
        <f>[3]awpc!E133</f>
        <v>RUS</v>
      </c>
      <c r="F139" s="6">
        <f>[3]awpc!F133</f>
        <v>39123</v>
      </c>
      <c r="G139" s="1" t="str">
        <f>[3]awpc!G133</f>
        <v>Chelyabinsk</v>
      </c>
    </row>
    <row r="140" spans="1:7" x14ac:dyDescent="0.25">
      <c r="A140" s="1">
        <f>[3]awpc!A134</f>
        <v>60</v>
      </c>
      <c r="B140" s="1">
        <f>[3]awpc!B134</f>
        <v>137.5</v>
      </c>
      <c r="C140" s="5" t="str">
        <f>[3]awpc!C134</f>
        <v>Artemyev,Oleg</v>
      </c>
      <c r="D140" s="5">
        <f>[3]awpc!D134</f>
        <v>71</v>
      </c>
      <c r="E140" s="1" t="str">
        <f>[3]awpc!E134</f>
        <v>RUS</v>
      </c>
      <c r="F140" s="6">
        <f>[3]awpc!F134</f>
        <v>39123</v>
      </c>
      <c r="G140" s="1" t="str">
        <f>[3]awpc!G134</f>
        <v>Chelyabinsk</v>
      </c>
    </row>
    <row r="141" spans="1:7" x14ac:dyDescent="0.25">
      <c r="A141" s="1">
        <f>[3]awpc!A135</f>
        <v>67.5</v>
      </c>
      <c r="B141" s="1">
        <f>[3]awpc!B135</f>
        <v>200</v>
      </c>
      <c r="C141" s="5" t="str">
        <f>[3]awpc!C135</f>
        <v>Mukite, Joe</v>
      </c>
      <c r="D141" s="5">
        <f>[3]awpc!D135</f>
        <v>0</v>
      </c>
      <c r="E141" s="1" t="str">
        <f>[3]awpc!E135</f>
        <v>USA</v>
      </c>
      <c r="F141" s="6">
        <f>[3]awpc!F135</f>
        <v>2003</v>
      </c>
      <c r="G141" s="1">
        <f>[3]awpc!G135</f>
        <v>0</v>
      </c>
    </row>
    <row r="142" spans="1:7" x14ac:dyDescent="0.25">
      <c r="A142" s="1">
        <f>[3]awpc!A136</f>
        <v>75</v>
      </c>
      <c r="B142" s="1">
        <f>[3]awpc!B136</f>
        <v>200</v>
      </c>
      <c r="C142" s="5" t="str">
        <f>[3]awpc!C136</f>
        <v>Larionov,Artem</v>
      </c>
      <c r="D142" s="5">
        <f>[3]awpc!D136</f>
        <v>78</v>
      </c>
      <c r="E142" s="1" t="str">
        <f>[3]awpc!E136</f>
        <v>RUS</v>
      </c>
      <c r="F142" s="6">
        <f>[3]awpc!F136</f>
        <v>41439</v>
      </c>
      <c r="G142" s="1" t="str">
        <f>[3]awpc!G136</f>
        <v>Moscow</v>
      </c>
    </row>
    <row r="143" spans="1:7" x14ac:dyDescent="0.25">
      <c r="A143" s="1">
        <f>[3]awpc!A137</f>
        <v>82.5</v>
      </c>
      <c r="B143" s="1">
        <f>[3]awpc!B137</f>
        <v>215</v>
      </c>
      <c r="C143" s="5" t="str">
        <f>[3]awpc!C137</f>
        <v>Veber,Mikhail</v>
      </c>
      <c r="D143" s="5">
        <f>[3]awpc!D137</f>
        <v>71</v>
      </c>
      <c r="E143" s="1" t="str">
        <f>[3]awpc!E137</f>
        <v>RUS</v>
      </c>
      <c r="F143" s="6">
        <f>[3]awpc!F137</f>
        <v>39162</v>
      </c>
      <c r="G143" s="1" t="str">
        <f>[3]awpc!G137</f>
        <v>Rostov</v>
      </c>
    </row>
    <row r="144" spans="1:7" x14ac:dyDescent="0.25">
      <c r="A144" s="1">
        <f>[3]awpc!A138</f>
        <v>90</v>
      </c>
      <c r="B144" s="1">
        <f>[3]awpc!B138</f>
        <v>305</v>
      </c>
      <c r="C144" s="5" t="str">
        <f>[3]awpc!C138</f>
        <v>Ahmadov Mustafa</v>
      </c>
      <c r="D144" s="5">
        <f>[3]awpc!D138</f>
        <v>80</v>
      </c>
      <c r="E144" s="1" t="str">
        <f>[3]awpc!E138</f>
        <v>AZE</v>
      </c>
      <c r="F144" s="6" t="str">
        <f>[3]awpc!F138</f>
        <v>23.08.2014</v>
      </c>
      <c r="G144" s="1" t="str">
        <f>[3]awpc!G138</f>
        <v>Moscow</v>
      </c>
    </row>
    <row r="145" spans="1:7" x14ac:dyDescent="0.25">
      <c r="A145" s="1">
        <f>[3]awpc!A139</f>
        <v>100</v>
      </c>
      <c r="B145" s="1">
        <f>[3]awpc!B139</f>
        <v>250</v>
      </c>
      <c r="C145" s="5" t="str">
        <f>[3]awpc!C139</f>
        <v>Lamjav Munkhbayar</v>
      </c>
      <c r="D145" s="5">
        <f>[3]awpc!D139</f>
        <v>76</v>
      </c>
      <c r="E145" s="1" t="str">
        <f>[3]awpc!E139</f>
        <v>MGL</v>
      </c>
      <c r="F145" s="6" t="str">
        <f>[3]awpc!F139</f>
        <v>23.08.2014</v>
      </c>
      <c r="G145" s="1" t="str">
        <f>[3]awpc!G139</f>
        <v>Moscow</v>
      </c>
    </row>
    <row r="146" spans="1:7" x14ac:dyDescent="0.25">
      <c r="A146" s="1">
        <f>[3]awpc!A140</f>
        <v>110</v>
      </c>
      <c r="B146" s="1">
        <f>[3]awpc!B140</f>
        <v>287.5</v>
      </c>
      <c r="C146" s="5" t="str">
        <f>[3]awpc!C140</f>
        <v>Hoffman,Bryan</v>
      </c>
      <c r="D146" s="5">
        <f>[3]awpc!D140</f>
        <v>72</v>
      </c>
      <c r="E146" s="1" t="str">
        <f>[3]awpc!E140</f>
        <v>USA</v>
      </c>
      <c r="F146" s="6">
        <f>[3]awpc!F140</f>
        <v>40025</v>
      </c>
      <c r="G146" s="1" t="str">
        <f>[3]awpc!G140</f>
        <v>Burr Ridge</v>
      </c>
    </row>
    <row r="147" spans="1:7" x14ac:dyDescent="0.25">
      <c r="A147" s="1">
        <f>[3]awpc!A141</f>
        <v>125</v>
      </c>
      <c r="B147" s="1">
        <f>[3]awpc!B141</f>
        <v>297.5</v>
      </c>
      <c r="C147" s="5" t="str">
        <f>[3]awpc!C141</f>
        <v>Lewis,David</v>
      </c>
      <c r="D147" s="5">
        <f>[3]awpc!D141</f>
        <v>72</v>
      </c>
      <c r="E147" s="1" t="str">
        <f>[3]awpc!E141</f>
        <v>USA</v>
      </c>
      <c r="F147" s="6">
        <f>[3]awpc!F141</f>
        <v>40025</v>
      </c>
      <c r="G147" s="1" t="str">
        <f>[3]awpc!G141</f>
        <v>Burr Ridge</v>
      </c>
    </row>
    <row r="148" spans="1:7" x14ac:dyDescent="0.25">
      <c r="A148" s="1">
        <f>[3]awpc!A142</f>
        <v>140</v>
      </c>
      <c r="B148" s="1">
        <f>[3]awpc!B142</f>
        <v>335</v>
      </c>
      <c r="C148" s="5" t="str">
        <f>[3]awpc!C142</f>
        <v>Harwood,Clinton</v>
      </c>
      <c r="D148" s="5">
        <f>[3]awpc!D142</f>
        <v>73</v>
      </c>
      <c r="E148" s="1" t="str">
        <f>[3]awpc!E142</f>
        <v>CAN</v>
      </c>
      <c r="F148" s="6">
        <f>[3]awpc!F142</f>
        <v>39963</v>
      </c>
      <c r="G148" s="1" t="str">
        <f>[3]awpc!G142</f>
        <v>Toronto</v>
      </c>
    </row>
    <row r="149" spans="1:7" x14ac:dyDescent="0.25">
      <c r="A149" s="1" t="str">
        <f>[3]awpc!A143</f>
        <v>140+</v>
      </c>
      <c r="B149" s="1">
        <f>[3]awpc!B143</f>
        <v>366</v>
      </c>
      <c r="C149" s="5" t="str">
        <f>[3]awpc!C143</f>
        <v>Harwood,Clinton</v>
      </c>
      <c r="D149" s="5">
        <f>[3]awpc!D143</f>
        <v>73</v>
      </c>
      <c r="E149" s="1" t="str">
        <f>[3]awpc!E143</f>
        <v>CAN</v>
      </c>
      <c r="F149" s="6">
        <f>[3]awpc!F143</f>
        <v>39578</v>
      </c>
      <c r="G149" s="1" t="str">
        <f>[3]awpc!G143</f>
        <v>Ontario</v>
      </c>
    </row>
    <row r="151" spans="1:7" s="11" customFormat="1" x14ac:dyDescent="0.25">
      <c r="A151" s="22" t="s">
        <v>0</v>
      </c>
      <c r="B151" s="22">
        <v>0</v>
      </c>
      <c r="C151" s="21">
        <v>-4</v>
      </c>
      <c r="D151" s="21" t="str">
        <f>[3]awpc!C145</f>
        <v xml:space="preserve">Women's Submaster 33-39 </v>
      </c>
      <c r="E151" s="22"/>
      <c r="F151" s="23"/>
      <c r="G151" s="22"/>
    </row>
    <row r="152" spans="1:7" x14ac:dyDescent="0.25">
      <c r="A152" s="1">
        <f>[3]awpc!A146</f>
        <v>44</v>
      </c>
      <c r="B152" s="1">
        <f>[3]awpc!B146</f>
        <v>0</v>
      </c>
      <c r="C152" s="5">
        <f>[3]awpc!C146</f>
        <v>0</v>
      </c>
      <c r="D152" s="5">
        <f>[3]awpc!D146</f>
        <v>0</v>
      </c>
      <c r="E152" s="1">
        <f>[3]awpc!E146</f>
        <v>0</v>
      </c>
      <c r="F152" s="6">
        <f>[3]awpc!F146</f>
        <v>0</v>
      </c>
      <c r="G152" s="1">
        <f>[3]awpc!G146</f>
        <v>0</v>
      </c>
    </row>
    <row r="153" spans="1:7" x14ac:dyDescent="0.25">
      <c r="A153" s="1">
        <f>[3]awpc!A147</f>
        <v>48</v>
      </c>
      <c r="B153" s="1">
        <f>[3]awpc!B147</f>
        <v>70</v>
      </c>
      <c r="C153" s="5" t="str">
        <f>[3]awpc!C147</f>
        <v>Kirkland, Margaret</v>
      </c>
      <c r="D153" s="5">
        <f>[3]awpc!D147</f>
        <v>63</v>
      </c>
      <c r="E153" s="1" t="str">
        <f>[3]awpc!E147</f>
        <v>USA</v>
      </c>
      <c r="F153" s="6">
        <f>[3]awpc!F147</f>
        <v>1999</v>
      </c>
      <c r="G153" s="1">
        <f>[3]awpc!G147</f>
        <v>0</v>
      </c>
    </row>
    <row r="154" spans="1:7" x14ac:dyDescent="0.25">
      <c r="A154" s="1">
        <f>[3]awpc!A148</f>
        <v>52</v>
      </c>
      <c r="B154" s="1">
        <f>[3]awpc!B148</f>
        <v>80</v>
      </c>
      <c r="C154" s="5" t="str">
        <f>[3]awpc!C148</f>
        <v>Davis</v>
      </c>
      <c r="D154" s="5">
        <f>[3]awpc!D148</f>
        <v>0</v>
      </c>
      <c r="E154" s="1" t="str">
        <f>[3]awpc!E148</f>
        <v>USA</v>
      </c>
      <c r="F154" s="6">
        <f>[3]awpc!F148</f>
        <v>1997</v>
      </c>
      <c r="G154" s="1">
        <f>[3]awpc!G148</f>
        <v>0</v>
      </c>
    </row>
    <row r="155" spans="1:7" x14ac:dyDescent="0.25">
      <c r="A155" s="1">
        <f>[3]awpc!A149</f>
        <v>56</v>
      </c>
      <c r="B155" s="1">
        <f>[3]awpc!B149</f>
        <v>88</v>
      </c>
      <c r="C155" s="5" t="str">
        <f>[3]awpc!C149</f>
        <v>Grigoryeva Yelena</v>
      </c>
      <c r="D155" s="5">
        <f>[3]awpc!D149</f>
        <v>76</v>
      </c>
      <c r="E155" s="1" t="str">
        <f>[3]awpc!E149</f>
        <v>RUS</v>
      </c>
      <c r="F155" s="6" t="str">
        <f>[3]awpc!F149</f>
        <v>23.08.2014</v>
      </c>
      <c r="G155" s="1" t="str">
        <f>[3]awpc!G149</f>
        <v>Moscow</v>
      </c>
    </row>
    <row r="156" spans="1:7" x14ac:dyDescent="0.25">
      <c r="A156" s="1">
        <f>[3]awpc!A150</f>
        <v>60</v>
      </c>
      <c r="B156" s="1">
        <f>[3]awpc!B150</f>
        <v>80</v>
      </c>
      <c r="C156" s="5" t="str">
        <f>[3]awpc!C150</f>
        <v>Zagrebina Natalya</v>
      </c>
      <c r="D156" s="5">
        <f>[3]awpc!D150</f>
        <v>77</v>
      </c>
      <c r="E156" s="1" t="str">
        <f>[3]awpc!E150</f>
        <v>RUS</v>
      </c>
      <c r="F156" s="6">
        <f>[3]awpc!F150</f>
        <v>41496</v>
      </c>
      <c r="G156" s="1" t="str">
        <f>[3]awpc!G150</f>
        <v>Kursk</v>
      </c>
    </row>
    <row r="157" spans="1:7" x14ac:dyDescent="0.25">
      <c r="A157" s="1">
        <f>[3]awpc!A151</f>
        <v>67.5</v>
      </c>
      <c r="B157" s="1">
        <f>[3]awpc!B151</f>
        <v>102.5</v>
      </c>
      <c r="C157" s="5" t="str">
        <f>[3]awpc!C151</f>
        <v>Zagrebina Natalya</v>
      </c>
      <c r="D157" s="5">
        <f>[3]awpc!D151</f>
        <v>77</v>
      </c>
      <c r="E157" s="1" t="str">
        <f>[3]awpc!E151</f>
        <v>RUS</v>
      </c>
      <c r="F157" s="6" t="str">
        <f>[3]awpc!F151</f>
        <v>23.08.2014</v>
      </c>
      <c r="G157" s="1" t="str">
        <f>[3]awpc!G151</f>
        <v>Moscow</v>
      </c>
    </row>
    <row r="158" spans="1:7" x14ac:dyDescent="0.25">
      <c r="A158" s="1">
        <f>[3]awpc!A152</f>
        <v>75</v>
      </c>
      <c r="B158" s="1">
        <f>[3]awpc!B152</f>
        <v>105</v>
      </c>
      <c r="C158" s="5" t="str">
        <f>[3]awpc!C152</f>
        <v>Baldwin</v>
      </c>
      <c r="D158" s="5">
        <f>[3]awpc!D152</f>
        <v>0</v>
      </c>
      <c r="E158" s="1" t="str">
        <f>[3]awpc!E152</f>
        <v>USA</v>
      </c>
      <c r="F158" s="6">
        <f>[3]awpc!F152</f>
        <v>2002</v>
      </c>
      <c r="G158" s="1">
        <f>[3]awpc!G152</f>
        <v>0</v>
      </c>
    </row>
    <row r="159" spans="1:7" x14ac:dyDescent="0.25">
      <c r="A159" s="1">
        <f>[3]awpc!A153</f>
        <v>82.5</v>
      </c>
      <c r="B159" s="1">
        <f>[3]awpc!B153</f>
        <v>130</v>
      </c>
      <c r="C159" s="5" t="str">
        <f>[3]awpc!C153</f>
        <v>Bako Nataliya</v>
      </c>
      <c r="D159" s="5">
        <f>[3]awpc!D153</f>
        <v>73</v>
      </c>
      <c r="E159" s="1" t="str">
        <f>[3]awpc!E153</f>
        <v>RUS</v>
      </c>
      <c r="F159" s="6">
        <f>[3]awpc!F153</f>
        <v>40025</v>
      </c>
      <c r="G159" s="1" t="str">
        <f>[3]awpc!G153</f>
        <v>Burr Ridge</v>
      </c>
    </row>
    <row r="160" spans="1:7" x14ac:dyDescent="0.25">
      <c r="A160" s="1">
        <f>[3]awpc!A154</f>
        <v>90</v>
      </c>
      <c r="B160" s="1">
        <f>[3]awpc!B154</f>
        <v>125</v>
      </c>
      <c r="C160" s="5" t="str">
        <f>[3]awpc!C154</f>
        <v>Johnson</v>
      </c>
      <c r="D160" s="5">
        <f>[3]awpc!D154</f>
        <v>0</v>
      </c>
      <c r="E160" s="1" t="str">
        <f>[3]awpc!E154</f>
        <v>USA</v>
      </c>
      <c r="F160" s="6">
        <f>[3]awpc!F154</f>
        <v>1998</v>
      </c>
      <c r="G160" s="1">
        <f>[3]awpc!G154</f>
        <v>0</v>
      </c>
    </row>
    <row r="161" spans="1:7" x14ac:dyDescent="0.25">
      <c r="A161" s="1" t="str">
        <f>[3]awpc!A155</f>
        <v>90+</v>
      </c>
      <c r="B161" s="1">
        <f>[3]awpc!B155</f>
        <v>177.5</v>
      </c>
      <c r="C161" s="5" t="str">
        <f>[3]awpc!C155</f>
        <v>Nutter,Rachael</v>
      </c>
      <c r="D161" s="5">
        <f>[3]awpc!D155</f>
        <v>70</v>
      </c>
      <c r="E161" s="1" t="str">
        <f>[3]awpc!E155</f>
        <v>USA</v>
      </c>
      <c r="F161" s="6">
        <f>[3]awpc!F155</f>
        <v>40284</v>
      </c>
      <c r="G161" s="1" t="str">
        <f>[3]awpc!G155</f>
        <v>Detroit</v>
      </c>
    </row>
    <row r="163" spans="1:7" s="11" customFormat="1" x14ac:dyDescent="0.25">
      <c r="A163" s="22" t="s">
        <v>0</v>
      </c>
      <c r="B163" s="22">
        <v>1</v>
      </c>
      <c r="C163" s="21">
        <v>40</v>
      </c>
      <c r="D163" s="21" t="str">
        <f>[3]awpc!C157</f>
        <v>Men's M40-44</v>
      </c>
      <c r="E163" s="22"/>
      <c r="F163" s="23"/>
      <c r="G163" s="22"/>
    </row>
    <row r="164" spans="1:7" x14ac:dyDescent="0.25">
      <c r="A164" s="1">
        <f>[3]awpc!A158</f>
        <v>52</v>
      </c>
      <c r="B164" s="1">
        <f>[3]awpc!B158</f>
        <v>0</v>
      </c>
      <c r="C164" s="5">
        <f>[3]awpc!C158</f>
        <v>0</v>
      </c>
      <c r="D164" s="5">
        <f>[3]awpc!D158</f>
        <v>0</v>
      </c>
      <c r="E164" s="1">
        <f>[3]awpc!E158</f>
        <v>0</v>
      </c>
      <c r="F164" s="6">
        <f>[3]awpc!F158</f>
        <v>0</v>
      </c>
      <c r="G164" s="1">
        <f>[3]awpc!G158</f>
        <v>0</v>
      </c>
    </row>
    <row r="165" spans="1:7" x14ac:dyDescent="0.25">
      <c r="A165" s="1">
        <f>[3]awpc!A159</f>
        <v>56</v>
      </c>
      <c r="B165" s="1">
        <f>[3]awpc!B159</f>
        <v>135</v>
      </c>
      <c r="C165" s="5" t="str">
        <f>[3]awpc!C159</f>
        <v>Artemyev,Igor</v>
      </c>
      <c r="D165" s="5">
        <f>[3]awpc!D159</f>
        <v>71</v>
      </c>
      <c r="E165" s="1" t="str">
        <f>[3]awpc!E159</f>
        <v>RUS</v>
      </c>
      <c r="F165" s="6" t="str">
        <f>[3]awpc!F159</f>
        <v>23.08.2014</v>
      </c>
      <c r="G165" s="1" t="str">
        <f>[3]awpc!G159</f>
        <v>Moscow</v>
      </c>
    </row>
    <row r="166" spans="1:7" x14ac:dyDescent="0.25">
      <c r="A166" s="1">
        <f>[3]awpc!A160</f>
        <v>60</v>
      </c>
      <c r="B166" s="1">
        <f>[3]awpc!B160</f>
        <v>150</v>
      </c>
      <c r="C166" s="5" t="str">
        <f>[3]awpc!C160</f>
        <v>Artemyev,Oleg</v>
      </c>
      <c r="D166" s="5">
        <f>[3]awpc!D160</f>
        <v>71</v>
      </c>
      <c r="E166" s="1" t="str">
        <f>[3]awpc!E160</f>
        <v>RUS</v>
      </c>
      <c r="F166" s="6" t="str">
        <f>[3]awpc!F160</f>
        <v>23.08.2014</v>
      </c>
      <c r="G166" s="1" t="str">
        <f>[3]awpc!G160</f>
        <v>Moscow</v>
      </c>
    </row>
    <row r="167" spans="1:7" x14ac:dyDescent="0.25">
      <c r="A167" s="1">
        <f>[3]awpc!A161</f>
        <v>67.5</v>
      </c>
      <c r="B167" s="1">
        <f>[3]awpc!B161</f>
        <v>160</v>
      </c>
      <c r="C167" s="5" t="str">
        <f>[3]awpc!C161</f>
        <v>Yu</v>
      </c>
      <c r="D167" s="5">
        <f>[3]awpc!D161</f>
        <v>0</v>
      </c>
      <c r="E167" s="1" t="str">
        <f>[3]awpc!E161</f>
        <v>USA</v>
      </c>
      <c r="F167" s="6">
        <f>[3]awpc!F161</f>
        <v>2000</v>
      </c>
      <c r="G167" s="1">
        <f>[3]awpc!G161</f>
        <v>0</v>
      </c>
    </row>
    <row r="168" spans="1:7" x14ac:dyDescent="0.25">
      <c r="A168" s="1">
        <f>[3]awpc!A162</f>
        <v>75</v>
      </c>
      <c r="B168" s="1">
        <f>[3]awpc!B162</f>
        <v>210</v>
      </c>
      <c r="C168" s="5" t="str">
        <f>[3]awpc!C162</f>
        <v>Bingham,Michael</v>
      </c>
      <c r="D168" s="5">
        <f>[3]awpc!D162</f>
        <v>65</v>
      </c>
      <c r="E168" s="1" t="str">
        <f>[3]awpc!E162</f>
        <v>USA</v>
      </c>
      <c r="F168" s="6">
        <f>[3]awpc!F162</f>
        <v>40025</v>
      </c>
      <c r="G168" s="1" t="str">
        <f>[3]awpc!G162</f>
        <v>Burr Ridge</v>
      </c>
    </row>
    <row r="169" spans="1:7" x14ac:dyDescent="0.25">
      <c r="A169" s="1">
        <f>[3]awpc!A163</f>
        <v>82.5</v>
      </c>
      <c r="B169" s="1">
        <f>[3]awpc!B163</f>
        <v>230</v>
      </c>
      <c r="C169" s="5" t="str">
        <f>[3]awpc!C163</f>
        <v>Elkanany,Mosbeth</v>
      </c>
      <c r="D169" s="5">
        <f>[3]awpc!D163</f>
        <v>69</v>
      </c>
      <c r="E169" s="1" t="str">
        <f>[3]awpc!E163</f>
        <v>EGY</v>
      </c>
      <c r="F169" s="6">
        <f>[3]awpc!F163</f>
        <v>40375</v>
      </c>
      <c r="G169" s="1" t="str">
        <f>[3]awpc!G163</f>
        <v>West Palm Beach</v>
      </c>
    </row>
    <row r="170" spans="1:7" x14ac:dyDescent="0.25">
      <c r="A170" s="1">
        <f>[3]awpc!A164</f>
        <v>90</v>
      </c>
      <c r="B170" s="1">
        <f>[3]awpc!B164</f>
        <v>260</v>
      </c>
      <c r="C170" s="5" t="str">
        <f>[3]awpc!C164</f>
        <v>Veber, Mikhail</v>
      </c>
      <c r="D170" s="5">
        <f>[3]awpc!D164</f>
        <v>71</v>
      </c>
      <c r="E170" s="1" t="str">
        <f>[3]awpc!E164</f>
        <v>RUS</v>
      </c>
      <c r="F170" s="6">
        <f>[3]awpc!F164</f>
        <v>40769</v>
      </c>
      <c r="G170" s="1" t="str">
        <f>[3]awpc!G164</f>
        <v>Kursk</v>
      </c>
    </row>
    <row r="171" spans="1:7" x14ac:dyDescent="0.25">
      <c r="A171" s="1">
        <f>[3]awpc!A165</f>
        <v>100</v>
      </c>
      <c r="B171" s="1">
        <f>[3]awpc!B165</f>
        <v>251</v>
      </c>
      <c r="C171" s="5" t="str">
        <f>[3]awpc!C165</f>
        <v>Veber, Mikhail</v>
      </c>
      <c r="D171" s="5">
        <f>[3]awpc!D165</f>
        <v>71</v>
      </c>
      <c r="E171" s="1" t="str">
        <f>[3]awpc!E165</f>
        <v>RUS</v>
      </c>
      <c r="F171" s="6">
        <f>[3]awpc!F165</f>
        <v>41201</v>
      </c>
      <c r="G171" s="1" t="str">
        <f>[3]awpc!G165</f>
        <v>Krasnodar</v>
      </c>
    </row>
    <row r="172" spans="1:7" x14ac:dyDescent="0.25">
      <c r="A172" s="1">
        <f>[3]awpc!A166</f>
        <v>110</v>
      </c>
      <c r="B172" s="1">
        <f>[3]awpc!B166</f>
        <v>257.5</v>
      </c>
      <c r="C172" s="5" t="str">
        <f>[3]awpc!C166</f>
        <v>McConaughey, Bob</v>
      </c>
      <c r="D172" s="5">
        <f>[3]awpc!D166</f>
        <v>60</v>
      </c>
      <c r="E172" s="1" t="str">
        <f>[3]awpc!E166</f>
        <v>USA</v>
      </c>
      <c r="F172" s="6">
        <f>[3]awpc!F166</f>
        <v>2004</v>
      </c>
      <c r="G172" s="1">
        <f>[3]awpc!G166</f>
        <v>0</v>
      </c>
    </row>
    <row r="173" spans="1:7" x14ac:dyDescent="0.25">
      <c r="A173" s="1">
        <f>[3]awpc!A167</f>
        <v>125</v>
      </c>
      <c r="B173" s="1">
        <f>[3]awpc!B167</f>
        <v>275</v>
      </c>
      <c r="C173" s="5" t="str">
        <f>[3]awpc!C167</f>
        <v>Hubbs, Eric</v>
      </c>
      <c r="D173" s="5">
        <f>[3]awpc!D167</f>
        <v>63</v>
      </c>
      <c r="E173" s="1" t="str">
        <f>[3]awpc!E167</f>
        <v>USA</v>
      </c>
      <c r="F173" s="6">
        <f>[3]awpc!F167</f>
        <v>39661</v>
      </c>
      <c r="G173" s="1" t="str">
        <f>[3]awpc!G167</f>
        <v>Oak Brook</v>
      </c>
    </row>
    <row r="174" spans="1:7" x14ac:dyDescent="0.25">
      <c r="A174" s="1">
        <f>[3]awpc!A168</f>
        <v>140</v>
      </c>
      <c r="B174" s="1">
        <f>[3]awpc!B168</f>
        <v>310.5</v>
      </c>
      <c r="C174" s="5" t="str">
        <f>[3]awpc!C168</f>
        <v>O'Halloran, Shawn</v>
      </c>
      <c r="D174" s="5">
        <f>[3]awpc!D168</f>
        <v>65</v>
      </c>
      <c r="E174" s="1" t="str">
        <f>[3]awpc!E168</f>
        <v>CAN</v>
      </c>
      <c r="F174" s="6">
        <f>[3]awpc!F168</f>
        <v>39207</v>
      </c>
      <c r="G174" s="1" t="str">
        <f>[3]awpc!G168</f>
        <v>Toronto</v>
      </c>
    </row>
    <row r="175" spans="1:7" x14ac:dyDescent="0.25">
      <c r="A175" s="1" t="str">
        <f>[3]awpc!A169</f>
        <v>140+</v>
      </c>
      <c r="B175" s="1">
        <f>[3]awpc!B169</f>
        <v>300</v>
      </c>
      <c r="C175" s="5" t="str">
        <f>[3]awpc!C169</f>
        <v>Robinson,John</v>
      </c>
      <c r="D175" s="5">
        <f>[3]awpc!D169</f>
        <v>67</v>
      </c>
      <c r="E175" s="1" t="str">
        <f>[3]awpc!E169</f>
        <v>USA</v>
      </c>
      <c r="F175" s="6">
        <f>[3]awpc!F169</f>
        <v>39551</v>
      </c>
      <c r="G175" s="1" t="str">
        <f>[3]awpc!G169</f>
        <v>Lake George</v>
      </c>
    </row>
    <row r="177" spans="1:7" s="11" customFormat="1" x14ac:dyDescent="0.25">
      <c r="A177" s="22" t="s">
        <v>0</v>
      </c>
      <c r="B177" s="22">
        <v>1</v>
      </c>
      <c r="C177" s="21">
        <v>45</v>
      </c>
      <c r="D177" s="21" t="str">
        <f>[3]awpc!C171</f>
        <v xml:space="preserve">M45-49 </v>
      </c>
      <c r="E177" s="22"/>
      <c r="F177" s="23"/>
      <c r="G177" s="22"/>
    </row>
    <row r="178" spans="1:7" x14ac:dyDescent="0.25">
      <c r="A178" s="1">
        <f>[3]awpc!A172</f>
        <v>52</v>
      </c>
      <c r="B178" s="1">
        <f>[3]awpc!B172</f>
        <v>0</v>
      </c>
      <c r="C178" s="5">
        <f>[3]awpc!C172</f>
        <v>0</v>
      </c>
      <c r="D178" s="5">
        <f>[3]awpc!D172</f>
        <v>0</v>
      </c>
      <c r="E178" s="1">
        <f>[3]awpc!E172</f>
        <v>0</v>
      </c>
      <c r="F178" s="6">
        <f>[3]awpc!F172</f>
        <v>0</v>
      </c>
      <c r="G178" s="1">
        <f>[3]awpc!G172</f>
        <v>0</v>
      </c>
    </row>
    <row r="179" spans="1:7" x14ac:dyDescent="0.25">
      <c r="A179" s="1">
        <f>[3]awpc!A173</f>
        <v>56</v>
      </c>
      <c r="B179" s="1">
        <f>[3]awpc!B173</f>
        <v>0</v>
      </c>
      <c r="C179" s="5">
        <f>[3]awpc!C173</f>
        <v>0</v>
      </c>
      <c r="D179" s="5">
        <f>[3]awpc!D173</f>
        <v>0</v>
      </c>
      <c r="E179" s="1">
        <f>[3]awpc!E173</f>
        <v>0</v>
      </c>
      <c r="F179" s="6">
        <f>[3]awpc!F173</f>
        <v>0</v>
      </c>
      <c r="G179" s="1">
        <f>[3]awpc!G173</f>
        <v>0</v>
      </c>
    </row>
    <row r="180" spans="1:7" x14ac:dyDescent="0.25">
      <c r="A180" s="1">
        <f>[3]awpc!A174</f>
        <v>60</v>
      </c>
      <c r="B180" s="1">
        <f>[3]awpc!B174</f>
        <v>112.5</v>
      </c>
      <c r="C180" s="5" t="str">
        <f>[3]awpc!C174</f>
        <v>Kovalenko,Volodymyr</v>
      </c>
      <c r="D180" s="5">
        <f>[3]awpc!D174</f>
        <v>65</v>
      </c>
      <c r="E180" s="1" t="str">
        <f>[3]awpc!E174</f>
        <v>UKR</v>
      </c>
      <c r="F180" s="6">
        <f>[3]awpc!F174</f>
        <v>41129</v>
      </c>
      <c r="G180" s="1" t="str">
        <f>[3]awpc!G174</f>
        <v>Kryvyi Rig</v>
      </c>
    </row>
    <row r="181" spans="1:7" x14ac:dyDescent="0.25">
      <c r="A181" s="1">
        <f>[3]awpc!A175</f>
        <v>67.5</v>
      </c>
      <c r="B181" s="1">
        <f>[3]awpc!B175</f>
        <v>150</v>
      </c>
      <c r="C181" s="5" t="str">
        <f>[3]awpc!C175</f>
        <v>Maximov,Alexander</v>
      </c>
      <c r="D181" s="5">
        <f>[3]awpc!D175</f>
        <v>61</v>
      </c>
      <c r="E181" s="1" t="str">
        <f>[3]awpc!E175</f>
        <v>RUS</v>
      </c>
      <c r="F181" s="6">
        <f>[3]awpc!F175</f>
        <v>39214</v>
      </c>
      <c r="G181" s="1" t="str">
        <f>[3]awpc!G175</f>
        <v>Pushkino</v>
      </c>
    </row>
    <row r="182" spans="1:7" x14ac:dyDescent="0.25">
      <c r="A182" s="1">
        <f>[3]awpc!A176</f>
        <v>75</v>
      </c>
      <c r="B182" s="1">
        <f>[3]awpc!B176</f>
        <v>167.5</v>
      </c>
      <c r="C182" s="5" t="str">
        <f>[3]awpc!C176</f>
        <v>Anest,Jody</v>
      </c>
      <c r="D182" s="5">
        <f>[3]awpc!D176</f>
        <v>63</v>
      </c>
      <c r="E182" s="1" t="str">
        <f>[3]awpc!E176</f>
        <v>USA</v>
      </c>
      <c r="F182" s="6">
        <f>[3]awpc!F176</f>
        <v>39908</v>
      </c>
      <c r="G182" s="1" t="str">
        <f>[3]awpc!G176</f>
        <v>Idaho Falls</v>
      </c>
    </row>
    <row r="183" spans="1:7" x14ac:dyDescent="0.25">
      <c r="A183" s="1">
        <f>[3]awpc!A177</f>
        <v>82.5</v>
      </c>
      <c r="B183" s="1">
        <f>[3]awpc!B177</f>
        <v>192.5</v>
      </c>
      <c r="C183" s="5" t="str">
        <f>[3]awpc!C177</f>
        <v>Fabiano, Bob</v>
      </c>
      <c r="D183" s="5">
        <f>[3]awpc!D177</f>
        <v>57</v>
      </c>
      <c r="E183" s="1" t="str">
        <f>[3]awpc!E177</f>
        <v>USA</v>
      </c>
      <c r="F183" s="6">
        <f>[3]awpc!F177</f>
        <v>38920</v>
      </c>
      <c r="G183" s="1" t="str">
        <f>[3]awpc!G177</f>
        <v>Flint</v>
      </c>
    </row>
    <row r="184" spans="1:7" x14ac:dyDescent="0.25">
      <c r="A184" s="1">
        <f>[3]awpc!A178</f>
        <v>90</v>
      </c>
      <c r="B184" s="1">
        <f>[3]awpc!B178</f>
        <v>220</v>
      </c>
      <c r="C184" s="5" t="str">
        <f>[3]awpc!C178</f>
        <v>Petrov,Alexandr</v>
      </c>
      <c r="D184" s="5">
        <f>[3]awpc!D178</f>
        <v>60</v>
      </c>
      <c r="E184" s="1" t="str">
        <f>[3]awpc!E178</f>
        <v>RUS</v>
      </c>
      <c r="F184" s="6">
        <f>[3]awpc!F178</f>
        <v>40034</v>
      </c>
      <c r="G184" s="1" t="str">
        <f>[3]awpc!G178</f>
        <v>Kursk</v>
      </c>
    </row>
    <row r="185" spans="1:7" x14ac:dyDescent="0.25">
      <c r="A185" s="1">
        <f>[3]awpc!A179</f>
        <v>100</v>
      </c>
      <c r="B185" s="1">
        <f>[3]awpc!B179</f>
        <v>250</v>
      </c>
      <c r="C185" s="5" t="str">
        <f>[3]awpc!C179</f>
        <v>Liciano,Sam</v>
      </c>
      <c r="D185" s="5">
        <f>[3]awpc!D179</f>
        <v>0</v>
      </c>
      <c r="E185" s="1" t="str">
        <f>[3]awpc!E179</f>
        <v>USA</v>
      </c>
      <c r="F185" s="6">
        <f>[3]awpc!F179</f>
        <v>39551</v>
      </c>
      <c r="G185" s="1" t="str">
        <f>[3]awpc!G179</f>
        <v>Lake George</v>
      </c>
    </row>
    <row r="186" spans="1:7" x14ac:dyDescent="0.25">
      <c r="A186" s="1">
        <f>[3]awpc!A180</f>
        <v>110</v>
      </c>
      <c r="B186" s="1">
        <f>[3]awpc!B180</f>
        <v>287.5</v>
      </c>
      <c r="C186" s="5" t="str">
        <f>[3]awpc!C180</f>
        <v>McConaughey, Bob</v>
      </c>
      <c r="D186" s="5">
        <f>[3]awpc!D180</f>
        <v>60</v>
      </c>
      <c r="E186" s="1" t="str">
        <f>[3]awpc!E180</f>
        <v>USA</v>
      </c>
      <c r="F186" s="6">
        <f>[3]awpc!F180</f>
        <v>38564</v>
      </c>
      <c r="G186" s="1" t="str">
        <f>[3]awpc!G180</f>
        <v>Lincolnwood</v>
      </c>
    </row>
    <row r="187" spans="1:7" x14ac:dyDescent="0.25">
      <c r="A187" s="1">
        <f>[3]awpc!A181</f>
        <v>125</v>
      </c>
      <c r="B187" s="1">
        <f>[3]awpc!B181</f>
        <v>290</v>
      </c>
      <c r="C187" s="5" t="str">
        <f>[3]awpc!C181</f>
        <v>Hubbs, Eric</v>
      </c>
      <c r="D187" s="5">
        <f>[3]awpc!D181</f>
        <v>65</v>
      </c>
      <c r="E187" s="1" t="str">
        <f>[3]awpc!E181</f>
        <v>USA</v>
      </c>
      <c r="F187" s="6">
        <f>[3]awpc!F181</f>
        <v>40790</v>
      </c>
      <c r="G187" s="1" t="str">
        <f>[3]awpc!G181</f>
        <v>Idaho Falls</v>
      </c>
    </row>
    <row r="188" spans="1:7" x14ac:dyDescent="0.25">
      <c r="A188" s="1">
        <f>[3]awpc!A182</f>
        <v>140</v>
      </c>
      <c r="B188" s="1">
        <f>[3]awpc!B182</f>
        <v>255</v>
      </c>
      <c r="C188" s="5" t="str">
        <f>[3]awpc!C182</f>
        <v>Foltz, Jerry</v>
      </c>
      <c r="D188" s="5">
        <f>[3]awpc!D182</f>
        <v>65</v>
      </c>
      <c r="E188" s="1" t="str">
        <f>[3]awpc!E182</f>
        <v>USA</v>
      </c>
      <c r="F188" s="6">
        <f>[3]awpc!F182</f>
        <v>40790</v>
      </c>
      <c r="G188" s="1" t="str">
        <f>[3]awpc!G182</f>
        <v>Idaho Falls</v>
      </c>
    </row>
    <row r="189" spans="1:7" x14ac:dyDescent="0.25">
      <c r="A189" s="1" t="str">
        <f>[3]awpc!A183</f>
        <v>140+</v>
      </c>
      <c r="B189" s="1">
        <f>[3]awpc!B183</f>
        <v>247.5</v>
      </c>
      <c r="C189" s="5" t="str">
        <f>[3]awpc!C183</f>
        <v>Darley,Bruce</v>
      </c>
      <c r="D189" s="5">
        <f>[3]awpc!D183</f>
        <v>64</v>
      </c>
      <c r="E189" s="1" t="str">
        <f>[3]awpc!E183</f>
        <v>USA</v>
      </c>
      <c r="F189" s="6">
        <f>[3]awpc!F183</f>
        <v>41111</v>
      </c>
      <c r="G189" s="1" t="str">
        <f>[3]awpc!G183</f>
        <v>Detroit</v>
      </c>
    </row>
    <row r="191" spans="1:7" s="11" customFormat="1" x14ac:dyDescent="0.25">
      <c r="A191" s="22" t="s">
        <v>0</v>
      </c>
      <c r="B191" s="22">
        <v>1</v>
      </c>
      <c r="C191" s="21">
        <v>50</v>
      </c>
      <c r="D191" s="21" t="str">
        <f>[3]awpc!C185</f>
        <v xml:space="preserve">M50-54 </v>
      </c>
      <c r="E191" s="22"/>
      <c r="F191" s="23"/>
      <c r="G191" s="22"/>
    </row>
    <row r="192" spans="1:7" x14ac:dyDescent="0.25">
      <c r="A192" s="1">
        <f>[3]awpc!A186</f>
        <v>52</v>
      </c>
      <c r="B192" s="1">
        <f>[3]awpc!B186</f>
        <v>0</v>
      </c>
      <c r="C192" s="5">
        <f>[3]awpc!C186</f>
        <v>0</v>
      </c>
      <c r="D192" s="5">
        <f>[3]awpc!D186</f>
        <v>0</v>
      </c>
      <c r="E192" s="1">
        <f>[3]awpc!E186</f>
        <v>0</v>
      </c>
      <c r="F192" s="6">
        <f>[3]awpc!F186</f>
        <v>0</v>
      </c>
      <c r="G192" s="1">
        <f>[3]awpc!G186</f>
        <v>0</v>
      </c>
    </row>
    <row r="193" spans="1:7" x14ac:dyDescent="0.25">
      <c r="A193" s="1">
        <f>[3]awpc!A187</f>
        <v>56</v>
      </c>
      <c r="B193" s="1">
        <f>[3]awpc!B187</f>
        <v>0</v>
      </c>
      <c r="C193" s="5">
        <f>[3]awpc!C187</f>
        <v>0</v>
      </c>
      <c r="D193" s="5">
        <f>[3]awpc!D187</f>
        <v>0</v>
      </c>
      <c r="E193" s="1">
        <f>[3]awpc!E187</f>
        <v>0</v>
      </c>
      <c r="F193" s="6">
        <f>[3]awpc!F187</f>
        <v>0</v>
      </c>
      <c r="G193" s="1">
        <f>[3]awpc!G187</f>
        <v>0</v>
      </c>
    </row>
    <row r="194" spans="1:7" x14ac:dyDescent="0.25">
      <c r="A194" s="1">
        <f>[3]awpc!A188</f>
        <v>60</v>
      </c>
      <c r="B194" s="1">
        <f>[3]awpc!B188</f>
        <v>0</v>
      </c>
      <c r="C194" s="5">
        <f>[3]awpc!C188</f>
        <v>0</v>
      </c>
      <c r="D194" s="5">
        <f>[3]awpc!D188</f>
        <v>0</v>
      </c>
      <c r="E194" s="1">
        <f>[3]awpc!E188</f>
        <v>0</v>
      </c>
      <c r="F194" s="6">
        <f>[3]awpc!F188</f>
        <v>0</v>
      </c>
      <c r="G194" s="1">
        <f>[3]awpc!G188</f>
        <v>0</v>
      </c>
    </row>
    <row r="195" spans="1:7" x14ac:dyDescent="0.25">
      <c r="A195" s="1">
        <f>[3]awpc!A189</f>
        <v>67.5</v>
      </c>
      <c r="B195" s="1">
        <f>[3]awpc!B189</f>
        <v>130</v>
      </c>
      <c r="C195" s="5" t="str">
        <f>[3]awpc!C189</f>
        <v>Alampiev,Sergei</v>
      </c>
      <c r="D195" s="5">
        <f>[3]awpc!D189</f>
        <v>57</v>
      </c>
      <c r="E195" s="1" t="str">
        <f>[3]awpc!E189</f>
        <v>RUS</v>
      </c>
      <c r="F195" s="6">
        <f>[3]awpc!F189</f>
        <v>40258</v>
      </c>
      <c r="G195" s="1" t="str">
        <f>[3]awpc!G189</f>
        <v>Kursk</v>
      </c>
    </row>
    <row r="196" spans="1:7" x14ac:dyDescent="0.25">
      <c r="A196" s="1">
        <f>[3]awpc!A190</f>
        <v>75</v>
      </c>
      <c r="B196" s="1">
        <f>[3]awpc!B190</f>
        <v>167.5</v>
      </c>
      <c r="C196" s="5" t="str">
        <f>[3]awpc!C190</f>
        <v>Craig, Scott</v>
      </c>
      <c r="D196" s="5">
        <f>[3]awpc!D190</f>
        <v>46</v>
      </c>
      <c r="E196" s="1" t="str">
        <f>[3]awpc!E190</f>
        <v>USA</v>
      </c>
      <c r="F196" s="6">
        <f>[3]awpc!F190</f>
        <v>1999</v>
      </c>
      <c r="G196" s="1">
        <f>[3]awpc!G190</f>
        <v>0</v>
      </c>
    </row>
    <row r="197" spans="1:7" x14ac:dyDescent="0.25">
      <c r="A197" s="1">
        <f>[3]awpc!A191</f>
        <v>82.5</v>
      </c>
      <c r="B197" s="1">
        <f>[3]awpc!B191</f>
        <v>195.5</v>
      </c>
      <c r="C197" s="5" t="str">
        <f>[3]awpc!C191</f>
        <v>Reshetnikov, Vladimir</v>
      </c>
      <c r="D197" s="5">
        <f>[3]awpc!D191</f>
        <v>60</v>
      </c>
      <c r="E197" s="1" t="str">
        <f>[3]awpc!E191</f>
        <v>RUS</v>
      </c>
      <c r="F197" s="6">
        <f>[3]awpc!F191</f>
        <v>40409</v>
      </c>
      <c r="G197" s="1" t="str">
        <f>[3]awpc!G191</f>
        <v>Moscow</v>
      </c>
    </row>
    <row r="198" spans="1:7" x14ac:dyDescent="0.25">
      <c r="A198" s="1">
        <f>[3]awpc!A192</f>
        <v>90</v>
      </c>
      <c r="B198" s="1">
        <f>[3]awpc!B192</f>
        <v>200</v>
      </c>
      <c r="C198" s="5" t="str">
        <f>[3]awpc!C192</f>
        <v>Gadzhiev,Elman</v>
      </c>
      <c r="D198" s="5">
        <f>[3]awpc!D192</f>
        <v>59</v>
      </c>
      <c r="E198" s="1" t="str">
        <f>[3]awpc!E192</f>
        <v>UKR</v>
      </c>
      <c r="F198" s="6">
        <f>[3]awpc!F192</f>
        <v>41129</v>
      </c>
      <c r="G198" s="1" t="str">
        <f>[3]awpc!G192</f>
        <v>Kryvyi Rig</v>
      </c>
    </row>
    <row r="199" spans="1:7" x14ac:dyDescent="0.25">
      <c r="A199" s="1">
        <f>[3]awpc!A193</f>
        <v>100</v>
      </c>
      <c r="B199" s="1">
        <f>[3]awpc!B193</f>
        <v>235</v>
      </c>
      <c r="C199" s="5" t="str">
        <f>[3]awpc!C193</f>
        <v>McIntyre,Bruce</v>
      </c>
      <c r="D199" s="5">
        <f>[3]awpc!D193</f>
        <v>57</v>
      </c>
      <c r="E199" s="1" t="str">
        <f>[3]awpc!E193</f>
        <v>USA</v>
      </c>
      <c r="F199" s="6">
        <f>[3]awpc!F193</f>
        <v>40375</v>
      </c>
      <c r="G199" s="1" t="str">
        <f>[3]awpc!G193</f>
        <v>West Palm Beach</v>
      </c>
    </row>
    <row r="200" spans="1:7" x14ac:dyDescent="0.25">
      <c r="A200" s="1">
        <f>[3]awpc!A194</f>
        <v>110</v>
      </c>
      <c r="B200" s="1">
        <f>[3]awpc!B194</f>
        <v>275</v>
      </c>
      <c r="C200" s="5" t="str">
        <f>[3]awpc!C194</f>
        <v>McIntyre,Bruce</v>
      </c>
      <c r="D200" s="5">
        <f>[3]awpc!D194</f>
        <v>57</v>
      </c>
      <c r="E200" s="1" t="str">
        <f>[3]awpc!E194</f>
        <v>USA</v>
      </c>
      <c r="F200" s="6">
        <f>[3]awpc!F194</f>
        <v>39578</v>
      </c>
      <c r="G200" s="1" t="str">
        <f>[3]awpc!G194</f>
        <v>Ontario</v>
      </c>
    </row>
    <row r="201" spans="1:7" x14ac:dyDescent="0.25">
      <c r="A201" s="1">
        <f>[3]awpc!A195</f>
        <v>125</v>
      </c>
      <c r="B201" s="1">
        <f>[3]awpc!B195</f>
        <v>255</v>
      </c>
      <c r="C201" s="5" t="str">
        <f>[3]awpc!C195</f>
        <v>Murphy,Dave</v>
      </c>
      <c r="D201" s="5">
        <f>[3]awpc!D195</f>
        <v>54</v>
      </c>
      <c r="E201" s="1" t="str">
        <f>[3]awpc!E195</f>
        <v>USA</v>
      </c>
      <c r="F201" s="6">
        <f>[3]awpc!F195</f>
        <v>39661</v>
      </c>
      <c r="G201" s="1" t="str">
        <f>[3]awpc!G195</f>
        <v>Oak Brook</v>
      </c>
    </row>
    <row r="202" spans="1:7" x14ac:dyDescent="0.25">
      <c r="A202" s="1">
        <f>[3]awpc!A196</f>
        <v>140</v>
      </c>
      <c r="B202" s="1">
        <f>[3]awpc!B196</f>
        <v>205</v>
      </c>
      <c r="C202" s="5" t="str">
        <f>[3]awpc!C196</f>
        <v>Cozine,Cozy</v>
      </c>
      <c r="D202" s="5">
        <f>[3]awpc!D196</f>
        <v>56</v>
      </c>
      <c r="E202" s="1" t="str">
        <f>[3]awpc!E196</f>
        <v>USA</v>
      </c>
      <c r="F202" s="6">
        <f>[3]awpc!F196</f>
        <v>39661</v>
      </c>
      <c r="G202" s="1" t="str">
        <f>[3]awpc!G196</f>
        <v>Oak Brook</v>
      </c>
    </row>
    <row r="203" spans="1:7" x14ac:dyDescent="0.25">
      <c r="A203" s="1" t="str">
        <f>[3]awpc!A197</f>
        <v>140+</v>
      </c>
      <c r="B203" s="1">
        <f>[3]awpc!B197</f>
        <v>227.5</v>
      </c>
      <c r="C203" s="5" t="str">
        <f>[3]awpc!C197</f>
        <v>Bivans, Karl</v>
      </c>
      <c r="D203" s="5">
        <f>[3]awpc!D197</f>
        <v>0</v>
      </c>
      <c r="E203" s="1" t="str">
        <f>[3]awpc!E197</f>
        <v>USA</v>
      </c>
      <c r="F203" s="6">
        <f>[3]awpc!F197</f>
        <v>2000</v>
      </c>
      <c r="G203" s="1">
        <f>[3]awpc!G197</f>
        <v>0</v>
      </c>
    </row>
    <row r="205" spans="1:7" s="11" customFormat="1" x14ac:dyDescent="0.25">
      <c r="A205" s="22" t="s">
        <v>0</v>
      </c>
      <c r="B205" s="22">
        <v>1</v>
      </c>
      <c r="C205" s="21">
        <v>55</v>
      </c>
      <c r="D205" s="21" t="str">
        <f>[3]awpc!C199</f>
        <v>M55-59 Age Group</v>
      </c>
      <c r="E205" s="22"/>
      <c r="F205" s="23"/>
      <c r="G205" s="22"/>
    </row>
    <row r="206" spans="1:7" x14ac:dyDescent="0.25">
      <c r="A206" s="1">
        <f>[3]awpc!A200</f>
        <v>52</v>
      </c>
      <c r="B206" s="1">
        <f>[3]awpc!B200</f>
        <v>0</v>
      </c>
      <c r="C206" s="5">
        <f>[3]awpc!C200</f>
        <v>0</v>
      </c>
      <c r="D206" s="5">
        <f>[3]awpc!D200</f>
        <v>0</v>
      </c>
      <c r="E206" s="1">
        <f>[3]awpc!E200</f>
        <v>0</v>
      </c>
      <c r="F206" s="6">
        <f>[3]awpc!F200</f>
        <v>0</v>
      </c>
      <c r="G206" s="1">
        <f>[3]awpc!G200</f>
        <v>0</v>
      </c>
    </row>
    <row r="207" spans="1:7" x14ac:dyDescent="0.25">
      <c r="A207" s="1">
        <f>[3]awpc!A201</f>
        <v>56</v>
      </c>
      <c r="B207" s="1">
        <f>[3]awpc!B201</f>
        <v>0</v>
      </c>
      <c r="C207" s="5">
        <f>[3]awpc!C201</f>
        <v>0</v>
      </c>
      <c r="D207" s="5">
        <f>[3]awpc!D201</f>
        <v>0</v>
      </c>
      <c r="E207" s="1">
        <f>[3]awpc!E201</f>
        <v>0</v>
      </c>
      <c r="F207" s="6">
        <f>[3]awpc!F201</f>
        <v>0</v>
      </c>
      <c r="G207" s="1">
        <f>[3]awpc!G201</f>
        <v>0</v>
      </c>
    </row>
    <row r="208" spans="1:7" x14ac:dyDescent="0.25">
      <c r="A208" s="1">
        <f>[3]awpc!A202</f>
        <v>60</v>
      </c>
      <c r="B208" s="1">
        <f>[3]awpc!B202</f>
        <v>0</v>
      </c>
      <c r="C208" s="5">
        <f>[3]awpc!C202</f>
        <v>0</v>
      </c>
      <c r="D208" s="5">
        <f>[3]awpc!D202</f>
        <v>0</v>
      </c>
      <c r="E208" s="1">
        <f>[3]awpc!E202</f>
        <v>0</v>
      </c>
      <c r="F208" s="6">
        <f>[3]awpc!F202</f>
        <v>0</v>
      </c>
      <c r="G208" s="1">
        <f>[3]awpc!G202</f>
        <v>0</v>
      </c>
    </row>
    <row r="209" spans="1:7" x14ac:dyDescent="0.25">
      <c r="A209" s="1">
        <f>[3]awpc!A203</f>
        <v>67.5</v>
      </c>
      <c r="B209" s="1">
        <f>[3]awpc!B203</f>
        <v>115</v>
      </c>
      <c r="C209" s="5" t="str">
        <f>[3]awpc!C203</f>
        <v>Noplos, Tony</v>
      </c>
      <c r="D209" s="5">
        <f>[3]awpc!D203</f>
        <v>44</v>
      </c>
      <c r="E209" s="1" t="str">
        <f>[3]awpc!E203</f>
        <v>USA</v>
      </c>
      <c r="F209" s="6">
        <f>[3]awpc!F203</f>
        <v>2003</v>
      </c>
      <c r="G209" s="1">
        <f>[3]awpc!G203</f>
        <v>0</v>
      </c>
    </row>
    <row r="210" spans="1:7" x14ac:dyDescent="0.25">
      <c r="A210" s="1">
        <f>[3]awpc!A204</f>
        <v>75</v>
      </c>
      <c r="B210" s="1">
        <f>[3]awpc!B204</f>
        <v>165</v>
      </c>
      <c r="C210" s="5" t="str">
        <f>[3]awpc!C204</f>
        <v>Cardon</v>
      </c>
      <c r="D210" s="5">
        <f>[3]awpc!D204</f>
        <v>0</v>
      </c>
      <c r="E210" s="1" t="str">
        <f>[3]awpc!E204</f>
        <v>USA</v>
      </c>
      <c r="F210" s="6">
        <f>[3]awpc!F204</f>
        <v>1998</v>
      </c>
      <c r="G210" s="1">
        <f>[3]awpc!G204</f>
        <v>0</v>
      </c>
    </row>
    <row r="211" spans="1:7" x14ac:dyDescent="0.25">
      <c r="A211" s="1">
        <f>[3]awpc!A205</f>
        <v>82.5</v>
      </c>
      <c r="B211" s="1">
        <f>[3]awpc!B205</f>
        <v>185</v>
      </c>
      <c r="C211" s="5" t="str">
        <f>[3]awpc!C205</f>
        <v>Francis,Randy</v>
      </c>
      <c r="D211" s="5">
        <f>[3]awpc!D205</f>
        <v>54</v>
      </c>
      <c r="E211" s="1" t="str">
        <f>[3]awpc!E205</f>
        <v>USA</v>
      </c>
      <c r="F211" s="6">
        <f>[3]awpc!F205</f>
        <v>41475</v>
      </c>
      <c r="G211" s="1" t="str">
        <f>[3]awpc!G205</f>
        <v>Detroit,MI</v>
      </c>
    </row>
    <row r="212" spans="1:7" x14ac:dyDescent="0.25">
      <c r="A212" s="1">
        <f>[3]awpc!A206</f>
        <v>90</v>
      </c>
      <c r="B212" s="1">
        <f>[3]awpc!B206</f>
        <v>192.5</v>
      </c>
      <c r="C212" s="5" t="str">
        <f>[3]awpc!C206</f>
        <v>Swift, Dan</v>
      </c>
      <c r="D212" s="5">
        <f>[3]awpc!D206</f>
        <v>47</v>
      </c>
      <c r="E212" s="1" t="str">
        <f>[3]awpc!E206</f>
        <v>USA</v>
      </c>
      <c r="F212" s="6">
        <f>[3]awpc!F206</f>
        <v>38562</v>
      </c>
      <c r="G212" s="1" t="str">
        <f>[3]awpc!G206</f>
        <v>Lincolnwood</v>
      </c>
    </row>
    <row r="213" spans="1:7" x14ac:dyDescent="0.25">
      <c r="A213" s="1">
        <f>[3]awpc!A207</f>
        <v>100</v>
      </c>
      <c r="B213" s="1">
        <f>[3]awpc!B207</f>
        <v>197.5</v>
      </c>
      <c r="C213" s="5" t="str">
        <f>[3]awpc!C207</f>
        <v>Hammond,Mark</v>
      </c>
      <c r="D213" s="5">
        <f>[3]awpc!D207</f>
        <v>52</v>
      </c>
      <c r="E213" s="1" t="str">
        <f>[3]awpc!E207</f>
        <v>USA</v>
      </c>
      <c r="F213" s="6">
        <f>[3]awpc!F207</f>
        <v>39661</v>
      </c>
      <c r="G213" s="1" t="str">
        <f>[3]awpc!G207</f>
        <v>Oak Brook</v>
      </c>
    </row>
    <row r="214" spans="1:7" x14ac:dyDescent="0.25">
      <c r="A214" s="1">
        <f>[3]awpc!A208</f>
        <v>110</v>
      </c>
      <c r="B214" s="1">
        <f>[3]awpc!B208</f>
        <v>215</v>
      </c>
      <c r="C214" s="5" t="str">
        <f>[3]awpc!C208</f>
        <v>Fitzpatrick,Edward</v>
      </c>
      <c r="D214" s="5">
        <f>[3]awpc!D208</f>
        <v>48</v>
      </c>
      <c r="E214" s="1" t="str">
        <f>[3]awpc!E208</f>
        <v>USA</v>
      </c>
      <c r="F214" s="6">
        <f>[3]awpc!F208</f>
        <v>39551</v>
      </c>
      <c r="G214" s="1" t="str">
        <f>[3]awpc!G208</f>
        <v>Lake George</v>
      </c>
    </row>
    <row r="215" spans="1:7" x14ac:dyDescent="0.25">
      <c r="A215" s="1">
        <f>[3]awpc!A209</f>
        <v>125</v>
      </c>
      <c r="B215" s="1">
        <f>[3]awpc!B209</f>
        <v>255</v>
      </c>
      <c r="C215" s="5" t="str">
        <f>[3]awpc!C209</f>
        <v>Murphy,Dave</v>
      </c>
      <c r="D215" s="5">
        <f>[3]awpc!D209</f>
        <v>54</v>
      </c>
      <c r="E215" s="1" t="str">
        <f>[3]awpc!E209</f>
        <v>USA</v>
      </c>
      <c r="F215" s="6">
        <f>[3]awpc!F209</f>
        <v>40375</v>
      </c>
      <c r="G215" s="1" t="str">
        <f>[3]awpc!G209</f>
        <v>West Palm Beach</v>
      </c>
    </row>
    <row r="216" spans="1:7" x14ac:dyDescent="0.25">
      <c r="A216" s="1">
        <f>[3]awpc!A210</f>
        <v>140</v>
      </c>
      <c r="B216" s="1">
        <f>[3]awpc!B210</f>
        <v>202.5</v>
      </c>
      <c r="C216" s="5" t="str">
        <f>[3]awpc!C210</f>
        <v>Nelson, Tom</v>
      </c>
      <c r="D216" s="5">
        <f>[3]awpc!D210</f>
        <v>48</v>
      </c>
      <c r="E216" s="1" t="str">
        <f>[3]awpc!E210</f>
        <v>USA</v>
      </c>
      <c r="F216" s="6">
        <f>[3]awpc!F210</f>
        <v>38815</v>
      </c>
      <c r="G216" s="1" t="str">
        <f>[3]awpc!G210</f>
        <v>Baton Rouge</v>
      </c>
    </row>
    <row r="217" spans="1:7" x14ac:dyDescent="0.25">
      <c r="A217" s="1" t="str">
        <f>[3]awpc!A211</f>
        <v>140+</v>
      </c>
      <c r="B217" s="1">
        <f>[3]awpc!B211</f>
        <v>232.5</v>
      </c>
      <c r="C217" s="5" t="str">
        <f>[3]awpc!C211</f>
        <v>Rupright,Paul</v>
      </c>
      <c r="D217" s="5">
        <f>[3]awpc!D211</f>
        <v>54</v>
      </c>
      <c r="E217" s="1" t="str">
        <f>[3]awpc!E211</f>
        <v>USA</v>
      </c>
      <c r="F217" s="6">
        <f>[3]awpc!F211</f>
        <v>41518</v>
      </c>
      <c r="G217" s="1" t="str">
        <f>[3]awpc!G211</f>
        <v>Idaho Falls,ID</v>
      </c>
    </row>
    <row r="219" spans="1:7" s="11" customFormat="1" x14ac:dyDescent="0.25">
      <c r="A219" s="22" t="s">
        <v>0</v>
      </c>
      <c r="B219" s="22">
        <v>1</v>
      </c>
      <c r="C219" s="21">
        <v>60</v>
      </c>
      <c r="D219" s="21" t="str">
        <f>[3]awpc!C213</f>
        <v xml:space="preserve">M60-64 </v>
      </c>
      <c r="E219" s="22"/>
      <c r="F219" s="23"/>
      <c r="G219" s="22"/>
    </row>
    <row r="220" spans="1:7" x14ac:dyDescent="0.25">
      <c r="A220" s="1">
        <f>[3]awpc!A214</f>
        <v>52</v>
      </c>
      <c r="B220" s="1">
        <f>[3]awpc!B214</f>
        <v>0</v>
      </c>
      <c r="C220" s="5">
        <f>[3]awpc!C214</f>
        <v>0</v>
      </c>
      <c r="D220" s="5">
        <f>[3]awpc!D214</f>
        <v>0</v>
      </c>
      <c r="E220" s="1">
        <f>[3]awpc!E214</f>
        <v>0</v>
      </c>
      <c r="F220" s="6">
        <f>[3]awpc!F214</f>
        <v>0</v>
      </c>
      <c r="G220" s="1">
        <f>[3]awpc!G214</f>
        <v>0</v>
      </c>
    </row>
    <row r="221" spans="1:7" x14ac:dyDescent="0.25">
      <c r="A221" s="1">
        <f>[3]awpc!A215</f>
        <v>56</v>
      </c>
      <c r="B221" s="1">
        <f>[3]awpc!B215</f>
        <v>0</v>
      </c>
      <c r="C221" s="5">
        <f>[3]awpc!C215</f>
        <v>0</v>
      </c>
      <c r="D221" s="5">
        <f>[3]awpc!D215</f>
        <v>0</v>
      </c>
      <c r="E221" s="1">
        <f>[3]awpc!E215</f>
        <v>0</v>
      </c>
      <c r="F221" s="6">
        <f>[3]awpc!F215</f>
        <v>0</v>
      </c>
      <c r="G221" s="1">
        <f>[3]awpc!G215</f>
        <v>0</v>
      </c>
    </row>
    <row r="222" spans="1:7" x14ac:dyDescent="0.25">
      <c r="A222" s="1">
        <f>[3]awpc!A216</f>
        <v>60</v>
      </c>
      <c r="B222" s="1">
        <f>[3]awpc!B216</f>
        <v>0</v>
      </c>
      <c r="C222" s="5">
        <f>[3]awpc!C216</f>
        <v>0</v>
      </c>
      <c r="D222" s="5">
        <f>[3]awpc!D216</f>
        <v>0</v>
      </c>
      <c r="E222" s="1">
        <f>[3]awpc!E216</f>
        <v>0</v>
      </c>
      <c r="F222" s="6">
        <f>[3]awpc!F216</f>
        <v>0</v>
      </c>
      <c r="G222" s="1">
        <f>[3]awpc!G216</f>
        <v>0</v>
      </c>
    </row>
    <row r="223" spans="1:7" x14ac:dyDescent="0.25">
      <c r="A223" s="1">
        <f>[3]awpc!A217</f>
        <v>67.5</v>
      </c>
      <c r="B223" s="1">
        <f>[3]awpc!B217</f>
        <v>120</v>
      </c>
      <c r="C223" s="5" t="str">
        <f>[3]awpc!C217</f>
        <v>Noplos, Tony</v>
      </c>
      <c r="D223" s="5">
        <f>[3]awpc!D217</f>
        <v>44</v>
      </c>
      <c r="E223" s="1" t="str">
        <f>[3]awpc!E217</f>
        <v>USA</v>
      </c>
      <c r="F223" s="6">
        <f>[3]awpc!F217</f>
        <v>2004</v>
      </c>
      <c r="G223" s="1">
        <f>[3]awpc!G217</f>
        <v>0</v>
      </c>
    </row>
    <row r="224" spans="1:7" x14ac:dyDescent="0.25">
      <c r="A224" s="1">
        <f>[3]awpc!A218</f>
        <v>75</v>
      </c>
      <c r="B224" s="1">
        <f>[3]awpc!B218</f>
        <v>137.5</v>
      </c>
      <c r="C224" s="5" t="str">
        <f>[3]awpc!C218</f>
        <v>Lamboley, John</v>
      </c>
      <c r="D224" s="5">
        <f>[3]awpc!D218</f>
        <v>41</v>
      </c>
      <c r="E224" s="1" t="str">
        <f>[3]awpc!E218</f>
        <v>USA</v>
      </c>
      <c r="F224" s="6">
        <f>[3]awpc!F218</f>
        <v>2004</v>
      </c>
      <c r="G224" s="1">
        <f>[3]awpc!G218</f>
        <v>0</v>
      </c>
    </row>
    <row r="225" spans="1:7" x14ac:dyDescent="0.25">
      <c r="A225" s="1">
        <f>[3]awpc!A219</f>
        <v>82.5</v>
      </c>
      <c r="B225" s="1">
        <f>[3]awpc!B219</f>
        <v>170</v>
      </c>
      <c r="C225" s="5" t="str">
        <f>[3]awpc!C219</f>
        <v>Lozano, Rudy</v>
      </c>
      <c r="D225" s="5">
        <f>[3]awpc!D219</f>
        <v>39</v>
      </c>
      <c r="E225" s="1" t="str">
        <f>[3]awpc!E219</f>
        <v>USA</v>
      </c>
      <c r="F225" s="6">
        <f>[3]awpc!F219</f>
        <v>2004</v>
      </c>
      <c r="G225" s="1">
        <f>[3]awpc!G219</f>
        <v>0</v>
      </c>
    </row>
    <row r="226" spans="1:7" x14ac:dyDescent="0.25">
      <c r="A226" s="1">
        <f>[3]awpc!A220</f>
        <v>90</v>
      </c>
      <c r="B226" s="1">
        <f>[3]awpc!B220</f>
        <v>197.5</v>
      </c>
      <c r="C226" s="5" t="str">
        <f>[3]awpc!C220</f>
        <v>Switt,Dan</v>
      </c>
      <c r="D226" s="5">
        <f>[3]awpc!D220</f>
        <v>47</v>
      </c>
      <c r="E226" s="1" t="str">
        <f>[3]awpc!E220</f>
        <v>USA</v>
      </c>
      <c r="F226" s="6">
        <f>[3]awpc!F220</f>
        <v>39297</v>
      </c>
      <c r="G226" s="1" t="str">
        <f>[3]awpc!G220</f>
        <v>Rosemont</v>
      </c>
    </row>
    <row r="227" spans="1:7" x14ac:dyDescent="0.25">
      <c r="A227" s="1">
        <f>[3]awpc!A221</f>
        <v>100</v>
      </c>
      <c r="B227" s="1">
        <f>[3]awpc!B221</f>
        <v>190</v>
      </c>
      <c r="C227" s="5" t="str">
        <f>[3]awpc!C221</f>
        <v>Saluzzi, Scott</v>
      </c>
      <c r="D227" s="5">
        <f>[3]awpc!D221</f>
        <v>49</v>
      </c>
      <c r="E227" s="1" t="str">
        <f>[3]awpc!E221</f>
        <v>USA</v>
      </c>
      <c r="F227" s="6">
        <f>[3]awpc!F221</f>
        <v>40790</v>
      </c>
      <c r="G227" s="1" t="str">
        <f>[3]awpc!G221</f>
        <v>Idaho Falls</v>
      </c>
    </row>
    <row r="228" spans="1:7" x14ac:dyDescent="0.25">
      <c r="A228" s="1">
        <f>[3]awpc!A222</f>
        <v>110</v>
      </c>
      <c r="B228" s="1">
        <f>[3]awpc!B222</f>
        <v>220</v>
      </c>
      <c r="C228" s="5" t="str">
        <f>[3]awpc!C222</f>
        <v>Fitzpatrick,Edward</v>
      </c>
      <c r="D228" s="5">
        <f>[3]awpc!D222</f>
        <v>48</v>
      </c>
      <c r="E228" s="1" t="str">
        <f>[3]awpc!E222</f>
        <v>USA</v>
      </c>
      <c r="F228" s="6">
        <f>[3]awpc!F222</f>
        <v>39661</v>
      </c>
      <c r="G228" s="1" t="str">
        <f>[3]awpc!G222</f>
        <v>Oak Brook</v>
      </c>
    </row>
    <row r="229" spans="1:7" x14ac:dyDescent="0.25">
      <c r="A229" s="1">
        <f>[3]awpc!A223</f>
        <v>125</v>
      </c>
      <c r="B229" s="1">
        <f>[3]awpc!B223</f>
        <v>217.5</v>
      </c>
      <c r="C229" s="5" t="str">
        <f>[3]awpc!C223</f>
        <v>Fitzpatrick,Edward</v>
      </c>
      <c r="D229" s="5">
        <f>[3]awpc!D223</f>
        <v>48</v>
      </c>
      <c r="E229" s="1" t="str">
        <f>[3]awpc!E223</f>
        <v>USA</v>
      </c>
      <c r="F229" s="6">
        <f>[3]awpc!F223</f>
        <v>40375</v>
      </c>
      <c r="G229" s="1" t="str">
        <f>[3]awpc!G223</f>
        <v>West Palm Beach</v>
      </c>
    </row>
    <row r="230" spans="1:7" x14ac:dyDescent="0.25">
      <c r="A230" s="1">
        <f>[3]awpc!A224</f>
        <v>140</v>
      </c>
      <c r="B230" s="1">
        <f>[3]awpc!B224</f>
        <v>227.5</v>
      </c>
      <c r="C230" s="5" t="str">
        <f>[3]awpc!C224</f>
        <v>Smith, Robert O.</v>
      </c>
      <c r="D230" s="5">
        <f>[3]awpc!D224</f>
        <v>42</v>
      </c>
      <c r="E230" s="1" t="str">
        <f>[3]awpc!E224</f>
        <v>CAN</v>
      </c>
      <c r="F230" s="6">
        <f>[3]awpc!F224</f>
        <v>38871</v>
      </c>
      <c r="G230" s="1" t="str">
        <f>[3]awpc!G224</f>
        <v>Calgary</v>
      </c>
    </row>
    <row r="231" spans="1:7" x14ac:dyDescent="0.25">
      <c r="A231" s="1" t="str">
        <f>[3]awpc!A225</f>
        <v>140+</v>
      </c>
      <c r="B231" s="1">
        <f>[3]awpc!B225</f>
        <v>0</v>
      </c>
      <c r="C231" s="5">
        <f>[3]awpc!C225</f>
        <v>0</v>
      </c>
      <c r="D231" s="5">
        <f>[3]awpc!D225</f>
        <v>0</v>
      </c>
      <c r="E231" s="1">
        <f>[3]awpc!E225</f>
        <v>0</v>
      </c>
      <c r="F231" s="6">
        <f>[3]awpc!F225</f>
        <v>0</v>
      </c>
      <c r="G231" s="1">
        <f>[3]awpc!G225</f>
        <v>0</v>
      </c>
    </row>
    <row r="233" spans="1:7" s="11" customFormat="1" x14ac:dyDescent="0.25">
      <c r="A233" s="22" t="s">
        <v>0</v>
      </c>
      <c r="B233" s="22">
        <v>1</v>
      </c>
      <c r="C233" s="21">
        <v>65</v>
      </c>
      <c r="D233" s="21" t="str">
        <f>[3]awpc!C227</f>
        <v xml:space="preserve">M65-69 </v>
      </c>
      <c r="E233" s="22"/>
      <c r="F233" s="23"/>
      <c r="G233" s="22"/>
    </row>
    <row r="234" spans="1:7" x14ac:dyDescent="0.25">
      <c r="A234" s="1">
        <f>[3]awpc!A228</f>
        <v>52</v>
      </c>
      <c r="B234" s="1">
        <f>[3]awpc!B228</f>
        <v>0</v>
      </c>
      <c r="C234" s="5">
        <f>[3]awpc!C228</f>
        <v>0</v>
      </c>
      <c r="D234" s="5">
        <f>[3]awpc!D228</f>
        <v>0</v>
      </c>
      <c r="E234" s="1">
        <f>[3]awpc!E228</f>
        <v>0</v>
      </c>
      <c r="F234" s="6">
        <f>[3]awpc!F228</f>
        <v>0</v>
      </c>
      <c r="G234" s="1">
        <f>[3]awpc!G228</f>
        <v>0</v>
      </c>
    </row>
    <row r="235" spans="1:7" x14ac:dyDescent="0.25">
      <c r="A235" s="1">
        <f>[3]awpc!A229</f>
        <v>56</v>
      </c>
      <c r="B235" s="1">
        <f>[3]awpc!B229</f>
        <v>0</v>
      </c>
      <c r="C235" s="5">
        <f>[3]awpc!C229</f>
        <v>0</v>
      </c>
      <c r="D235" s="5">
        <f>[3]awpc!D229</f>
        <v>0</v>
      </c>
      <c r="E235" s="1">
        <f>[3]awpc!E229</f>
        <v>0</v>
      </c>
      <c r="F235" s="6">
        <f>[3]awpc!F229</f>
        <v>0</v>
      </c>
      <c r="G235" s="1">
        <f>[3]awpc!G229</f>
        <v>0</v>
      </c>
    </row>
    <row r="236" spans="1:7" x14ac:dyDescent="0.25">
      <c r="A236" s="1">
        <f>[3]awpc!A230</f>
        <v>60</v>
      </c>
      <c r="B236" s="1">
        <f>[3]awpc!B230</f>
        <v>112.5</v>
      </c>
      <c r="C236" s="5" t="str">
        <f>[3]awpc!C230</f>
        <v>Kawasaki, Nori</v>
      </c>
      <c r="D236" s="5">
        <f>[3]awpc!D230</f>
        <v>28</v>
      </c>
      <c r="E236" s="1" t="str">
        <f>[3]awpc!E230</f>
        <v>USA</v>
      </c>
      <c r="F236" s="6">
        <f>[3]awpc!F230</f>
        <v>1998</v>
      </c>
      <c r="G236" s="1">
        <f>[3]awpc!G230</f>
        <v>0</v>
      </c>
    </row>
    <row r="237" spans="1:7" x14ac:dyDescent="0.25">
      <c r="A237" s="1">
        <f>[3]awpc!A231</f>
        <v>67.5</v>
      </c>
      <c r="B237" s="1">
        <f>[3]awpc!B231</f>
        <v>110.5</v>
      </c>
      <c r="C237" s="5" t="str">
        <f>[3]awpc!C231</f>
        <v>Gidcumb, Richard</v>
      </c>
      <c r="D237" s="5">
        <f>[3]awpc!D231</f>
        <v>36</v>
      </c>
      <c r="E237" s="1" t="str">
        <f>[3]awpc!E231</f>
        <v>USA</v>
      </c>
      <c r="F237" s="6">
        <f>[3]awpc!F231</f>
        <v>38920</v>
      </c>
      <c r="G237" s="1" t="str">
        <f>[3]awpc!G231</f>
        <v>Flint</v>
      </c>
    </row>
    <row r="238" spans="1:7" x14ac:dyDescent="0.25">
      <c r="A238" s="1">
        <f>[3]awpc!A232</f>
        <v>75</v>
      </c>
      <c r="B238" s="1">
        <f>[3]awpc!B232</f>
        <v>145</v>
      </c>
      <c r="C238" s="5" t="str">
        <f>[3]awpc!C232</f>
        <v>Petukhov,Yevgeny</v>
      </c>
      <c r="D238" s="5">
        <f>[3]awpc!D232</f>
        <v>38</v>
      </c>
      <c r="E238" s="1" t="str">
        <f>[3]awpc!E232</f>
        <v>RUS</v>
      </c>
      <c r="F238" s="6">
        <f>[3]awpc!F232</f>
        <v>39123</v>
      </c>
      <c r="G238" s="1" t="str">
        <f>[3]awpc!G232</f>
        <v>Chelyabinsk</v>
      </c>
    </row>
    <row r="239" spans="1:7" x14ac:dyDescent="0.25">
      <c r="A239" s="1">
        <f>[3]awpc!A233</f>
        <v>82.5</v>
      </c>
      <c r="B239" s="1">
        <f>[3]awpc!B233</f>
        <v>142.5</v>
      </c>
      <c r="C239" s="5" t="str">
        <f>[3]awpc!C233</f>
        <v>Tseveendorj Maamchuluun</v>
      </c>
      <c r="D239" s="5">
        <f>[3]awpc!D233</f>
        <v>46</v>
      </c>
      <c r="E239" s="1" t="str">
        <f>[3]awpc!E233</f>
        <v>MGL</v>
      </c>
      <c r="F239" s="6" t="str">
        <f>[3]awpc!F233</f>
        <v>23.08.2014</v>
      </c>
      <c r="G239" s="1" t="str">
        <f>[3]awpc!G233</f>
        <v>Moscow</v>
      </c>
    </row>
    <row r="240" spans="1:7" x14ac:dyDescent="0.25">
      <c r="A240" s="1">
        <f>[3]awpc!A234</f>
        <v>90</v>
      </c>
      <c r="B240" s="1">
        <f>[3]awpc!B234</f>
        <v>167.5</v>
      </c>
      <c r="C240" s="5" t="str">
        <f>[3]awpc!C234</f>
        <v>Hussey,Jim</v>
      </c>
      <c r="D240" s="5">
        <f>[3]awpc!D234</f>
        <v>43</v>
      </c>
      <c r="E240" s="1" t="str">
        <f>[3]awpc!E234</f>
        <v>USA</v>
      </c>
      <c r="F240" s="6">
        <f>[3]awpc!F234</f>
        <v>40025</v>
      </c>
      <c r="G240" s="1" t="str">
        <f>[3]awpc!G234</f>
        <v>Burr Ridge</v>
      </c>
    </row>
    <row r="241" spans="1:7" x14ac:dyDescent="0.25">
      <c r="A241" s="1">
        <f>[3]awpc!A235</f>
        <v>100</v>
      </c>
      <c r="B241" s="1">
        <f>[3]awpc!B235</f>
        <v>185</v>
      </c>
      <c r="C241" s="5" t="str">
        <f>[3]awpc!C235</f>
        <v>Sposato,Louis</v>
      </c>
      <c r="D241" s="5">
        <f>[3]awpc!D235</f>
        <v>39</v>
      </c>
      <c r="E241" s="1" t="str">
        <f>[3]awpc!E235</f>
        <v>USA</v>
      </c>
      <c r="F241" s="6">
        <f>[3]awpc!F235</f>
        <v>39661</v>
      </c>
      <c r="G241" s="1" t="str">
        <f>[3]awpc!G235</f>
        <v>Oak Brook</v>
      </c>
    </row>
    <row r="242" spans="1:7" x14ac:dyDescent="0.25">
      <c r="A242" s="1">
        <f>[3]awpc!A236</f>
        <v>110</v>
      </c>
      <c r="B242" s="1">
        <f>[3]awpc!B236</f>
        <v>222.5</v>
      </c>
      <c r="C242" s="5" t="str">
        <f>[3]awpc!C236</f>
        <v>Sandberg,Skip</v>
      </c>
      <c r="D242" s="5">
        <f>[3]awpc!D236</f>
        <v>40</v>
      </c>
      <c r="E242" s="1" t="str">
        <f>[3]awpc!E236</f>
        <v>USA</v>
      </c>
      <c r="F242" s="6">
        <f>[3]awpc!F236</f>
        <v>39297</v>
      </c>
      <c r="G242" s="1" t="str">
        <f>[3]awpc!G236</f>
        <v>Rosemont</v>
      </c>
    </row>
    <row r="243" spans="1:7" x14ac:dyDescent="0.25">
      <c r="A243" s="1">
        <f>[3]awpc!A237</f>
        <v>125</v>
      </c>
      <c r="B243" s="1">
        <f>[3]awpc!B237</f>
        <v>197.5</v>
      </c>
      <c r="C243" s="5" t="str">
        <f>[3]awpc!C237</f>
        <v>Sandberg,Skip</v>
      </c>
      <c r="D243" s="5">
        <f>[3]awpc!D237</f>
        <v>40</v>
      </c>
      <c r="E243" s="1" t="str">
        <f>[3]awpc!E237</f>
        <v>USA</v>
      </c>
      <c r="F243" s="6">
        <f>[3]awpc!F237</f>
        <v>39908</v>
      </c>
      <c r="G243" s="1" t="str">
        <f>[3]awpc!G237</f>
        <v>Idaho Falls</v>
      </c>
    </row>
    <row r="244" spans="1:7" x14ac:dyDescent="0.25">
      <c r="A244" s="1">
        <f>[3]awpc!A238</f>
        <v>140</v>
      </c>
      <c r="B244" s="1">
        <f>[3]awpc!B238</f>
        <v>0</v>
      </c>
      <c r="C244" s="5">
        <f>[3]awpc!C238</f>
        <v>0</v>
      </c>
      <c r="D244" s="5">
        <f>[3]awpc!D238</f>
        <v>0</v>
      </c>
      <c r="E244" s="1">
        <f>[3]awpc!E238</f>
        <v>0</v>
      </c>
      <c r="F244" s="6">
        <f>[3]awpc!F238</f>
        <v>0</v>
      </c>
      <c r="G244" s="1">
        <f>[3]awpc!G238</f>
        <v>0</v>
      </c>
    </row>
    <row r="245" spans="1:7" x14ac:dyDescent="0.25">
      <c r="A245" s="1" t="str">
        <f>[3]awpc!A239</f>
        <v>140+</v>
      </c>
      <c r="B245" s="1">
        <f>[3]awpc!B239</f>
        <v>0</v>
      </c>
      <c r="C245" s="5">
        <f>[3]awpc!C239</f>
        <v>0</v>
      </c>
      <c r="D245" s="5">
        <f>[3]awpc!D239</f>
        <v>0</v>
      </c>
      <c r="E245" s="1">
        <f>[3]awpc!E239</f>
        <v>0</v>
      </c>
      <c r="F245" s="6">
        <f>[3]awpc!F239</f>
        <v>0</v>
      </c>
      <c r="G245" s="1">
        <f>[3]awpc!G239</f>
        <v>0</v>
      </c>
    </row>
    <row r="247" spans="1:7" s="11" customFormat="1" x14ac:dyDescent="0.25">
      <c r="A247" s="22" t="s">
        <v>0</v>
      </c>
      <c r="B247" s="22">
        <v>1</v>
      </c>
      <c r="C247" s="21">
        <v>70</v>
      </c>
      <c r="D247" s="21" t="str">
        <f>[3]awpc!C241</f>
        <v xml:space="preserve">M70-74 </v>
      </c>
      <c r="E247" s="22"/>
      <c r="F247" s="23"/>
      <c r="G247" s="22"/>
    </row>
    <row r="248" spans="1:7" x14ac:dyDescent="0.25">
      <c r="A248" s="1">
        <f>[3]awpc!A242</f>
        <v>52</v>
      </c>
      <c r="B248" s="1">
        <f>[3]awpc!B242</f>
        <v>0</v>
      </c>
      <c r="C248" s="5">
        <f>[3]awpc!C242</f>
        <v>0</v>
      </c>
      <c r="D248" s="5">
        <f>[3]awpc!D242</f>
        <v>0</v>
      </c>
      <c r="E248" s="1">
        <f>[3]awpc!E242</f>
        <v>0</v>
      </c>
      <c r="F248" s="6">
        <f>[3]awpc!F242</f>
        <v>0</v>
      </c>
      <c r="G248" s="1">
        <f>[3]awpc!G242</f>
        <v>0</v>
      </c>
    </row>
    <row r="249" spans="1:7" x14ac:dyDescent="0.25">
      <c r="A249" s="1">
        <f>[3]awpc!A243</f>
        <v>56</v>
      </c>
      <c r="B249" s="1">
        <f>[3]awpc!B243</f>
        <v>0</v>
      </c>
      <c r="C249" s="5">
        <f>[3]awpc!C243</f>
        <v>0</v>
      </c>
      <c r="D249" s="5">
        <f>[3]awpc!D243</f>
        <v>0</v>
      </c>
      <c r="E249" s="1">
        <f>[3]awpc!E243</f>
        <v>0</v>
      </c>
      <c r="F249" s="6">
        <f>[3]awpc!F243</f>
        <v>0</v>
      </c>
      <c r="G249" s="1">
        <f>[3]awpc!G243</f>
        <v>0</v>
      </c>
    </row>
    <row r="250" spans="1:7" x14ac:dyDescent="0.25">
      <c r="A250" s="1">
        <f>[3]awpc!A244</f>
        <v>60</v>
      </c>
      <c r="B250" s="1">
        <f>[3]awpc!B244</f>
        <v>105.5</v>
      </c>
      <c r="C250" s="5" t="str">
        <f>[3]awpc!C244</f>
        <v>Kawasaki, Nori</v>
      </c>
      <c r="D250" s="5">
        <f>[3]awpc!D244</f>
        <v>28</v>
      </c>
      <c r="E250" s="1" t="str">
        <f>[3]awpc!E244</f>
        <v>USA</v>
      </c>
      <c r="F250" s="6">
        <f>[3]awpc!F244</f>
        <v>1999</v>
      </c>
      <c r="G250" s="1">
        <f>[3]awpc!G244</f>
        <v>0</v>
      </c>
    </row>
    <row r="251" spans="1:7" x14ac:dyDescent="0.25">
      <c r="A251" s="1">
        <f>[3]awpc!A245</f>
        <v>67.5</v>
      </c>
      <c r="B251" s="1">
        <f>[3]awpc!B245</f>
        <v>100</v>
      </c>
      <c r="C251" s="5" t="str">
        <f>[3]awpc!C245</f>
        <v>Kim, Miron</v>
      </c>
      <c r="D251" s="5">
        <f>[3]awpc!D245</f>
        <v>41</v>
      </c>
      <c r="E251" s="1" t="str">
        <f>[3]awpc!E245</f>
        <v>RUS</v>
      </c>
      <c r="F251" s="6">
        <f>[3]awpc!F245</f>
        <v>41067</v>
      </c>
      <c r="G251" s="1" t="str">
        <f>[3]awpc!G245</f>
        <v>Moscow</v>
      </c>
    </row>
    <row r="252" spans="1:7" x14ac:dyDescent="0.25">
      <c r="A252" s="1">
        <f>[3]awpc!A246</f>
        <v>75</v>
      </c>
      <c r="B252" s="1">
        <f>[3]awpc!B246</f>
        <v>140</v>
      </c>
      <c r="C252" s="5" t="str">
        <f>[3]awpc!C246</f>
        <v>McDermott,Joe</v>
      </c>
      <c r="D252" s="5">
        <f>[3]awpc!D246</f>
        <v>40</v>
      </c>
      <c r="E252" s="1" t="str">
        <f>[3]awpc!E246</f>
        <v>USA</v>
      </c>
      <c r="F252" s="6">
        <f>[3]awpc!F246</f>
        <v>40636</v>
      </c>
      <c r="G252" s="1" t="str">
        <f>[3]awpc!G246</f>
        <v>West Palm Beach</v>
      </c>
    </row>
    <row r="253" spans="1:7" x14ac:dyDescent="0.25">
      <c r="A253" s="1">
        <f>[3]awpc!A247</f>
        <v>82.5</v>
      </c>
      <c r="B253" s="1">
        <f>[3]awpc!B247</f>
        <v>152.5</v>
      </c>
      <c r="C253" s="5" t="str">
        <f>[3]awpc!C247</f>
        <v>Minietta Michael</v>
      </c>
      <c r="D253" s="5">
        <f>[3]awpc!D247</f>
        <v>42</v>
      </c>
      <c r="E253" s="1" t="str">
        <f>[3]awpc!E247</f>
        <v>USA</v>
      </c>
      <c r="F253" s="6">
        <f>[3]awpc!F247</f>
        <v>41518</v>
      </c>
      <c r="G253" s="1" t="str">
        <f>[3]awpc!G247</f>
        <v>Idaho Falls</v>
      </c>
    </row>
    <row r="254" spans="1:7" x14ac:dyDescent="0.25">
      <c r="A254" s="1">
        <f>[3]awpc!A248</f>
        <v>90</v>
      </c>
      <c r="B254" s="1">
        <f>[3]awpc!B248</f>
        <v>150</v>
      </c>
      <c r="C254" s="5" t="str">
        <f>[3]awpc!C248</f>
        <v>Rosenfield, Burt</v>
      </c>
      <c r="D254" s="5">
        <f>[3]awpc!D248</f>
        <v>31</v>
      </c>
      <c r="E254" s="1" t="str">
        <f>[3]awpc!E248</f>
        <v>USA</v>
      </c>
      <c r="F254" s="6">
        <f>[3]awpc!F248</f>
        <v>2004</v>
      </c>
      <c r="G254" s="1">
        <f>[3]awpc!G248</f>
        <v>0</v>
      </c>
    </row>
    <row r="255" spans="1:7" x14ac:dyDescent="0.25">
      <c r="A255" s="1">
        <f>[3]awpc!A249</f>
        <v>100</v>
      </c>
      <c r="B255" s="1">
        <f>[3]awpc!B249</f>
        <v>145</v>
      </c>
      <c r="C255" s="5" t="str">
        <f>[3]awpc!C249</f>
        <v>Bassman,Bob</v>
      </c>
      <c r="D255" s="5">
        <f>[3]awpc!D249</f>
        <v>38</v>
      </c>
      <c r="E255" s="1" t="str">
        <f>[3]awpc!E249</f>
        <v>USA</v>
      </c>
      <c r="F255" s="6">
        <f>[3]awpc!F249</f>
        <v>39661</v>
      </c>
      <c r="G255" s="1" t="str">
        <f>[3]awpc!G249</f>
        <v>Oak Brook</v>
      </c>
    </row>
    <row r="256" spans="1:7" x14ac:dyDescent="0.25">
      <c r="A256" s="1">
        <f>[3]awpc!A250</f>
        <v>110</v>
      </c>
      <c r="B256" s="1">
        <f>[3]awpc!B250</f>
        <v>176</v>
      </c>
      <c r="C256" s="5" t="str">
        <f>[3]awpc!C250</f>
        <v>Bassman,Bob</v>
      </c>
      <c r="D256" s="5">
        <f>[3]awpc!D250</f>
        <v>38</v>
      </c>
      <c r="E256" s="1" t="str">
        <f>[3]awpc!E250</f>
        <v>USA</v>
      </c>
      <c r="F256" s="6">
        <f>[3]awpc!F250</f>
        <v>40025</v>
      </c>
      <c r="G256" s="1" t="str">
        <f>[3]awpc!G250</f>
        <v>Burr Ridge</v>
      </c>
    </row>
    <row r="257" spans="1:7" x14ac:dyDescent="0.25">
      <c r="A257" s="1">
        <f>[3]awpc!A251</f>
        <v>125</v>
      </c>
      <c r="B257" s="1">
        <f>[3]awpc!B251</f>
        <v>197.5</v>
      </c>
      <c r="C257" s="5" t="str">
        <f>[3]awpc!C251</f>
        <v>Sandberg, Larry</v>
      </c>
      <c r="D257" s="5">
        <f>[3]awpc!D251</f>
        <v>40</v>
      </c>
      <c r="E257" s="1" t="str">
        <f>[3]awpc!E251</f>
        <v>USA</v>
      </c>
      <c r="F257" s="6">
        <f>[3]awpc!F251</f>
        <v>40790</v>
      </c>
      <c r="G257" s="1" t="str">
        <f>[3]awpc!G251</f>
        <v>Idaho Falls</v>
      </c>
    </row>
    <row r="258" spans="1:7" x14ac:dyDescent="0.25">
      <c r="A258" s="1">
        <f>[3]awpc!A252</f>
        <v>140</v>
      </c>
      <c r="B258" s="1">
        <f>[3]awpc!B252</f>
        <v>0</v>
      </c>
      <c r="C258" s="5">
        <f>[3]awpc!C252</f>
        <v>0</v>
      </c>
      <c r="D258" s="5">
        <f>[3]awpc!D252</f>
        <v>0</v>
      </c>
      <c r="E258" s="1">
        <f>[3]awpc!E252</f>
        <v>0</v>
      </c>
      <c r="F258" s="6">
        <f>[3]awpc!F252</f>
        <v>0</v>
      </c>
      <c r="G258" s="1">
        <f>[3]awpc!G252</f>
        <v>0</v>
      </c>
    </row>
    <row r="259" spans="1:7" x14ac:dyDescent="0.25">
      <c r="A259" s="1" t="str">
        <f>[3]awpc!A253</f>
        <v>140+</v>
      </c>
      <c r="B259" s="1">
        <f>[3]awpc!B253</f>
        <v>0</v>
      </c>
      <c r="C259" s="5">
        <f>[3]awpc!C253</f>
        <v>0</v>
      </c>
      <c r="D259" s="5">
        <f>[3]awpc!D253</f>
        <v>0</v>
      </c>
      <c r="E259" s="1">
        <f>[3]awpc!E253</f>
        <v>0</v>
      </c>
      <c r="F259" s="6">
        <f>[3]awpc!F253</f>
        <v>0</v>
      </c>
      <c r="G259" s="1">
        <f>[3]awpc!G253</f>
        <v>0</v>
      </c>
    </row>
    <row r="261" spans="1:7" s="11" customFormat="1" x14ac:dyDescent="0.25">
      <c r="A261" s="22" t="s">
        <v>0</v>
      </c>
      <c r="B261" s="22">
        <v>1</v>
      </c>
      <c r="C261" s="21">
        <v>75</v>
      </c>
      <c r="D261" s="21" t="str">
        <f>[3]awpc!C255</f>
        <v xml:space="preserve">M75-79 </v>
      </c>
      <c r="E261" s="22"/>
      <c r="F261" s="23"/>
      <c r="G261" s="22"/>
    </row>
    <row r="262" spans="1:7" x14ac:dyDescent="0.25">
      <c r="A262" s="1">
        <f>[3]awpc!A256</f>
        <v>52</v>
      </c>
      <c r="B262" s="1">
        <f>[3]awpc!B256</f>
        <v>0</v>
      </c>
      <c r="C262" s="5">
        <f>[3]awpc!C256</f>
        <v>0</v>
      </c>
      <c r="D262" s="5">
        <f>[3]awpc!D256</f>
        <v>0</v>
      </c>
      <c r="E262" s="1">
        <f>[3]awpc!E256</f>
        <v>0</v>
      </c>
      <c r="F262" s="6">
        <f>[3]awpc!F256</f>
        <v>0</v>
      </c>
      <c r="G262" s="1">
        <f>[3]awpc!G256</f>
        <v>0</v>
      </c>
    </row>
    <row r="263" spans="1:7" x14ac:dyDescent="0.25">
      <c r="A263" s="1">
        <f>[3]awpc!A257</f>
        <v>56</v>
      </c>
      <c r="B263" s="1">
        <f>[3]awpc!B257</f>
        <v>0</v>
      </c>
      <c r="C263" s="5">
        <f>[3]awpc!C257</f>
        <v>0</v>
      </c>
      <c r="D263" s="5">
        <f>[3]awpc!D257</f>
        <v>0</v>
      </c>
      <c r="E263" s="1">
        <f>[3]awpc!E257</f>
        <v>0</v>
      </c>
      <c r="F263" s="6">
        <f>[3]awpc!F257</f>
        <v>0</v>
      </c>
      <c r="G263" s="1">
        <f>[3]awpc!G257</f>
        <v>0</v>
      </c>
    </row>
    <row r="264" spans="1:7" x14ac:dyDescent="0.25">
      <c r="A264" s="1">
        <f>[3]awpc!A258</f>
        <v>60</v>
      </c>
      <c r="B264" s="1">
        <f>[3]awpc!B258</f>
        <v>102.5</v>
      </c>
      <c r="C264" s="5" t="str">
        <f>[3]awpc!C258</f>
        <v>Kawasaki, Nori</v>
      </c>
      <c r="D264" s="5">
        <f>[3]awpc!D258</f>
        <v>28</v>
      </c>
      <c r="E264" s="1" t="str">
        <f>[3]awpc!E258</f>
        <v>USA</v>
      </c>
      <c r="F264" s="6">
        <f>[3]awpc!F258</f>
        <v>2004</v>
      </c>
      <c r="G264" s="1">
        <f>[3]awpc!G258</f>
        <v>0</v>
      </c>
    </row>
    <row r="265" spans="1:7" x14ac:dyDescent="0.25">
      <c r="A265" s="1">
        <f>[3]awpc!A259</f>
        <v>67.5</v>
      </c>
      <c r="B265" s="1">
        <f>[3]awpc!B259</f>
        <v>80</v>
      </c>
      <c r="C265" s="5" t="str">
        <f>[3]awpc!C259</f>
        <v>Plagov,Iosif</v>
      </c>
      <c r="D265" s="5">
        <f>[3]awpc!D259</f>
        <v>35</v>
      </c>
      <c r="E265" s="1" t="str">
        <f>[3]awpc!E259</f>
        <v>USA</v>
      </c>
      <c r="F265" s="6">
        <f>[3]awpc!F259</f>
        <v>40375</v>
      </c>
      <c r="G265" s="1" t="str">
        <f>[3]awpc!G259</f>
        <v>West Palm Beach</v>
      </c>
    </row>
    <row r="266" spans="1:7" x14ac:dyDescent="0.25">
      <c r="A266" s="1">
        <f>[3]awpc!A260</f>
        <v>75</v>
      </c>
      <c r="B266" s="1">
        <f>[3]awpc!B260</f>
        <v>112.5</v>
      </c>
      <c r="C266" s="5" t="str">
        <f>[3]awpc!C260</f>
        <v>Rubin Grigori</v>
      </c>
      <c r="D266" s="5">
        <f>[3]awpc!D260</f>
        <v>36</v>
      </c>
      <c r="E266" s="1" t="str">
        <f>[3]awpc!E260</f>
        <v>ISR</v>
      </c>
      <c r="F266" s="6" t="str">
        <f>[3]awpc!F260</f>
        <v>23.08.2014</v>
      </c>
      <c r="G266" s="1" t="str">
        <f>[3]awpc!G260</f>
        <v>Moscow</v>
      </c>
    </row>
    <row r="267" spans="1:7" x14ac:dyDescent="0.25">
      <c r="A267" s="1">
        <f>[3]awpc!A261</f>
        <v>82.5</v>
      </c>
      <c r="B267" s="1">
        <f>[3]awpc!B261</f>
        <v>100</v>
      </c>
      <c r="C267" s="5" t="str">
        <f>[3]awpc!C261</f>
        <v>McCulloch, Eugene</v>
      </c>
      <c r="D267" s="5">
        <f>[3]awpc!D261</f>
        <v>30</v>
      </c>
      <c r="E267" s="1" t="str">
        <f>[3]awpc!E261</f>
        <v>USA</v>
      </c>
      <c r="F267" s="6">
        <f>[3]awpc!F261</f>
        <v>38562</v>
      </c>
      <c r="G267" s="1" t="str">
        <f>[3]awpc!G261</f>
        <v>Lincolnwood</v>
      </c>
    </row>
    <row r="268" spans="1:7" x14ac:dyDescent="0.25">
      <c r="A268" s="1">
        <f>[3]awpc!A262</f>
        <v>90</v>
      </c>
      <c r="B268" s="1">
        <f>[3]awpc!B262</f>
        <v>142.5</v>
      </c>
      <c r="C268" s="5" t="str">
        <f>[3]awpc!C262</f>
        <v>Remley, William</v>
      </c>
      <c r="D268" s="5">
        <f>[3]awpc!D262</f>
        <v>30</v>
      </c>
      <c r="E268" s="1" t="str">
        <f>[3]awpc!E262</f>
        <v>USA</v>
      </c>
      <c r="F268" s="6">
        <f>[3]awpc!F262</f>
        <v>38801</v>
      </c>
      <c r="G268" s="1" t="str">
        <f>[3]awpc!G262</f>
        <v>Lakeland</v>
      </c>
    </row>
    <row r="269" spans="1:7" x14ac:dyDescent="0.25">
      <c r="A269" s="1">
        <f>[3]awpc!A263</f>
        <v>100</v>
      </c>
      <c r="B269" s="1">
        <f>[3]awpc!B263</f>
        <v>0</v>
      </c>
      <c r="C269" s="5">
        <f>[3]awpc!C263</f>
        <v>0</v>
      </c>
      <c r="D269" s="5">
        <f>[3]awpc!D263</f>
        <v>0</v>
      </c>
      <c r="E269" s="1">
        <f>[3]awpc!E263</f>
        <v>0</v>
      </c>
      <c r="F269" s="6">
        <f>[3]awpc!F263</f>
        <v>0</v>
      </c>
      <c r="G269" s="1">
        <f>[3]awpc!G263</f>
        <v>0</v>
      </c>
    </row>
    <row r="270" spans="1:7" x14ac:dyDescent="0.25">
      <c r="A270" s="1">
        <f>[3]awpc!A264</f>
        <v>110</v>
      </c>
      <c r="B270" s="1">
        <f>[3]awpc!B264</f>
        <v>0</v>
      </c>
      <c r="C270" s="5">
        <f>[3]awpc!C264</f>
        <v>0</v>
      </c>
      <c r="D270" s="5">
        <f>[3]awpc!D264</f>
        <v>0</v>
      </c>
      <c r="E270" s="1">
        <f>[3]awpc!E264</f>
        <v>0</v>
      </c>
      <c r="F270" s="6">
        <f>[3]awpc!F264</f>
        <v>0</v>
      </c>
      <c r="G270" s="1">
        <f>[3]awpc!G264</f>
        <v>0</v>
      </c>
    </row>
    <row r="271" spans="1:7" x14ac:dyDescent="0.25">
      <c r="A271" s="1">
        <f>[3]awpc!A265</f>
        <v>125</v>
      </c>
      <c r="B271" s="1">
        <f>[3]awpc!B265</f>
        <v>0</v>
      </c>
      <c r="C271" s="5">
        <f>[3]awpc!C265</f>
        <v>0</v>
      </c>
      <c r="D271" s="5">
        <f>[3]awpc!D265</f>
        <v>0</v>
      </c>
      <c r="E271" s="1">
        <f>[3]awpc!E265</f>
        <v>0</v>
      </c>
      <c r="F271" s="6">
        <f>[3]awpc!F265</f>
        <v>0</v>
      </c>
      <c r="G271" s="1">
        <f>[3]awpc!G265</f>
        <v>0</v>
      </c>
    </row>
    <row r="272" spans="1:7" x14ac:dyDescent="0.25">
      <c r="A272" s="1">
        <f>[3]awpc!A266</f>
        <v>140</v>
      </c>
      <c r="B272" s="1">
        <f>[3]awpc!B266</f>
        <v>0</v>
      </c>
      <c r="C272" s="5">
        <f>[3]awpc!C266</f>
        <v>0</v>
      </c>
      <c r="D272" s="5">
        <f>[3]awpc!D266</f>
        <v>0</v>
      </c>
      <c r="E272" s="1">
        <f>[3]awpc!E266</f>
        <v>0</v>
      </c>
      <c r="F272" s="6">
        <f>[3]awpc!F266</f>
        <v>0</v>
      </c>
      <c r="G272" s="1">
        <f>[3]awpc!G266</f>
        <v>0</v>
      </c>
    </row>
    <row r="273" spans="1:7" x14ac:dyDescent="0.25">
      <c r="A273" s="1" t="str">
        <f>[3]awpc!A267</f>
        <v>140+</v>
      </c>
      <c r="B273" s="1">
        <f>[3]awpc!B267</f>
        <v>0</v>
      </c>
      <c r="C273" s="5">
        <f>[3]awpc!C267</f>
        <v>0</v>
      </c>
      <c r="D273" s="5">
        <f>[3]awpc!D267</f>
        <v>0</v>
      </c>
      <c r="E273" s="1">
        <f>[3]awpc!E267</f>
        <v>0</v>
      </c>
      <c r="F273" s="6">
        <f>[3]awpc!F267</f>
        <v>0</v>
      </c>
      <c r="G273" s="1">
        <f>[3]awpc!G267</f>
        <v>0</v>
      </c>
    </row>
    <row r="275" spans="1:7" s="11" customFormat="1" x14ac:dyDescent="0.25">
      <c r="A275" s="22" t="s">
        <v>0</v>
      </c>
      <c r="B275" s="22">
        <v>1</v>
      </c>
      <c r="C275" s="21">
        <v>80</v>
      </c>
      <c r="D275" s="21" t="str">
        <f>[3]awpc!C269</f>
        <v>M80-84</v>
      </c>
      <c r="E275" s="22"/>
      <c r="F275" s="23"/>
      <c r="G275" s="22"/>
    </row>
    <row r="276" spans="1:7" x14ac:dyDescent="0.25">
      <c r="A276" s="1">
        <f>[3]awpc!A270</f>
        <v>52</v>
      </c>
      <c r="B276" s="1">
        <f>[3]awpc!B270</f>
        <v>0</v>
      </c>
      <c r="C276" s="5">
        <f>[3]awpc!C270</f>
        <v>0</v>
      </c>
      <c r="D276" s="5">
        <f>[3]awpc!D270</f>
        <v>0</v>
      </c>
      <c r="E276" s="1">
        <f>[3]awpc!E270</f>
        <v>0</v>
      </c>
      <c r="F276" s="6">
        <f>[3]awpc!F270</f>
        <v>0</v>
      </c>
      <c r="G276" s="1">
        <f>[3]awpc!G270</f>
        <v>0</v>
      </c>
    </row>
    <row r="277" spans="1:7" x14ac:dyDescent="0.25">
      <c r="A277" s="1">
        <f>[3]awpc!A271</f>
        <v>56</v>
      </c>
      <c r="B277" s="1">
        <f>[3]awpc!B271</f>
        <v>0</v>
      </c>
      <c r="C277" s="5">
        <f>[3]awpc!C271</f>
        <v>0</v>
      </c>
      <c r="D277" s="5">
        <f>[3]awpc!D271</f>
        <v>0</v>
      </c>
      <c r="E277" s="1">
        <f>[3]awpc!E271</f>
        <v>0</v>
      </c>
      <c r="F277" s="6">
        <f>[3]awpc!F271</f>
        <v>0</v>
      </c>
      <c r="G277" s="1">
        <f>[3]awpc!G271</f>
        <v>0</v>
      </c>
    </row>
    <row r="278" spans="1:7" x14ac:dyDescent="0.25">
      <c r="A278" s="1">
        <f>[3]awpc!A272</f>
        <v>60</v>
      </c>
      <c r="B278" s="1">
        <f>[3]awpc!B272</f>
        <v>0</v>
      </c>
      <c r="C278" s="5">
        <f>[3]awpc!C272</f>
        <v>0</v>
      </c>
      <c r="D278" s="5">
        <f>[3]awpc!D272</f>
        <v>0</v>
      </c>
      <c r="E278" s="1">
        <f>[3]awpc!E272</f>
        <v>0</v>
      </c>
      <c r="F278" s="6">
        <f>[3]awpc!F272</f>
        <v>0</v>
      </c>
      <c r="G278" s="1">
        <f>[3]awpc!G272</f>
        <v>0</v>
      </c>
    </row>
    <row r="279" spans="1:7" x14ac:dyDescent="0.25">
      <c r="A279" s="1">
        <f>[3]awpc!A273</f>
        <v>67.5</v>
      </c>
      <c r="B279" s="1">
        <f>[3]awpc!B273</f>
        <v>75</v>
      </c>
      <c r="C279" s="5" t="str">
        <f>[3]awpc!C273</f>
        <v>Heizelman</v>
      </c>
      <c r="D279" s="5">
        <f>[3]awpc!D273</f>
        <v>0</v>
      </c>
      <c r="E279" s="1" t="str">
        <f>[3]awpc!E273</f>
        <v>USA</v>
      </c>
      <c r="F279" s="6">
        <f>[3]awpc!F273</f>
        <v>2001</v>
      </c>
      <c r="G279" s="1">
        <f>[3]awpc!G273</f>
        <v>0</v>
      </c>
    </row>
    <row r="280" spans="1:7" x14ac:dyDescent="0.25">
      <c r="A280" s="1">
        <f>[3]awpc!A274</f>
        <v>75</v>
      </c>
      <c r="B280" s="1">
        <f>[3]awpc!B274</f>
        <v>0</v>
      </c>
      <c r="C280" s="5">
        <f>[3]awpc!C274</f>
        <v>0</v>
      </c>
      <c r="D280" s="5">
        <f>[3]awpc!D274</f>
        <v>0</v>
      </c>
      <c r="E280" s="1">
        <f>[3]awpc!E274</f>
        <v>0</v>
      </c>
      <c r="F280" s="6">
        <f>[3]awpc!F274</f>
        <v>0</v>
      </c>
      <c r="G280" s="1">
        <f>[3]awpc!G274</f>
        <v>0</v>
      </c>
    </row>
    <row r="281" spans="1:7" x14ac:dyDescent="0.25">
      <c r="A281" s="1">
        <f>[3]awpc!A275</f>
        <v>82.5</v>
      </c>
      <c r="B281" s="1">
        <f>[3]awpc!B275</f>
        <v>85</v>
      </c>
      <c r="C281" s="5" t="str">
        <f>[3]awpc!C275</f>
        <v>Virta,Art</v>
      </c>
      <c r="D281" s="5">
        <f>[3]awpc!D275</f>
        <v>22</v>
      </c>
      <c r="E281" s="1" t="str">
        <f>[3]awpc!E275</f>
        <v>USA</v>
      </c>
      <c r="F281" s="6">
        <f>[3]awpc!F275</f>
        <v>39661</v>
      </c>
      <c r="G281" s="1" t="str">
        <f>[3]awpc!G275</f>
        <v>Oak Brook</v>
      </c>
    </row>
    <row r="282" spans="1:7" x14ac:dyDescent="0.25">
      <c r="A282" s="1">
        <f>[3]awpc!A276</f>
        <v>90</v>
      </c>
      <c r="B282" s="1">
        <f>[3]awpc!B276</f>
        <v>0</v>
      </c>
      <c r="C282" s="5">
        <f>[3]awpc!C276</f>
        <v>0</v>
      </c>
      <c r="D282" s="5">
        <f>[3]awpc!D276</f>
        <v>0</v>
      </c>
      <c r="E282" s="1">
        <f>[3]awpc!E276</f>
        <v>0</v>
      </c>
      <c r="F282" s="6">
        <f>[3]awpc!F276</f>
        <v>0</v>
      </c>
      <c r="G282" s="1">
        <f>[3]awpc!G276</f>
        <v>0</v>
      </c>
    </row>
    <row r="283" spans="1:7" x14ac:dyDescent="0.25">
      <c r="A283" s="1">
        <f>[3]awpc!A277</f>
        <v>100</v>
      </c>
      <c r="B283" s="1">
        <f>[3]awpc!B277</f>
        <v>0</v>
      </c>
      <c r="C283" s="5">
        <f>[3]awpc!C277</f>
        <v>0</v>
      </c>
      <c r="D283" s="5">
        <f>[3]awpc!D277</f>
        <v>0</v>
      </c>
      <c r="E283" s="1">
        <f>[3]awpc!E277</f>
        <v>0</v>
      </c>
      <c r="F283" s="6">
        <f>[3]awpc!F277</f>
        <v>0</v>
      </c>
      <c r="G283" s="1">
        <f>[3]awpc!G277</f>
        <v>0</v>
      </c>
    </row>
    <row r="284" spans="1:7" x14ac:dyDescent="0.25">
      <c r="A284" s="1">
        <f>[3]awpc!A278</f>
        <v>110</v>
      </c>
      <c r="B284" s="1">
        <f>[3]awpc!B278</f>
        <v>0</v>
      </c>
      <c r="C284" s="5">
        <f>[3]awpc!C278</f>
        <v>0</v>
      </c>
      <c r="D284" s="5">
        <f>[3]awpc!D278</f>
        <v>0</v>
      </c>
      <c r="E284" s="1">
        <f>[3]awpc!E278</f>
        <v>0</v>
      </c>
      <c r="F284" s="6">
        <f>[3]awpc!F278</f>
        <v>0</v>
      </c>
      <c r="G284" s="1">
        <f>[3]awpc!G278</f>
        <v>0</v>
      </c>
    </row>
    <row r="285" spans="1:7" x14ac:dyDescent="0.25">
      <c r="A285" s="1">
        <f>[3]awpc!A279</f>
        <v>125</v>
      </c>
      <c r="B285" s="1">
        <f>[3]awpc!B279</f>
        <v>0</v>
      </c>
      <c r="C285" s="5">
        <f>[3]awpc!C279</f>
        <v>0</v>
      </c>
      <c r="D285" s="5">
        <f>[3]awpc!D279</f>
        <v>0</v>
      </c>
      <c r="E285" s="1">
        <f>[3]awpc!E279</f>
        <v>0</v>
      </c>
      <c r="F285" s="6">
        <f>[3]awpc!F279</f>
        <v>0</v>
      </c>
      <c r="G285" s="1">
        <f>[3]awpc!G279</f>
        <v>0</v>
      </c>
    </row>
    <row r="286" spans="1:7" x14ac:dyDescent="0.25">
      <c r="A286" s="1">
        <f>[3]awpc!A280</f>
        <v>140</v>
      </c>
      <c r="B286" s="1">
        <f>[3]awpc!B280</f>
        <v>0</v>
      </c>
      <c r="C286" s="5">
        <f>[3]awpc!C280</f>
        <v>0</v>
      </c>
      <c r="D286" s="5">
        <f>[3]awpc!D280</f>
        <v>0</v>
      </c>
      <c r="E286" s="1">
        <f>[3]awpc!E280</f>
        <v>0</v>
      </c>
      <c r="F286" s="6">
        <f>[3]awpc!F280</f>
        <v>0</v>
      </c>
      <c r="G286" s="1">
        <f>[3]awpc!G280</f>
        <v>0</v>
      </c>
    </row>
    <row r="287" spans="1:7" x14ac:dyDescent="0.25">
      <c r="A287" s="1" t="str">
        <f>[3]awpc!A281</f>
        <v>140+</v>
      </c>
      <c r="B287" s="1">
        <f>[3]awpc!B281</f>
        <v>0</v>
      </c>
      <c r="C287" s="5">
        <f>[3]awpc!C281</f>
        <v>0</v>
      </c>
      <c r="D287" s="5">
        <f>[3]awpc!D281</f>
        <v>0</v>
      </c>
      <c r="E287" s="1">
        <f>[3]awpc!E281</f>
        <v>0</v>
      </c>
      <c r="F287" s="6">
        <f>[3]awpc!F281</f>
        <v>0</v>
      </c>
      <c r="G287" s="1">
        <f>[3]awpc!G281</f>
        <v>0</v>
      </c>
    </row>
    <row r="289" spans="1:7" s="11" customFormat="1" x14ac:dyDescent="0.25">
      <c r="A289" s="22" t="s">
        <v>0</v>
      </c>
      <c r="B289" s="22">
        <v>0</v>
      </c>
      <c r="C289" s="21">
        <v>40</v>
      </c>
      <c r="D289" s="21" t="str">
        <f>[3]awpc!C283</f>
        <v>Women's Master 40-44</v>
      </c>
      <c r="E289" s="22"/>
      <c r="F289" s="23"/>
      <c r="G289" s="22"/>
    </row>
    <row r="290" spans="1:7" x14ac:dyDescent="0.25">
      <c r="A290" s="1">
        <f>[3]awpc!A284</f>
        <v>44</v>
      </c>
      <c r="B290" s="1">
        <f>[3]awpc!B284</f>
        <v>77.5</v>
      </c>
      <c r="C290" s="5" t="str">
        <f>[3]awpc!C284</f>
        <v xml:space="preserve"> Hickman, Dawn</v>
      </c>
      <c r="D290" s="5">
        <f>[3]awpc!D284</f>
        <v>68</v>
      </c>
      <c r="E290" s="1" t="str">
        <f>[3]awpc!E284</f>
        <v xml:space="preserve"> USA</v>
      </c>
      <c r="F290" s="6">
        <f>[3]awpc!F284</f>
        <v>40789</v>
      </c>
      <c r="G290" s="1" t="str">
        <f>[3]awpc!G284</f>
        <v xml:space="preserve"> Idaho Falls</v>
      </c>
    </row>
    <row r="291" spans="1:7" x14ac:dyDescent="0.25">
      <c r="A291" s="1">
        <f>[3]awpc!A285</f>
        <v>48</v>
      </c>
      <c r="B291" s="1">
        <f>[3]awpc!B285</f>
        <v>60</v>
      </c>
      <c r="C291" s="5" t="str">
        <f>[3]awpc!C285</f>
        <v>Krochmal, Carol</v>
      </c>
      <c r="D291" s="5">
        <f>[3]awpc!D285</f>
        <v>58</v>
      </c>
      <c r="E291" s="1" t="str">
        <f>[3]awpc!E285</f>
        <v>USA</v>
      </c>
      <c r="F291" s="6">
        <f>[3]awpc!F285</f>
        <v>1999</v>
      </c>
      <c r="G291" s="1">
        <f>[3]awpc!G285</f>
        <v>0</v>
      </c>
    </row>
    <row r="292" spans="1:7" x14ac:dyDescent="0.25">
      <c r="A292" s="1">
        <f>[3]awpc!A286</f>
        <v>52</v>
      </c>
      <c r="B292" s="1">
        <f>[3]awpc!B286</f>
        <v>77.5</v>
      </c>
      <c r="C292" s="5" t="str">
        <f>[3]awpc!C286</f>
        <v>Kirkland, Margaret</v>
      </c>
      <c r="D292" s="5">
        <f>[3]awpc!D286</f>
        <v>63</v>
      </c>
      <c r="E292" s="1" t="str">
        <f>[3]awpc!E286</f>
        <v>USA</v>
      </c>
      <c r="F292" s="6">
        <f>[3]awpc!F286</f>
        <v>2004</v>
      </c>
      <c r="G292" s="1">
        <f>[3]awpc!G286</f>
        <v>0</v>
      </c>
    </row>
    <row r="293" spans="1:7" x14ac:dyDescent="0.25">
      <c r="A293" s="1">
        <f>[3]awpc!A287</f>
        <v>56</v>
      </c>
      <c r="B293" s="1">
        <f>[3]awpc!B287</f>
        <v>75</v>
      </c>
      <c r="C293" s="5" t="str">
        <f>[3]awpc!C287</f>
        <v>Quinell</v>
      </c>
      <c r="D293" s="5">
        <f>[3]awpc!D287</f>
        <v>0</v>
      </c>
      <c r="E293" s="1" t="str">
        <f>[3]awpc!E287</f>
        <v>AUS</v>
      </c>
      <c r="F293" s="6">
        <f>[3]awpc!F287</f>
        <v>2000</v>
      </c>
      <c r="G293" s="1">
        <f>[3]awpc!G287</f>
        <v>0</v>
      </c>
    </row>
    <row r="294" spans="1:7" x14ac:dyDescent="0.25">
      <c r="A294" s="1">
        <f>[3]awpc!A288</f>
        <v>60</v>
      </c>
      <c r="B294" s="1">
        <f>[3]awpc!B288</f>
        <v>72.5</v>
      </c>
      <c r="C294" s="5" t="str">
        <f>[3]awpc!C288</f>
        <v>Pierson,Nelda</v>
      </c>
      <c r="D294" s="5">
        <f>[3]awpc!D288</f>
        <v>56</v>
      </c>
      <c r="E294" s="1" t="str">
        <f>[3]awpc!E288</f>
        <v>USA</v>
      </c>
      <c r="F294" s="6">
        <f>[3]awpc!F288</f>
        <v>1998</v>
      </c>
      <c r="G294" s="1">
        <f>[3]awpc!G288</f>
        <v>0</v>
      </c>
    </row>
    <row r="295" spans="1:7" x14ac:dyDescent="0.25">
      <c r="A295" s="1">
        <f>[3]awpc!A289</f>
        <v>67.5</v>
      </c>
      <c r="B295" s="1">
        <f>[3]awpc!B289</f>
        <v>70</v>
      </c>
      <c r="C295" s="5" t="str">
        <f>[3]awpc!C289</f>
        <v>Taber, Joani</v>
      </c>
      <c r="D295" s="5">
        <f>[3]awpc!D289</f>
        <v>66</v>
      </c>
      <c r="E295" s="1" t="str">
        <f>[3]awpc!E289</f>
        <v>USA</v>
      </c>
      <c r="F295" s="6">
        <f>[3]awpc!F289</f>
        <v>39661</v>
      </c>
      <c r="G295" s="1" t="str">
        <f>[3]awpc!G289</f>
        <v>Oak Brook</v>
      </c>
    </row>
    <row r="296" spans="1:7" x14ac:dyDescent="0.25">
      <c r="A296" s="1">
        <f>[3]awpc!A290</f>
        <v>75</v>
      </c>
      <c r="B296" s="1">
        <f>[3]awpc!B290</f>
        <v>90</v>
      </c>
      <c r="C296" s="5" t="str">
        <f>[3]awpc!C290</f>
        <v>Sinacheva,Svetlana</v>
      </c>
      <c r="D296" s="5">
        <f>[3]awpc!D290</f>
        <v>66</v>
      </c>
      <c r="E296" s="1" t="str">
        <f>[3]awpc!E290</f>
        <v>RUS</v>
      </c>
      <c r="F296" s="6">
        <f>[3]awpc!F290</f>
        <v>40025</v>
      </c>
      <c r="G296" s="1" t="str">
        <f>[3]awpc!G290</f>
        <v>Burr Ridge</v>
      </c>
    </row>
    <row r="297" spans="1:7" x14ac:dyDescent="0.25">
      <c r="A297" s="1">
        <f>[3]awpc!A291</f>
        <v>82.5</v>
      </c>
      <c r="B297" s="1">
        <f>[3]awpc!B291</f>
        <v>90</v>
      </c>
      <c r="C297" s="5" t="str">
        <f>[3]awpc!C291</f>
        <v>Belsito, Linda</v>
      </c>
      <c r="D297" s="5">
        <f>[3]awpc!D291</f>
        <v>57</v>
      </c>
      <c r="E297" s="1" t="str">
        <f>[3]awpc!E291</f>
        <v>USA</v>
      </c>
      <c r="F297" s="6">
        <f>[3]awpc!F291</f>
        <v>1998</v>
      </c>
      <c r="G297" s="1">
        <f>[3]awpc!G291</f>
        <v>0</v>
      </c>
    </row>
    <row r="298" spans="1:7" x14ac:dyDescent="0.25">
      <c r="A298" s="1">
        <f>[3]awpc!A292</f>
        <v>90</v>
      </c>
      <c r="B298" s="1">
        <f>[3]awpc!B292</f>
        <v>117.5</v>
      </c>
      <c r="C298" s="5" t="str">
        <f>[3]awpc!C292</f>
        <v>Berry,Michonne</v>
      </c>
      <c r="D298" s="5">
        <f>[3]awpc!D292</f>
        <v>68</v>
      </c>
      <c r="E298" s="1" t="str">
        <f>[3]awpc!E292</f>
        <v>USA</v>
      </c>
      <c r="F298" s="6">
        <f>[3]awpc!F292</f>
        <v>40025</v>
      </c>
      <c r="G298" s="1" t="str">
        <f>[3]awpc!G292</f>
        <v>Burr Ridge</v>
      </c>
    </row>
    <row r="299" spans="1:7" x14ac:dyDescent="0.25">
      <c r="A299" s="1" t="str">
        <f>[3]awpc!A293</f>
        <v>90+</v>
      </c>
      <c r="B299" s="1">
        <f>[3]awpc!B293</f>
        <v>190</v>
      </c>
      <c r="C299" s="5" t="str">
        <f>[3]awpc!C293</f>
        <v xml:space="preserve"> Nutter, Rachel</v>
      </c>
      <c r="D299" s="5">
        <f>[3]awpc!D293</f>
        <v>70</v>
      </c>
      <c r="E299" s="1" t="str">
        <f>[3]awpc!E293</f>
        <v xml:space="preserve"> USA</v>
      </c>
      <c r="F299" s="6">
        <f>[3]awpc!F293</f>
        <v>40789</v>
      </c>
      <c r="G299" s="1" t="str">
        <f>[3]awpc!G293</f>
        <v xml:space="preserve"> Idaho Falls</v>
      </c>
    </row>
    <row r="301" spans="1:7" s="11" customFormat="1" x14ac:dyDescent="0.25">
      <c r="A301" s="22" t="s">
        <v>0</v>
      </c>
      <c r="B301" s="22">
        <v>0</v>
      </c>
      <c r="C301" s="21">
        <v>45</v>
      </c>
      <c r="D301" s="21" t="str">
        <f>[3]awpc!C295</f>
        <v xml:space="preserve">M45-49 </v>
      </c>
      <c r="E301" s="22"/>
      <c r="F301" s="23"/>
      <c r="G301" s="22"/>
    </row>
    <row r="302" spans="1:7" x14ac:dyDescent="0.25">
      <c r="A302" s="1">
        <f>[3]awpc!A296</f>
        <v>44</v>
      </c>
      <c r="B302" s="1">
        <f>[3]awpc!B296</f>
        <v>55</v>
      </c>
      <c r="C302" s="5" t="str">
        <f>[3]awpc!C296</f>
        <v>Krochmal, Carol</v>
      </c>
      <c r="D302" s="5">
        <f>[3]awpc!D296</f>
        <v>58</v>
      </c>
      <c r="E302" s="1" t="str">
        <f>[3]awpc!E296</f>
        <v>USA</v>
      </c>
      <c r="F302" s="6">
        <f>[3]awpc!F296</f>
        <v>39297</v>
      </c>
      <c r="G302" s="1" t="str">
        <f>[3]awpc!G296</f>
        <v>Rosemont</v>
      </c>
    </row>
    <row r="303" spans="1:7" x14ac:dyDescent="0.25">
      <c r="A303" s="1">
        <f>[3]awpc!A297</f>
        <v>48</v>
      </c>
      <c r="B303" s="1">
        <f>[3]awpc!B297</f>
        <v>70</v>
      </c>
      <c r="C303" s="5" t="str">
        <f>[3]awpc!C297</f>
        <v>Krochmal, Carol</v>
      </c>
      <c r="D303" s="5">
        <f>[3]awpc!D297</f>
        <v>58</v>
      </c>
      <c r="E303" s="1" t="str">
        <f>[3]awpc!E297</f>
        <v>USA</v>
      </c>
      <c r="F303" s="6">
        <f>[3]awpc!F297</f>
        <v>2004</v>
      </c>
      <c r="G303" s="1">
        <f>[3]awpc!G297</f>
        <v>0</v>
      </c>
    </row>
    <row r="304" spans="1:7" x14ac:dyDescent="0.25">
      <c r="A304" s="1">
        <f>[3]awpc!A298</f>
        <v>52</v>
      </c>
      <c r="B304" s="1">
        <f>[3]awpc!B298</f>
        <v>62.5</v>
      </c>
      <c r="C304" s="5" t="str">
        <f>[3]awpc!C298</f>
        <v>Spaletto, Chris</v>
      </c>
      <c r="D304" s="5">
        <f>[3]awpc!D298</f>
        <v>0</v>
      </c>
      <c r="E304" s="1" t="str">
        <f>[3]awpc!E298</f>
        <v>USA</v>
      </c>
      <c r="F304" s="6">
        <f>[3]awpc!F298</f>
        <v>2003</v>
      </c>
      <c r="G304" s="1">
        <f>[3]awpc!G298</f>
        <v>0</v>
      </c>
    </row>
    <row r="305" spans="1:7" x14ac:dyDescent="0.25">
      <c r="A305" s="1">
        <f>[3]awpc!A299</f>
        <v>56</v>
      </c>
      <c r="B305" s="1">
        <f>[3]awpc!B299</f>
        <v>95</v>
      </c>
      <c r="C305" s="5" t="str">
        <f>[3]awpc!C299</f>
        <v>Russillo, Rhonda</v>
      </c>
      <c r="D305" s="5">
        <f>[3]awpc!D299</f>
        <v>0</v>
      </c>
      <c r="E305" s="1" t="str">
        <f>[3]awpc!E299</f>
        <v>USA</v>
      </c>
      <c r="F305" s="6">
        <f>[3]awpc!F299</f>
        <v>2003</v>
      </c>
      <c r="G305" s="1">
        <f>[3]awpc!G299</f>
        <v>0</v>
      </c>
    </row>
    <row r="306" spans="1:7" x14ac:dyDescent="0.25">
      <c r="A306" s="1">
        <f>[3]awpc!A300</f>
        <v>60</v>
      </c>
      <c r="B306" s="1">
        <f>[3]awpc!B300</f>
        <v>62.5</v>
      </c>
      <c r="C306" s="5" t="str">
        <f>[3]awpc!C300</f>
        <v>Simbro, Jill</v>
      </c>
      <c r="D306" s="5">
        <f>[3]awpc!D300</f>
        <v>0</v>
      </c>
      <c r="E306" s="1" t="str">
        <f>[3]awpc!E300</f>
        <v>USA</v>
      </c>
      <c r="F306" s="6">
        <f>[3]awpc!F300</f>
        <v>2004</v>
      </c>
      <c r="G306" s="1">
        <f>[3]awpc!G300</f>
        <v>0</v>
      </c>
    </row>
    <row r="307" spans="1:7" x14ac:dyDescent="0.25">
      <c r="A307" s="1">
        <f>[3]awpc!A301</f>
        <v>67.5</v>
      </c>
      <c r="B307" s="1">
        <f>[3]awpc!B301</f>
        <v>87.5</v>
      </c>
      <c r="C307" s="5" t="str">
        <f>[3]awpc!C301</f>
        <v>Jackson</v>
      </c>
      <c r="D307" s="5">
        <f>[3]awpc!D301</f>
        <v>0</v>
      </c>
      <c r="E307" s="1" t="str">
        <f>[3]awpc!E301</f>
        <v>USA</v>
      </c>
      <c r="F307" s="6">
        <f>[3]awpc!F301</f>
        <v>1999</v>
      </c>
      <c r="G307" s="1">
        <f>[3]awpc!G301</f>
        <v>0</v>
      </c>
    </row>
    <row r="308" spans="1:7" x14ac:dyDescent="0.25">
      <c r="A308" s="1">
        <f>[3]awpc!A302</f>
        <v>75</v>
      </c>
      <c r="B308" s="1">
        <f>[3]awpc!B302</f>
        <v>82.5</v>
      </c>
      <c r="C308" s="5" t="str">
        <f>[3]awpc!C302</f>
        <v>Taber,Joani</v>
      </c>
      <c r="D308" s="5">
        <f>[3]awpc!D302</f>
        <v>66</v>
      </c>
      <c r="E308" s="1" t="str">
        <f>[3]awpc!E302</f>
        <v>USA</v>
      </c>
      <c r="F308" s="6">
        <f>[3]awpc!F302</f>
        <v>41012</v>
      </c>
      <c r="G308" s="1" t="str">
        <f>[3]awpc!G302</f>
        <v>Burr Ridge</v>
      </c>
    </row>
    <row r="309" spans="1:7" x14ac:dyDescent="0.25">
      <c r="A309" s="1">
        <f>[3]awpc!A303</f>
        <v>82.5</v>
      </c>
      <c r="B309" s="1">
        <f>[3]awpc!B303</f>
        <v>80</v>
      </c>
      <c r="C309" s="5" t="str">
        <f>[3]awpc!C303</f>
        <v>Razor, Amy</v>
      </c>
      <c r="D309" s="5">
        <f>[3]awpc!D303</f>
        <v>56</v>
      </c>
      <c r="E309" s="1" t="str">
        <f>[3]awpc!E303</f>
        <v>USA</v>
      </c>
      <c r="F309" s="6">
        <f>[3]awpc!F303</f>
        <v>2004</v>
      </c>
      <c r="G309" s="1">
        <f>[3]awpc!G303</f>
        <v>0</v>
      </c>
    </row>
    <row r="310" spans="1:7" x14ac:dyDescent="0.25">
      <c r="A310" s="1">
        <f>[3]awpc!A304</f>
        <v>90</v>
      </c>
      <c r="B310" s="1">
        <f>[3]awpc!B304</f>
        <v>75</v>
      </c>
      <c r="C310" s="5" t="str">
        <f>[3]awpc!C304</f>
        <v>Cadavona, Wilma</v>
      </c>
      <c r="D310" s="5">
        <f>[3]awpc!D304</f>
        <v>52</v>
      </c>
      <c r="E310" s="1" t="str">
        <f>[3]awpc!E304</f>
        <v>USA</v>
      </c>
      <c r="F310" s="6">
        <f>[3]awpc!F304</f>
        <v>2000</v>
      </c>
      <c r="G310" s="1" t="str">
        <f>[3]awpc!G304</f>
        <v>Las Vegas</v>
      </c>
    </row>
    <row r="311" spans="1:7" x14ac:dyDescent="0.25">
      <c r="A311" s="1" t="str">
        <f>[3]awpc!A305</f>
        <v>90+</v>
      </c>
      <c r="B311" s="1">
        <f>[3]awpc!B305</f>
        <v>130</v>
      </c>
      <c r="C311" s="5" t="str">
        <f>[3]awpc!C305</f>
        <v>Thoms, Sidney</v>
      </c>
      <c r="D311" s="5">
        <f>[3]awpc!D305</f>
        <v>53</v>
      </c>
      <c r="E311" s="1" t="str">
        <f>[3]awpc!E305</f>
        <v>USA</v>
      </c>
      <c r="F311" s="6">
        <f>[3]awpc!F305</f>
        <v>1999</v>
      </c>
      <c r="G311" s="1">
        <f>[3]awpc!G305</f>
        <v>0</v>
      </c>
    </row>
    <row r="313" spans="1:7" s="11" customFormat="1" x14ac:dyDescent="0.25">
      <c r="A313" s="22" t="s">
        <v>0</v>
      </c>
      <c r="B313" s="22">
        <v>0</v>
      </c>
      <c r="C313" s="21">
        <v>50</v>
      </c>
      <c r="D313" s="21" t="str">
        <f>[3]awpc!C307</f>
        <v xml:space="preserve">M50-54 </v>
      </c>
      <c r="E313" s="22"/>
      <c r="F313" s="23"/>
      <c r="G313" s="22"/>
    </row>
    <row r="314" spans="1:7" x14ac:dyDescent="0.25">
      <c r="A314" s="1">
        <f>[3]awpc!A308</f>
        <v>44</v>
      </c>
      <c r="B314" s="1">
        <f>[3]awpc!B308</f>
        <v>35</v>
      </c>
      <c r="C314" s="5" t="str">
        <f>[3]awpc!C308</f>
        <v>Range</v>
      </c>
      <c r="D314" s="5">
        <f>[3]awpc!D308</f>
        <v>46</v>
      </c>
      <c r="E314" s="1" t="str">
        <f>[3]awpc!E308</f>
        <v>USA</v>
      </c>
      <c r="F314" s="6">
        <f>[3]awpc!F308</f>
        <v>1998</v>
      </c>
      <c r="G314" s="1">
        <f>[3]awpc!G308</f>
        <v>0</v>
      </c>
    </row>
    <row r="315" spans="1:7" x14ac:dyDescent="0.25">
      <c r="A315" s="1">
        <f>[3]awpc!A309</f>
        <v>48</v>
      </c>
      <c r="B315" s="1">
        <f>[3]awpc!B309</f>
        <v>55</v>
      </c>
      <c r="C315" s="5" t="str">
        <f>[3]awpc!C309</f>
        <v>Brigham, Chris</v>
      </c>
      <c r="D315" s="5">
        <f>[3]awpc!D309</f>
        <v>48</v>
      </c>
      <c r="E315" s="1" t="str">
        <f>[3]awpc!E309</f>
        <v>USA</v>
      </c>
      <c r="F315" s="6">
        <f>[3]awpc!F309</f>
        <v>2000</v>
      </c>
      <c r="G315" s="1">
        <f>[3]awpc!G309</f>
        <v>0</v>
      </c>
    </row>
    <row r="316" spans="1:7" x14ac:dyDescent="0.25">
      <c r="A316" s="1">
        <f>[3]awpc!A310</f>
        <v>52</v>
      </c>
      <c r="B316" s="1">
        <f>[3]awpc!B310</f>
        <v>62.5</v>
      </c>
      <c r="C316" s="5" t="str">
        <f>[3]awpc!C310</f>
        <v>Telegina,Tatyana</v>
      </c>
      <c r="D316" s="5">
        <f>[3]awpc!D310</f>
        <v>61</v>
      </c>
      <c r="E316" s="1" t="str">
        <f>[3]awpc!E310</f>
        <v>RUS</v>
      </c>
      <c r="F316" s="6">
        <f>[3]awpc!F310</f>
        <v>41137</v>
      </c>
      <c r="G316" s="1" t="str">
        <f>[3]awpc!G310</f>
        <v>Novosibirsk</v>
      </c>
    </row>
    <row r="317" spans="1:7" x14ac:dyDescent="0.25">
      <c r="A317" s="1">
        <f>[3]awpc!A311</f>
        <v>56</v>
      </c>
      <c r="B317" s="1">
        <f>[3]awpc!B311</f>
        <v>0</v>
      </c>
      <c r="C317" s="5">
        <f>[3]awpc!C311</f>
        <v>0</v>
      </c>
      <c r="D317" s="5">
        <f>[3]awpc!D311</f>
        <v>0</v>
      </c>
      <c r="E317" s="1">
        <f>[3]awpc!E311</f>
        <v>0</v>
      </c>
      <c r="F317" s="6">
        <f>[3]awpc!F311</f>
        <v>0</v>
      </c>
      <c r="G317" s="1">
        <f>[3]awpc!G311</f>
        <v>0</v>
      </c>
    </row>
    <row r="318" spans="1:7" x14ac:dyDescent="0.25">
      <c r="A318" s="1">
        <f>[3]awpc!A312</f>
        <v>60</v>
      </c>
      <c r="B318" s="1">
        <f>[3]awpc!B312</f>
        <v>70</v>
      </c>
      <c r="C318" s="5" t="str">
        <f>[3]awpc!C312</f>
        <v>Mies, Susan</v>
      </c>
      <c r="D318" s="5">
        <f>[3]awpc!D312</f>
        <v>0</v>
      </c>
      <c r="E318" s="1" t="str">
        <f>[3]awpc!E312</f>
        <v>USA</v>
      </c>
      <c r="F318" s="6">
        <f>[3]awpc!F312</f>
        <v>38562</v>
      </c>
      <c r="G318" s="1" t="str">
        <f>[3]awpc!G312</f>
        <v>Lincolnwood</v>
      </c>
    </row>
    <row r="319" spans="1:7" x14ac:dyDescent="0.25">
      <c r="A319" s="1">
        <f>[3]awpc!A313</f>
        <v>67.5</v>
      </c>
      <c r="B319" s="1">
        <f>[3]awpc!B313</f>
        <v>0</v>
      </c>
      <c r="C319" s="5">
        <f>[3]awpc!C313</f>
        <v>0</v>
      </c>
      <c r="D319" s="5">
        <f>[3]awpc!D313</f>
        <v>0</v>
      </c>
      <c r="E319" s="1">
        <f>[3]awpc!E313</f>
        <v>0</v>
      </c>
      <c r="F319" s="6">
        <f>[3]awpc!F313</f>
        <v>0</v>
      </c>
      <c r="G319" s="1">
        <f>[3]awpc!G313</f>
        <v>0</v>
      </c>
    </row>
    <row r="320" spans="1:7" x14ac:dyDescent="0.25">
      <c r="A320" s="1">
        <f>[3]awpc!A314</f>
        <v>75</v>
      </c>
      <c r="B320" s="1">
        <f>[3]awpc!B314</f>
        <v>0</v>
      </c>
      <c r="C320" s="5">
        <f>[3]awpc!C314</f>
        <v>0</v>
      </c>
      <c r="D320" s="5">
        <f>[3]awpc!D314</f>
        <v>0</v>
      </c>
      <c r="E320" s="1">
        <f>[3]awpc!E314</f>
        <v>0</v>
      </c>
      <c r="F320" s="6">
        <f>[3]awpc!F314</f>
        <v>0</v>
      </c>
      <c r="G320" s="1">
        <f>[3]awpc!G314</f>
        <v>0</v>
      </c>
    </row>
    <row r="321" spans="1:7" x14ac:dyDescent="0.25">
      <c r="A321" s="1">
        <f>[3]awpc!A315</f>
        <v>82.5</v>
      </c>
      <c r="B321" s="1">
        <f>[3]awpc!B315</f>
        <v>65</v>
      </c>
      <c r="C321" s="5" t="str">
        <f>[3]awpc!C315</f>
        <v>Polansky, Karen</v>
      </c>
      <c r="D321" s="5">
        <f>[3]awpc!D315</f>
        <v>47</v>
      </c>
      <c r="E321" s="1" t="str">
        <f>[3]awpc!E315</f>
        <v>USA</v>
      </c>
      <c r="F321" s="6">
        <f>[3]awpc!F315</f>
        <v>2001</v>
      </c>
      <c r="G321" s="1">
        <f>[3]awpc!G315</f>
        <v>0</v>
      </c>
    </row>
    <row r="322" spans="1:7" x14ac:dyDescent="0.25">
      <c r="A322" s="1">
        <f>[3]awpc!A316</f>
        <v>90</v>
      </c>
      <c r="B322" s="1">
        <f>[3]awpc!B316</f>
        <v>75</v>
      </c>
      <c r="C322" s="5" t="str">
        <f>[3]awpc!C316</f>
        <v>Glitt, Joellen</v>
      </c>
      <c r="D322" s="5">
        <f>[3]awpc!D316</f>
        <v>48</v>
      </c>
      <c r="E322" s="1" t="str">
        <f>[3]awpc!E316</f>
        <v>USA</v>
      </c>
      <c r="F322" s="6">
        <f>[3]awpc!F316</f>
        <v>1999</v>
      </c>
      <c r="G322" s="1">
        <f>[3]awpc!G316</f>
        <v>0</v>
      </c>
    </row>
    <row r="323" spans="1:7" x14ac:dyDescent="0.25">
      <c r="A323" s="1" t="str">
        <f>[3]awpc!A317</f>
        <v>90+</v>
      </c>
      <c r="B323" s="1">
        <f>[3]awpc!B317</f>
        <v>172.5</v>
      </c>
      <c r="C323" s="5" t="str">
        <f>[3]awpc!C317</f>
        <v>Thoms, Sidney</v>
      </c>
      <c r="D323" s="5">
        <f>[3]awpc!D317</f>
        <v>53</v>
      </c>
      <c r="E323" s="1" t="str">
        <f>[3]awpc!E317</f>
        <v>USA</v>
      </c>
      <c r="F323" s="6">
        <f>[3]awpc!F317</f>
        <v>39661</v>
      </c>
      <c r="G323" s="1" t="str">
        <f>[3]awpc!G317</f>
        <v>Oak Brook</v>
      </c>
    </row>
    <row r="325" spans="1:7" s="11" customFormat="1" x14ac:dyDescent="0.25">
      <c r="A325" s="22" t="s">
        <v>0</v>
      </c>
      <c r="B325" s="22">
        <v>0</v>
      </c>
      <c r="C325" s="21">
        <v>55</v>
      </c>
      <c r="D325" s="21" t="str">
        <f>[3]awpc!C319</f>
        <v xml:space="preserve">M55-59 </v>
      </c>
      <c r="E325" s="22"/>
      <c r="F325" s="23"/>
      <c r="G325" s="22"/>
    </row>
    <row r="326" spans="1:7" x14ac:dyDescent="0.25">
      <c r="A326" s="1">
        <f>[3]awpc!A320</f>
        <v>44</v>
      </c>
      <c r="B326" s="1">
        <f>[3]awpc!B320</f>
        <v>0</v>
      </c>
      <c r="C326" s="5">
        <f>[3]awpc!C320</f>
        <v>0</v>
      </c>
      <c r="D326" s="5">
        <f>[3]awpc!D320</f>
        <v>0</v>
      </c>
      <c r="E326" s="1">
        <f>[3]awpc!E320</f>
        <v>0</v>
      </c>
      <c r="F326" s="6">
        <f>[3]awpc!F320</f>
        <v>0</v>
      </c>
      <c r="G326" s="1">
        <f>[3]awpc!G320</f>
        <v>0</v>
      </c>
    </row>
    <row r="327" spans="1:7" x14ac:dyDescent="0.25">
      <c r="A327" s="1">
        <f>[3]awpc!A321</f>
        <v>48</v>
      </c>
      <c r="B327" s="1">
        <f>[3]awpc!B321</f>
        <v>0</v>
      </c>
      <c r="C327" s="5">
        <f>[3]awpc!C321</f>
        <v>0</v>
      </c>
      <c r="D327" s="5">
        <f>[3]awpc!D321</f>
        <v>0</v>
      </c>
      <c r="E327" s="1">
        <f>[3]awpc!E321</f>
        <v>0</v>
      </c>
      <c r="F327" s="6">
        <f>[3]awpc!F321</f>
        <v>0</v>
      </c>
      <c r="G327" s="1">
        <f>[3]awpc!G321</f>
        <v>0</v>
      </c>
    </row>
    <row r="328" spans="1:7" x14ac:dyDescent="0.25">
      <c r="A328" s="1">
        <f>[3]awpc!A322</f>
        <v>52</v>
      </c>
      <c r="B328" s="1">
        <f>[3]awpc!B322</f>
        <v>72.5</v>
      </c>
      <c r="C328" s="5" t="str">
        <f>[3]awpc!C322</f>
        <v>Brigham, Chris</v>
      </c>
      <c r="D328" s="5">
        <f>[3]awpc!D322</f>
        <v>48</v>
      </c>
      <c r="E328" s="1" t="str">
        <f>[3]awpc!E322</f>
        <v>USA</v>
      </c>
      <c r="F328" s="6">
        <f>[3]awpc!F322</f>
        <v>38451</v>
      </c>
      <c r="G328" s="1">
        <f>[3]awpc!G322</f>
        <v>0</v>
      </c>
    </row>
    <row r="329" spans="1:7" x14ac:dyDescent="0.25">
      <c r="A329" s="1">
        <f>[3]awpc!A323</f>
        <v>56</v>
      </c>
      <c r="B329" s="1">
        <f>[3]awpc!B323</f>
        <v>42.5</v>
      </c>
      <c r="C329" s="5" t="str">
        <f>[3]awpc!C323</f>
        <v>McCallion, Susan</v>
      </c>
      <c r="D329" s="5">
        <f>[3]awpc!D323</f>
        <v>48</v>
      </c>
      <c r="E329" s="1" t="str">
        <f>[3]awpc!E323</f>
        <v>USA</v>
      </c>
      <c r="F329" s="6">
        <f>[3]awpc!F323</f>
        <v>38920</v>
      </c>
      <c r="G329" s="1" t="str">
        <f>[3]awpc!G323</f>
        <v>Flint</v>
      </c>
    </row>
    <row r="330" spans="1:7" x14ac:dyDescent="0.25">
      <c r="A330" s="1">
        <f>[3]awpc!A324</f>
        <v>60</v>
      </c>
      <c r="B330" s="1">
        <f>[3]awpc!B324</f>
        <v>0</v>
      </c>
      <c r="C330" s="5">
        <f>[3]awpc!C324</f>
        <v>0</v>
      </c>
      <c r="D330" s="5">
        <f>[3]awpc!D324</f>
        <v>0</v>
      </c>
      <c r="E330" s="1">
        <f>[3]awpc!E324</f>
        <v>0</v>
      </c>
      <c r="F330" s="6">
        <f>[3]awpc!F324</f>
        <v>0</v>
      </c>
      <c r="G330" s="1">
        <f>[3]awpc!G324</f>
        <v>0</v>
      </c>
    </row>
    <row r="331" spans="1:7" x14ac:dyDescent="0.25">
      <c r="A331" s="1">
        <f>[3]awpc!A325</f>
        <v>67.5</v>
      </c>
      <c r="B331" s="1">
        <f>[3]awpc!B325</f>
        <v>75</v>
      </c>
      <c r="C331" s="5" t="str">
        <f>[3]awpc!C325</f>
        <v>Shabanova,Nadezhda</v>
      </c>
      <c r="D331" s="5">
        <f>[3]awpc!D325</f>
        <v>52</v>
      </c>
      <c r="E331" s="1" t="str">
        <f>[3]awpc!E325</f>
        <v>RUS</v>
      </c>
      <c r="F331" s="6">
        <f>[3]awpc!F325</f>
        <v>40375</v>
      </c>
      <c r="G331" s="1" t="str">
        <f>[3]awpc!G325</f>
        <v>West Palm Beach</v>
      </c>
    </row>
    <row r="332" spans="1:7" x14ac:dyDescent="0.25">
      <c r="A332" s="1">
        <f>[3]awpc!A326</f>
        <v>75</v>
      </c>
      <c r="B332" s="1">
        <f>[3]awpc!B326</f>
        <v>0</v>
      </c>
      <c r="C332" s="5">
        <f>[3]awpc!C326</f>
        <v>0</v>
      </c>
      <c r="D332" s="5">
        <f>[3]awpc!D326</f>
        <v>0</v>
      </c>
      <c r="E332" s="1">
        <f>[3]awpc!E326</f>
        <v>0</v>
      </c>
      <c r="F332" s="6">
        <f>[3]awpc!F326</f>
        <v>0</v>
      </c>
      <c r="G332" s="1">
        <f>[3]awpc!G326</f>
        <v>0</v>
      </c>
    </row>
    <row r="333" spans="1:7" x14ac:dyDescent="0.25">
      <c r="A333" s="1">
        <f>[3]awpc!A327</f>
        <v>82.5</v>
      </c>
      <c r="B333" s="1">
        <f>[3]awpc!B327</f>
        <v>0</v>
      </c>
      <c r="C333" s="5">
        <f>[3]awpc!C327</f>
        <v>0</v>
      </c>
      <c r="D333" s="5">
        <f>[3]awpc!D327</f>
        <v>0</v>
      </c>
      <c r="E333" s="1">
        <f>[3]awpc!E327</f>
        <v>0</v>
      </c>
      <c r="F333" s="6">
        <f>[3]awpc!F327</f>
        <v>0</v>
      </c>
      <c r="G333" s="1">
        <f>[3]awpc!G327</f>
        <v>0</v>
      </c>
    </row>
    <row r="334" spans="1:7" x14ac:dyDescent="0.25">
      <c r="A334" s="1">
        <f>[3]awpc!A328</f>
        <v>90</v>
      </c>
      <c r="B334" s="1">
        <f>[3]awpc!B328</f>
        <v>0</v>
      </c>
      <c r="C334" s="5">
        <f>[3]awpc!C328</f>
        <v>0</v>
      </c>
      <c r="D334" s="5">
        <f>[3]awpc!D328</f>
        <v>0</v>
      </c>
      <c r="E334" s="1">
        <f>[3]awpc!E328</f>
        <v>0</v>
      </c>
      <c r="F334" s="6">
        <f>[3]awpc!F328</f>
        <v>0</v>
      </c>
      <c r="G334" s="1">
        <f>[3]awpc!G328</f>
        <v>0</v>
      </c>
    </row>
    <row r="335" spans="1:7" x14ac:dyDescent="0.25">
      <c r="A335" s="1" t="str">
        <f>[3]awpc!A329</f>
        <v>90+</v>
      </c>
      <c r="B335" s="1">
        <f>[3]awpc!B329</f>
        <v>67.5</v>
      </c>
      <c r="C335" s="5" t="str">
        <f>[3]awpc!C329</f>
        <v>Clonce</v>
      </c>
      <c r="D335" s="5">
        <f>[3]awpc!D329</f>
        <v>0</v>
      </c>
      <c r="E335" s="1" t="str">
        <f>[3]awpc!E329</f>
        <v>USA</v>
      </c>
      <c r="F335" s="6">
        <f>[3]awpc!F329</f>
        <v>0</v>
      </c>
      <c r="G335" s="1">
        <f>[3]awpc!G329</f>
        <v>0</v>
      </c>
    </row>
    <row r="337" spans="1:7" s="11" customFormat="1" x14ac:dyDescent="0.25">
      <c r="A337" s="22" t="s">
        <v>0</v>
      </c>
      <c r="B337" s="22">
        <v>0</v>
      </c>
      <c r="C337" s="21">
        <v>60</v>
      </c>
      <c r="D337" s="21" t="str">
        <f>[3]awpc!C331</f>
        <v xml:space="preserve">M60-64 </v>
      </c>
      <c r="E337" s="22"/>
      <c r="F337" s="23"/>
      <c r="G337" s="22"/>
    </row>
    <row r="338" spans="1:7" x14ac:dyDescent="0.25">
      <c r="A338" s="1">
        <f>[3]awpc!A332</f>
        <v>44</v>
      </c>
      <c r="B338" s="1">
        <f>[3]awpc!B332</f>
        <v>0</v>
      </c>
      <c r="C338" s="5">
        <f>[3]awpc!C332</f>
        <v>0</v>
      </c>
      <c r="D338" s="5">
        <f>[3]awpc!D332</f>
        <v>0</v>
      </c>
      <c r="E338" s="1">
        <f>[3]awpc!E332</f>
        <v>0</v>
      </c>
      <c r="F338" s="6">
        <f>[3]awpc!F332</f>
        <v>0</v>
      </c>
      <c r="G338" s="1">
        <f>[3]awpc!G332</f>
        <v>0</v>
      </c>
    </row>
    <row r="339" spans="1:7" x14ac:dyDescent="0.25">
      <c r="A339" s="1">
        <f>[3]awpc!A333</f>
        <v>48</v>
      </c>
      <c r="B339" s="1">
        <f>[3]awpc!B333</f>
        <v>0</v>
      </c>
      <c r="C339" s="5">
        <f>[3]awpc!C333</f>
        <v>0</v>
      </c>
      <c r="D339" s="5">
        <f>[3]awpc!D333</f>
        <v>0</v>
      </c>
      <c r="E339" s="1">
        <f>[3]awpc!E333</f>
        <v>0</v>
      </c>
      <c r="F339" s="6">
        <f>[3]awpc!F333</f>
        <v>0</v>
      </c>
      <c r="G339" s="1">
        <f>[3]awpc!G333</f>
        <v>0</v>
      </c>
    </row>
    <row r="340" spans="1:7" x14ac:dyDescent="0.25">
      <c r="A340" s="1">
        <f>[3]awpc!A334</f>
        <v>52</v>
      </c>
      <c r="B340" s="1">
        <f>[3]awpc!B334</f>
        <v>0</v>
      </c>
      <c r="C340" s="5">
        <f>[3]awpc!C334</f>
        <v>0</v>
      </c>
      <c r="D340" s="5">
        <f>[3]awpc!D334</f>
        <v>0</v>
      </c>
      <c r="E340" s="1">
        <f>[3]awpc!E334</f>
        <v>0</v>
      </c>
      <c r="F340" s="6">
        <f>[3]awpc!F334</f>
        <v>0</v>
      </c>
      <c r="G340" s="1">
        <f>[3]awpc!G334</f>
        <v>0</v>
      </c>
    </row>
    <row r="341" spans="1:7" x14ac:dyDescent="0.25">
      <c r="A341" s="1">
        <f>[3]awpc!A335</f>
        <v>56</v>
      </c>
      <c r="B341" s="1">
        <f>[3]awpc!B335</f>
        <v>0</v>
      </c>
      <c r="C341" s="5">
        <f>[3]awpc!C335</f>
        <v>0</v>
      </c>
      <c r="D341" s="5">
        <f>[3]awpc!D335</f>
        <v>0</v>
      </c>
      <c r="E341" s="1">
        <f>[3]awpc!E335</f>
        <v>0</v>
      </c>
      <c r="F341" s="6">
        <f>[3]awpc!F335</f>
        <v>0</v>
      </c>
      <c r="G341" s="1">
        <f>[3]awpc!G335</f>
        <v>0</v>
      </c>
    </row>
    <row r="342" spans="1:7" x14ac:dyDescent="0.25">
      <c r="A342" s="1">
        <f>[3]awpc!A336</f>
        <v>60</v>
      </c>
      <c r="B342" s="1">
        <f>[3]awpc!B336</f>
        <v>0</v>
      </c>
      <c r="C342" s="5">
        <f>[3]awpc!C336</f>
        <v>0</v>
      </c>
      <c r="D342" s="5">
        <f>[3]awpc!D336</f>
        <v>0</v>
      </c>
      <c r="E342" s="1">
        <f>[3]awpc!E336</f>
        <v>0</v>
      </c>
      <c r="F342" s="6">
        <f>[3]awpc!F336</f>
        <v>0</v>
      </c>
      <c r="G342" s="1">
        <f>[3]awpc!G336</f>
        <v>0</v>
      </c>
    </row>
    <row r="343" spans="1:7" x14ac:dyDescent="0.25">
      <c r="A343" s="1">
        <f>[3]awpc!A337</f>
        <v>67.5</v>
      </c>
      <c r="B343" s="1">
        <f>[3]awpc!B337</f>
        <v>65</v>
      </c>
      <c r="C343" s="5" t="str">
        <f>[3]awpc!C337</f>
        <v>Keresey, Evangeline</v>
      </c>
      <c r="D343" s="5">
        <f>[3]awpc!D337</f>
        <v>40</v>
      </c>
      <c r="E343" s="1" t="str">
        <f>[3]awpc!E337</f>
        <v>USA</v>
      </c>
      <c r="F343" s="6">
        <f>[3]awpc!F337</f>
        <v>2004</v>
      </c>
      <c r="G343" s="1">
        <f>[3]awpc!G337</f>
        <v>0</v>
      </c>
    </row>
    <row r="344" spans="1:7" x14ac:dyDescent="0.25">
      <c r="A344" s="1">
        <f>[3]awpc!A338</f>
        <v>75</v>
      </c>
      <c r="B344" s="1">
        <f>[3]awpc!B338</f>
        <v>0</v>
      </c>
      <c r="C344" s="5">
        <f>[3]awpc!C338</f>
        <v>0</v>
      </c>
      <c r="D344" s="5">
        <f>[3]awpc!D338</f>
        <v>0</v>
      </c>
      <c r="E344" s="1">
        <f>[3]awpc!E338</f>
        <v>0</v>
      </c>
      <c r="F344" s="6">
        <f>[3]awpc!F338</f>
        <v>0</v>
      </c>
      <c r="G344" s="1">
        <f>[3]awpc!G338</f>
        <v>0</v>
      </c>
    </row>
    <row r="345" spans="1:7" x14ac:dyDescent="0.25">
      <c r="A345" s="1">
        <f>[3]awpc!A339</f>
        <v>82.5</v>
      </c>
      <c r="B345" s="1">
        <f>[3]awpc!B339</f>
        <v>0</v>
      </c>
      <c r="C345" s="5">
        <f>[3]awpc!C339</f>
        <v>0</v>
      </c>
      <c r="D345" s="5">
        <f>[3]awpc!D339</f>
        <v>0</v>
      </c>
      <c r="E345" s="1">
        <f>[3]awpc!E339</f>
        <v>0</v>
      </c>
      <c r="F345" s="6">
        <f>[3]awpc!F339</f>
        <v>0</v>
      </c>
      <c r="G345" s="1">
        <f>[3]awpc!G339</f>
        <v>0</v>
      </c>
    </row>
    <row r="346" spans="1:7" x14ac:dyDescent="0.25">
      <c r="A346" s="1">
        <f>[3]awpc!A340</f>
        <v>90</v>
      </c>
      <c r="B346" s="1">
        <f>[3]awpc!B340</f>
        <v>0</v>
      </c>
      <c r="C346" s="5">
        <f>[3]awpc!C340</f>
        <v>0</v>
      </c>
      <c r="D346" s="5">
        <f>[3]awpc!D340</f>
        <v>0</v>
      </c>
      <c r="E346" s="1">
        <f>[3]awpc!E340</f>
        <v>0</v>
      </c>
      <c r="F346" s="6">
        <f>[3]awpc!F340</f>
        <v>0</v>
      </c>
      <c r="G346" s="1">
        <f>[3]awpc!G340</f>
        <v>0</v>
      </c>
    </row>
    <row r="347" spans="1:7" x14ac:dyDescent="0.25">
      <c r="A347" s="1" t="str">
        <f>[3]awpc!A341</f>
        <v>90+</v>
      </c>
      <c r="B347" s="1">
        <f>[3]awpc!B341</f>
        <v>0</v>
      </c>
      <c r="C347" s="5">
        <f>[3]awpc!C341</f>
        <v>0</v>
      </c>
      <c r="D347" s="5">
        <f>[3]awpc!D341</f>
        <v>0</v>
      </c>
      <c r="E347" s="1">
        <f>[3]awpc!E341</f>
        <v>0</v>
      </c>
      <c r="F347" s="6">
        <f>[3]awpc!F341</f>
        <v>0</v>
      </c>
      <c r="G347" s="1">
        <f>[3]awpc!G341</f>
        <v>0</v>
      </c>
    </row>
    <row r="349" spans="1:7" s="11" customFormat="1" x14ac:dyDescent="0.25">
      <c r="A349" s="22" t="s">
        <v>0</v>
      </c>
      <c r="B349" s="22">
        <v>0</v>
      </c>
      <c r="C349" s="21">
        <v>65</v>
      </c>
      <c r="D349" s="21" t="str">
        <f>[3]awpc!C343</f>
        <v>65-69 Age Group</v>
      </c>
      <c r="E349" s="22"/>
      <c r="F349" s="23"/>
      <c r="G349" s="22"/>
    </row>
    <row r="350" spans="1:7" x14ac:dyDescent="0.25">
      <c r="A350" s="1">
        <f>[3]awpc!A344</f>
        <v>44</v>
      </c>
      <c r="B350" s="1">
        <f>[3]awpc!B344</f>
        <v>0</v>
      </c>
      <c r="C350" s="5">
        <f>[3]awpc!C344</f>
        <v>0</v>
      </c>
      <c r="D350" s="5">
        <f>[3]awpc!D344</f>
        <v>0</v>
      </c>
      <c r="E350" s="1">
        <f>[3]awpc!E344</f>
        <v>0</v>
      </c>
      <c r="F350" s="6">
        <f>[3]awpc!F344</f>
        <v>0</v>
      </c>
      <c r="G350" s="1">
        <f>[3]awpc!G344</f>
        <v>0</v>
      </c>
    </row>
    <row r="351" spans="1:7" x14ac:dyDescent="0.25">
      <c r="A351" s="1">
        <f>[3]awpc!A345</f>
        <v>48</v>
      </c>
      <c r="B351" s="1">
        <f>[3]awpc!B345</f>
        <v>0</v>
      </c>
      <c r="C351" s="5">
        <f>[3]awpc!C345</f>
        <v>0</v>
      </c>
      <c r="D351" s="5">
        <f>[3]awpc!D345</f>
        <v>0</v>
      </c>
      <c r="E351" s="1">
        <f>[3]awpc!E345</f>
        <v>0</v>
      </c>
      <c r="F351" s="6">
        <f>[3]awpc!F345</f>
        <v>0</v>
      </c>
      <c r="G351" s="1">
        <f>[3]awpc!G345</f>
        <v>0</v>
      </c>
    </row>
    <row r="352" spans="1:7" x14ac:dyDescent="0.25">
      <c r="A352" s="1">
        <f>[3]awpc!A346</f>
        <v>52</v>
      </c>
      <c r="B352" s="1">
        <f>[3]awpc!B346</f>
        <v>0</v>
      </c>
      <c r="C352" s="5">
        <f>[3]awpc!C346</f>
        <v>0</v>
      </c>
      <c r="D352" s="5">
        <f>[3]awpc!D346</f>
        <v>0</v>
      </c>
      <c r="E352" s="1">
        <f>[3]awpc!E346</f>
        <v>0</v>
      </c>
      <c r="F352" s="6">
        <f>[3]awpc!F346</f>
        <v>0</v>
      </c>
      <c r="G352" s="1">
        <f>[3]awpc!G346</f>
        <v>0</v>
      </c>
    </row>
    <row r="353" spans="1:7" x14ac:dyDescent="0.25">
      <c r="A353" s="1">
        <f>[3]awpc!A347</f>
        <v>56</v>
      </c>
      <c r="B353" s="1">
        <f>[3]awpc!B347</f>
        <v>0</v>
      </c>
      <c r="C353" s="5">
        <f>[3]awpc!C347</f>
        <v>0</v>
      </c>
      <c r="D353" s="5">
        <f>[3]awpc!D347</f>
        <v>0</v>
      </c>
      <c r="E353" s="1">
        <f>[3]awpc!E347</f>
        <v>0</v>
      </c>
      <c r="F353" s="6">
        <f>[3]awpc!F347</f>
        <v>0</v>
      </c>
      <c r="G353" s="1">
        <f>[3]awpc!G347</f>
        <v>0</v>
      </c>
    </row>
    <row r="354" spans="1:7" x14ac:dyDescent="0.25">
      <c r="A354" s="1">
        <f>[3]awpc!A348</f>
        <v>60</v>
      </c>
      <c r="B354" s="1">
        <f>[3]awpc!B348</f>
        <v>48.5</v>
      </c>
      <c r="C354" s="5" t="str">
        <f>[3]awpc!C348</f>
        <v>Hermine</v>
      </c>
      <c r="D354" s="5">
        <f>[3]awpc!D348</f>
        <v>0</v>
      </c>
      <c r="E354" s="1" t="str">
        <f>[3]awpc!E348</f>
        <v>AUT</v>
      </c>
      <c r="F354" s="6">
        <f>[3]awpc!F348</f>
        <v>2001</v>
      </c>
      <c r="G354" s="1">
        <f>[3]awpc!G348</f>
        <v>0</v>
      </c>
    </row>
    <row r="355" spans="1:7" x14ac:dyDescent="0.25">
      <c r="A355" s="1">
        <f>[3]awpc!A349</f>
        <v>67.5</v>
      </c>
      <c r="B355" s="1">
        <f>[3]awpc!B349</f>
        <v>0</v>
      </c>
      <c r="C355" s="5">
        <f>[3]awpc!C349</f>
        <v>0</v>
      </c>
      <c r="D355" s="5">
        <f>[3]awpc!D349</f>
        <v>0</v>
      </c>
      <c r="E355" s="1">
        <f>[3]awpc!E349</f>
        <v>0</v>
      </c>
      <c r="F355" s="6">
        <f>[3]awpc!F349</f>
        <v>0</v>
      </c>
      <c r="G355" s="1">
        <f>[3]awpc!G349</f>
        <v>0</v>
      </c>
    </row>
    <row r="356" spans="1:7" x14ac:dyDescent="0.25">
      <c r="A356" s="1">
        <f>[3]awpc!A350</f>
        <v>75</v>
      </c>
      <c r="B356" s="1">
        <f>[3]awpc!B350</f>
        <v>0</v>
      </c>
      <c r="C356" s="5">
        <f>[3]awpc!C350</f>
        <v>0</v>
      </c>
      <c r="D356" s="5">
        <f>[3]awpc!D350</f>
        <v>0</v>
      </c>
      <c r="E356" s="1">
        <f>[3]awpc!E350</f>
        <v>0</v>
      </c>
      <c r="F356" s="6">
        <f>[3]awpc!F350</f>
        <v>0</v>
      </c>
      <c r="G356" s="1">
        <f>[3]awpc!G350</f>
        <v>0</v>
      </c>
    </row>
    <row r="357" spans="1:7" x14ac:dyDescent="0.25">
      <c r="A357" s="1">
        <f>[3]awpc!A351</f>
        <v>82.5</v>
      </c>
      <c r="B357" s="1">
        <f>[3]awpc!B351</f>
        <v>72.5</v>
      </c>
      <c r="C357" s="5" t="str">
        <f>[3]awpc!C351</f>
        <v>Langdon,Nora</v>
      </c>
      <c r="D357" s="5">
        <f>[3]awpc!D351</f>
        <v>42</v>
      </c>
      <c r="E357" s="1" t="str">
        <f>[3]awpc!E351</f>
        <v>USA</v>
      </c>
      <c r="F357" s="6">
        <f>[3]awpc!F351</f>
        <v>39907</v>
      </c>
      <c r="G357" s="1" t="str">
        <f>[3]awpc!G351</f>
        <v>Idaho Falls</v>
      </c>
    </row>
    <row r="358" spans="1:7" x14ac:dyDescent="0.25">
      <c r="A358" s="1">
        <f>[3]awpc!A352</f>
        <v>90</v>
      </c>
      <c r="B358" s="1">
        <f>[3]awpc!B352</f>
        <v>77.5</v>
      </c>
      <c r="C358" s="5" t="str">
        <f>[3]awpc!C352</f>
        <v>Langdon,Nora</v>
      </c>
      <c r="D358" s="5">
        <f>[3]awpc!D352</f>
        <v>42</v>
      </c>
      <c r="E358" s="1" t="str">
        <f>[3]awpc!E352</f>
        <v>USA</v>
      </c>
      <c r="F358" s="6">
        <f>[3]awpc!F352</f>
        <v>40025</v>
      </c>
      <c r="G358" s="1" t="str">
        <f>[3]awpc!G352</f>
        <v>Burr Ridge</v>
      </c>
    </row>
    <row r="359" spans="1:7" x14ac:dyDescent="0.25">
      <c r="A359" s="1" t="str">
        <f>[3]awpc!A353</f>
        <v>90+</v>
      </c>
      <c r="B359" s="1">
        <f>[3]awpc!B353</f>
        <v>0</v>
      </c>
      <c r="C359" s="5">
        <f>[3]awpc!C353</f>
        <v>0</v>
      </c>
      <c r="D359" s="5">
        <f>[3]awpc!D353</f>
        <v>0</v>
      </c>
      <c r="E359" s="1">
        <f>[3]awpc!E353</f>
        <v>0</v>
      </c>
      <c r="F359" s="6">
        <f>[3]awpc!F353</f>
        <v>0</v>
      </c>
      <c r="G359" s="1">
        <f>[3]awpc!G353</f>
        <v>0</v>
      </c>
    </row>
    <row r="361" spans="1:7" s="11" customFormat="1" x14ac:dyDescent="0.25">
      <c r="A361" s="22" t="s">
        <v>0</v>
      </c>
      <c r="B361" s="22">
        <v>0</v>
      </c>
      <c r="C361" s="21">
        <v>70</v>
      </c>
      <c r="D361" s="21" t="str">
        <f>[3]awpc!C355</f>
        <v>70-74 Age Group</v>
      </c>
      <c r="E361" s="22"/>
      <c r="F361" s="23"/>
      <c r="G361" s="22"/>
    </row>
    <row r="362" spans="1:7" x14ac:dyDescent="0.25">
      <c r="A362" s="1">
        <f>[3]awpc!A356</f>
        <v>44</v>
      </c>
      <c r="B362" s="1">
        <f>[3]awpc!B356</f>
        <v>0</v>
      </c>
      <c r="C362" s="5">
        <f>[3]awpc!C356</f>
        <v>0</v>
      </c>
      <c r="D362" s="5">
        <f>[3]awpc!D356</f>
        <v>0</v>
      </c>
      <c r="E362" s="1">
        <f>[3]awpc!E356</f>
        <v>0</v>
      </c>
      <c r="F362" s="6">
        <f>[3]awpc!F356</f>
        <v>0</v>
      </c>
      <c r="G362" s="1">
        <f>[3]awpc!G356</f>
        <v>0</v>
      </c>
    </row>
    <row r="363" spans="1:7" x14ac:dyDescent="0.25">
      <c r="A363" s="1">
        <f>[3]awpc!A357</f>
        <v>48</v>
      </c>
      <c r="B363" s="1">
        <f>[3]awpc!B357</f>
        <v>0</v>
      </c>
      <c r="C363" s="5">
        <f>[3]awpc!C357</f>
        <v>0</v>
      </c>
      <c r="D363" s="5">
        <f>[3]awpc!D357</f>
        <v>0</v>
      </c>
      <c r="E363" s="1">
        <f>[3]awpc!E357</f>
        <v>0</v>
      </c>
      <c r="F363" s="6">
        <f>[3]awpc!F357</f>
        <v>0</v>
      </c>
      <c r="G363" s="1">
        <f>[3]awpc!G357</f>
        <v>0</v>
      </c>
    </row>
    <row r="364" spans="1:7" x14ac:dyDescent="0.25">
      <c r="A364" s="1">
        <f>[3]awpc!A358</f>
        <v>52</v>
      </c>
      <c r="B364" s="1">
        <f>[3]awpc!B358</f>
        <v>0</v>
      </c>
      <c r="C364" s="5">
        <f>[3]awpc!C358</f>
        <v>0</v>
      </c>
      <c r="D364" s="5">
        <f>[3]awpc!D358</f>
        <v>0</v>
      </c>
      <c r="E364" s="1">
        <f>[3]awpc!E358</f>
        <v>0</v>
      </c>
      <c r="F364" s="6">
        <f>[3]awpc!F358</f>
        <v>0</v>
      </c>
      <c r="G364" s="1">
        <f>[3]awpc!G358</f>
        <v>0</v>
      </c>
    </row>
    <row r="365" spans="1:7" x14ac:dyDescent="0.25">
      <c r="A365" s="1">
        <f>[3]awpc!A359</f>
        <v>56</v>
      </c>
      <c r="B365" s="1">
        <f>[3]awpc!B359</f>
        <v>0</v>
      </c>
      <c r="C365" s="5">
        <f>[3]awpc!C359</f>
        <v>0</v>
      </c>
      <c r="D365" s="5">
        <f>[3]awpc!D359</f>
        <v>0</v>
      </c>
      <c r="E365" s="1">
        <f>[3]awpc!E359</f>
        <v>0</v>
      </c>
      <c r="F365" s="6">
        <f>[3]awpc!F359</f>
        <v>0</v>
      </c>
      <c r="G365" s="1">
        <f>[3]awpc!G359</f>
        <v>0</v>
      </c>
    </row>
    <row r="366" spans="1:7" x14ac:dyDescent="0.25">
      <c r="A366" s="1">
        <f>[3]awpc!A360</f>
        <v>60</v>
      </c>
      <c r="B366" s="1">
        <f>[3]awpc!B360</f>
        <v>0</v>
      </c>
      <c r="C366" s="5">
        <f>[3]awpc!C360</f>
        <v>0</v>
      </c>
      <c r="D366" s="5">
        <f>[3]awpc!D360</f>
        <v>0</v>
      </c>
      <c r="E366" s="1">
        <f>[3]awpc!E360</f>
        <v>0</v>
      </c>
      <c r="F366" s="6">
        <f>[3]awpc!F360</f>
        <v>0</v>
      </c>
      <c r="G366" s="1">
        <f>[3]awpc!G360</f>
        <v>0</v>
      </c>
    </row>
    <row r="367" spans="1:7" x14ac:dyDescent="0.25">
      <c r="A367" s="1">
        <f>[3]awpc!A361</f>
        <v>67.5</v>
      </c>
      <c r="B367" s="1">
        <f>[3]awpc!B361</f>
        <v>0</v>
      </c>
      <c r="C367" s="5">
        <f>[3]awpc!C361</f>
        <v>0</v>
      </c>
      <c r="D367" s="5">
        <f>[3]awpc!D361</f>
        <v>0</v>
      </c>
      <c r="E367" s="1">
        <f>[3]awpc!E361</f>
        <v>0</v>
      </c>
      <c r="F367" s="6">
        <f>[3]awpc!F361</f>
        <v>0</v>
      </c>
      <c r="G367" s="1">
        <f>[3]awpc!G361</f>
        <v>0</v>
      </c>
    </row>
    <row r="368" spans="1:7" x14ac:dyDescent="0.25">
      <c r="A368" s="1">
        <f>[3]awpc!A362</f>
        <v>75</v>
      </c>
      <c r="B368" s="1">
        <f>[3]awpc!B362</f>
        <v>0</v>
      </c>
      <c r="C368" s="5">
        <f>[3]awpc!C362</f>
        <v>0</v>
      </c>
      <c r="D368" s="5">
        <f>[3]awpc!D362</f>
        <v>0</v>
      </c>
      <c r="E368" s="1">
        <f>[3]awpc!E362</f>
        <v>0</v>
      </c>
      <c r="F368" s="6">
        <f>[3]awpc!F362</f>
        <v>0</v>
      </c>
      <c r="G368" s="1">
        <f>[3]awpc!G362</f>
        <v>0</v>
      </c>
    </row>
    <row r="369" spans="1:7" x14ac:dyDescent="0.25">
      <c r="A369" s="1">
        <f>[3]awpc!A363</f>
        <v>82.5</v>
      </c>
      <c r="B369" s="1">
        <f>[3]awpc!B363</f>
        <v>0</v>
      </c>
      <c r="C369" s="5">
        <f>[3]awpc!C363</f>
        <v>0</v>
      </c>
      <c r="D369" s="5">
        <f>[3]awpc!D363</f>
        <v>0</v>
      </c>
      <c r="E369" s="1">
        <f>[3]awpc!E363</f>
        <v>0</v>
      </c>
      <c r="F369" s="6">
        <f>[3]awpc!F363</f>
        <v>0</v>
      </c>
      <c r="G369" s="1">
        <f>[3]awpc!G363</f>
        <v>0</v>
      </c>
    </row>
    <row r="370" spans="1:7" x14ac:dyDescent="0.25">
      <c r="A370" s="1">
        <f>[3]awpc!A364</f>
        <v>90</v>
      </c>
      <c r="B370" s="1">
        <f>[3]awpc!B364</f>
        <v>42.5</v>
      </c>
      <c r="C370" s="5" t="str">
        <f>[3]awpc!C364</f>
        <v>Tenorio, Betty</v>
      </c>
      <c r="D370" s="5">
        <f>[3]awpc!D364</f>
        <v>29</v>
      </c>
      <c r="E370" s="1" t="str">
        <f>[3]awpc!E364</f>
        <v>USA</v>
      </c>
      <c r="F370" s="6">
        <f>[3]awpc!F364</f>
        <v>2001</v>
      </c>
      <c r="G370" s="1">
        <f>[3]awpc!G364</f>
        <v>0</v>
      </c>
    </row>
    <row r="371" spans="1:7" x14ac:dyDescent="0.25">
      <c r="A371" s="1" t="str">
        <f>[3]awpc!A365</f>
        <v>90+</v>
      </c>
      <c r="B371" s="1">
        <f>[3]awpc!B365</f>
        <v>47.5</v>
      </c>
      <c r="C371" s="5" t="str">
        <f>[3]awpc!C365</f>
        <v>Tenorio, Betty</v>
      </c>
      <c r="D371" s="5">
        <f>[3]awpc!D365</f>
        <v>29</v>
      </c>
      <c r="E371" s="1" t="str">
        <f>[3]awpc!E365</f>
        <v>USA</v>
      </c>
      <c r="F371" s="6">
        <f>[3]awpc!F365</f>
        <v>2001</v>
      </c>
      <c r="G371" s="1">
        <f>[3]awpc!G365</f>
        <v>0</v>
      </c>
    </row>
    <row r="373" spans="1:7" s="11" customFormat="1" x14ac:dyDescent="0.25">
      <c r="A373" s="22" t="s">
        <v>0</v>
      </c>
      <c r="B373" s="22">
        <v>0</v>
      </c>
      <c r="C373" s="21">
        <v>75</v>
      </c>
      <c r="D373" s="21" t="str">
        <f>[3]awpc!C367</f>
        <v>75-79 Age Group</v>
      </c>
      <c r="E373" s="22"/>
      <c r="F373" s="23"/>
      <c r="G373" s="22"/>
    </row>
    <row r="374" spans="1:7" x14ac:dyDescent="0.25">
      <c r="A374" s="1">
        <f>[3]awpc!A368</f>
        <v>44</v>
      </c>
      <c r="B374" s="1">
        <f>[3]awpc!B368</f>
        <v>25</v>
      </c>
      <c r="C374" s="5" t="str">
        <f>[3]awpc!C368</f>
        <v>Chatel,Mary</v>
      </c>
      <c r="D374" s="5">
        <f>[3]awpc!D368</f>
        <v>29</v>
      </c>
      <c r="E374" s="1" t="str">
        <f>[3]awpc!E368</f>
        <v>USA</v>
      </c>
      <c r="F374" s="6">
        <f>[3]awpc!F368</f>
        <v>39907</v>
      </c>
      <c r="G374" s="1" t="str">
        <f>[3]awpc!G368</f>
        <v>Idaho Falls</v>
      </c>
    </row>
    <row r="375" spans="1:7" x14ac:dyDescent="0.25">
      <c r="A375" s="1">
        <f>[3]awpc!A369</f>
        <v>48</v>
      </c>
      <c r="B375" s="1">
        <f>[3]awpc!B369</f>
        <v>0</v>
      </c>
      <c r="C375" s="5">
        <f>[3]awpc!C369</f>
        <v>0</v>
      </c>
      <c r="D375" s="5">
        <f>[3]awpc!D369</f>
        <v>0</v>
      </c>
      <c r="E375" s="1">
        <f>[3]awpc!E369</f>
        <v>0</v>
      </c>
      <c r="F375" s="6">
        <f>[3]awpc!F369</f>
        <v>0</v>
      </c>
      <c r="G375" s="1">
        <f>[3]awpc!G369</f>
        <v>0</v>
      </c>
    </row>
    <row r="376" spans="1:7" x14ac:dyDescent="0.25">
      <c r="A376" s="1">
        <f>[3]awpc!A370</f>
        <v>52</v>
      </c>
      <c r="B376" s="1">
        <f>[3]awpc!B370</f>
        <v>0</v>
      </c>
      <c r="C376" s="5">
        <f>[3]awpc!C370</f>
        <v>0</v>
      </c>
      <c r="D376" s="5">
        <f>[3]awpc!D370</f>
        <v>0</v>
      </c>
      <c r="E376" s="1">
        <f>[3]awpc!E370</f>
        <v>0</v>
      </c>
      <c r="F376" s="6">
        <f>[3]awpc!F370</f>
        <v>0</v>
      </c>
      <c r="G376" s="1">
        <f>[3]awpc!G370</f>
        <v>0</v>
      </c>
    </row>
    <row r="377" spans="1:7" x14ac:dyDescent="0.25">
      <c r="A377" s="1">
        <f>[3]awpc!A371</f>
        <v>56</v>
      </c>
      <c r="B377" s="1">
        <f>[3]awpc!B371</f>
        <v>0</v>
      </c>
      <c r="C377" s="5">
        <f>[3]awpc!C371</f>
        <v>0</v>
      </c>
      <c r="D377" s="5">
        <f>[3]awpc!D371</f>
        <v>0</v>
      </c>
      <c r="E377" s="1">
        <f>[3]awpc!E371</f>
        <v>0</v>
      </c>
      <c r="F377" s="6">
        <f>[3]awpc!F371</f>
        <v>0</v>
      </c>
      <c r="G377" s="1">
        <f>[3]awpc!G371</f>
        <v>0</v>
      </c>
    </row>
    <row r="378" spans="1:7" x14ac:dyDescent="0.25">
      <c r="A378" s="1">
        <f>[3]awpc!A372</f>
        <v>60</v>
      </c>
      <c r="B378" s="1">
        <f>[3]awpc!B372</f>
        <v>0</v>
      </c>
      <c r="C378" s="5">
        <f>[3]awpc!C372</f>
        <v>0</v>
      </c>
      <c r="D378" s="5">
        <f>[3]awpc!D372</f>
        <v>0</v>
      </c>
      <c r="E378" s="1">
        <f>[3]awpc!E372</f>
        <v>0</v>
      </c>
      <c r="F378" s="6">
        <f>[3]awpc!F372</f>
        <v>0</v>
      </c>
      <c r="G378" s="1">
        <f>[3]awpc!G372</f>
        <v>0</v>
      </c>
    </row>
    <row r="379" spans="1:7" x14ac:dyDescent="0.25">
      <c r="A379" s="1">
        <f>[3]awpc!A373</f>
        <v>67.5</v>
      </c>
      <c r="B379" s="1">
        <f>[3]awpc!B373</f>
        <v>0</v>
      </c>
      <c r="C379" s="5">
        <f>[3]awpc!C373</f>
        <v>0</v>
      </c>
      <c r="D379" s="5">
        <f>[3]awpc!D373</f>
        <v>0</v>
      </c>
      <c r="E379" s="1">
        <f>[3]awpc!E373</f>
        <v>0</v>
      </c>
      <c r="F379" s="6">
        <f>[3]awpc!F373</f>
        <v>0</v>
      </c>
      <c r="G379" s="1">
        <f>[3]awpc!G373</f>
        <v>0</v>
      </c>
    </row>
    <row r="380" spans="1:7" x14ac:dyDescent="0.25">
      <c r="A380" s="1">
        <f>[3]awpc!A374</f>
        <v>75</v>
      </c>
      <c r="B380" s="1">
        <f>[3]awpc!B374</f>
        <v>30</v>
      </c>
      <c r="C380" s="5" t="str">
        <f>[3]awpc!C374</f>
        <v>Tsverova Galina</v>
      </c>
      <c r="D380" s="5">
        <f>[3]awpc!D374</f>
        <v>31</v>
      </c>
      <c r="E380" s="1" t="str">
        <f>[3]awpc!E374</f>
        <v>RUS</v>
      </c>
      <c r="F380" s="6">
        <f>[3]awpc!F374</f>
        <v>39528</v>
      </c>
      <c r="G380" s="1" t="str">
        <f>[3]awpc!G374</f>
        <v>Rostov</v>
      </c>
    </row>
    <row r="381" spans="1:7" x14ac:dyDescent="0.25">
      <c r="A381" s="1">
        <f>[3]awpc!A375</f>
        <v>82.5</v>
      </c>
      <c r="B381" s="1">
        <f>[3]awpc!B375</f>
        <v>32.5</v>
      </c>
      <c r="C381" s="5" t="str">
        <f>[3]awpc!C375</f>
        <v>Tenorio, Betty</v>
      </c>
      <c r="D381" s="5">
        <f>[3]awpc!D375</f>
        <v>29</v>
      </c>
      <c r="E381" s="1" t="str">
        <f>[3]awpc!E375</f>
        <v>USA</v>
      </c>
      <c r="F381" s="6">
        <f>[3]awpc!F375</f>
        <v>38562</v>
      </c>
      <c r="G381" s="1" t="str">
        <f>[3]awpc!G375</f>
        <v>Lincolnwood</v>
      </c>
    </row>
    <row r="382" spans="1:7" x14ac:dyDescent="0.25">
      <c r="A382" s="1">
        <f>[3]awpc!A376</f>
        <v>90</v>
      </c>
      <c r="B382" s="1">
        <f>[3]awpc!B376</f>
        <v>0</v>
      </c>
      <c r="C382" s="5">
        <f>[3]awpc!C376</f>
        <v>0</v>
      </c>
      <c r="D382" s="5">
        <f>[3]awpc!D376</f>
        <v>0</v>
      </c>
      <c r="E382" s="1">
        <f>[3]awpc!E376</f>
        <v>0</v>
      </c>
      <c r="F382" s="6">
        <f>[3]awpc!F376</f>
        <v>0</v>
      </c>
      <c r="G382" s="1">
        <f>[3]awpc!G376</f>
        <v>0</v>
      </c>
    </row>
    <row r="383" spans="1:7" x14ac:dyDescent="0.25">
      <c r="A383" s="1" t="str">
        <f>[3]awpc!A377</f>
        <v>90+</v>
      </c>
      <c r="B383" s="1">
        <f>[3]awpc!B377</f>
        <v>0</v>
      </c>
      <c r="C383" s="5">
        <f>[3]awpc!C377</f>
        <v>0</v>
      </c>
      <c r="D383" s="5">
        <f>[3]awpc!D377</f>
        <v>0</v>
      </c>
      <c r="E383" s="1">
        <f>[3]awpc!E377</f>
        <v>0</v>
      </c>
      <c r="F383" s="6">
        <f>[3]awpc!F377</f>
        <v>0</v>
      </c>
      <c r="G383" s="1">
        <f>[3]awpc!G377</f>
        <v>0</v>
      </c>
    </row>
    <row r="385" spans="1:7" s="11" customFormat="1" x14ac:dyDescent="0.25">
      <c r="A385" s="22" t="s">
        <v>0</v>
      </c>
      <c r="B385" s="22">
        <v>0</v>
      </c>
      <c r="C385" s="21">
        <v>80</v>
      </c>
      <c r="D385" s="21" t="str">
        <f>[3]awpc!C379</f>
        <v>80-84  Age Group</v>
      </c>
      <c r="E385" s="22"/>
      <c r="F385" s="23"/>
      <c r="G385" s="22"/>
    </row>
    <row r="386" spans="1:7" x14ac:dyDescent="0.25">
      <c r="A386" s="1">
        <f>[3]awpc!A380</f>
        <v>44</v>
      </c>
      <c r="B386" s="1">
        <f>[3]awpc!B380</f>
        <v>25</v>
      </c>
      <c r="C386" s="5" t="str">
        <f>[3]awpc!C380</f>
        <v>Chatel,Mary</v>
      </c>
      <c r="D386" s="5">
        <f>[3]awpc!D380</f>
        <v>29</v>
      </c>
      <c r="E386" s="1" t="str">
        <f>[3]awpc!E380</f>
        <v>USA</v>
      </c>
      <c r="F386" s="6">
        <f>[3]awpc!F380</f>
        <v>40375</v>
      </c>
      <c r="G386" s="1" t="str">
        <f>[3]awpc!G380</f>
        <v>West Palm Beach</v>
      </c>
    </row>
    <row r="387" spans="1:7" x14ac:dyDescent="0.25">
      <c r="A387" s="1">
        <f>[3]awpc!A381</f>
        <v>48</v>
      </c>
      <c r="B387" s="1">
        <f>[3]awpc!B381</f>
        <v>0</v>
      </c>
      <c r="C387" s="5">
        <f>[3]awpc!C381</f>
        <v>0</v>
      </c>
      <c r="D387" s="5">
        <f>[3]awpc!D381</f>
        <v>0</v>
      </c>
      <c r="E387" s="1">
        <f>[3]awpc!E381</f>
        <v>0</v>
      </c>
      <c r="F387" s="6">
        <f>[3]awpc!F381</f>
        <v>0</v>
      </c>
      <c r="G387" s="1">
        <f>[3]awpc!G381</f>
        <v>0</v>
      </c>
    </row>
    <row r="388" spans="1:7" x14ac:dyDescent="0.25">
      <c r="A388" s="1">
        <f>[3]awpc!A382</f>
        <v>52</v>
      </c>
      <c r="B388" s="1">
        <f>[3]awpc!B382</f>
        <v>0</v>
      </c>
      <c r="C388" s="5">
        <f>[3]awpc!C382</f>
        <v>0</v>
      </c>
      <c r="D388" s="5">
        <f>[3]awpc!D382</f>
        <v>0</v>
      </c>
      <c r="E388" s="1">
        <f>[3]awpc!E382</f>
        <v>0</v>
      </c>
      <c r="F388" s="6">
        <f>[3]awpc!F382</f>
        <v>0</v>
      </c>
      <c r="G388" s="1">
        <f>[3]awpc!G382</f>
        <v>0</v>
      </c>
    </row>
    <row r="389" spans="1:7" x14ac:dyDescent="0.25">
      <c r="A389" s="1">
        <f>[3]awpc!A383</f>
        <v>56</v>
      </c>
      <c r="B389" s="1">
        <f>[3]awpc!B383</f>
        <v>0</v>
      </c>
      <c r="C389" s="5">
        <f>[3]awpc!C383</f>
        <v>0</v>
      </c>
      <c r="D389" s="5">
        <f>[3]awpc!D383</f>
        <v>0</v>
      </c>
      <c r="E389" s="1">
        <f>[3]awpc!E383</f>
        <v>0</v>
      </c>
      <c r="F389" s="6">
        <f>[3]awpc!F383</f>
        <v>0</v>
      </c>
      <c r="G389" s="1">
        <f>[3]awpc!G383</f>
        <v>0</v>
      </c>
    </row>
    <row r="390" spans="1:7" x14ac:dyDescent="0.25">
      <c r="A390" s="1">
        <f>[3]awpc!A384</f>
        <v>60</v>
      </c>
      <c r="B390" s="1">
        <f>[3]awpc!B384</f>
        <v>0</v>
      </c>
      <c r="C390" s="5">
        <f>[3]awpc!C384</f>
        <v>0</v>
      </c>
      <c r="D390" s="5">
        <f>[3]awpc!D384</f>
        <v>0</v>
      </c>
      <c r="E390" s="1">
        <f>[3]awpc!E384</f>
        <v>0</v>
      </c>
      <c r="F390" s="6">
        <f>[3]awpc!F384</f>
        <v>0</v>
      </c>
      <c r="G390" s="1">
        <f>[3]awpc!G384</f>
        <v>0</v>
      </c>
    </row>
    <row r="391" spans="1:7" x14ac:dyDescent="0.25">
      <c r="A391" s="1">
        <f>[3]awpc!A385</f>
        <v>67.5</v>
      </c>
      <c r="B391" s="1">
        <f>[3]awpc!B385</f>
        <v>0</v>
      </c>
      <c r="C391" s="5">
        <f>[3]awpc!C385</f>
        <v>0</v>
      </c>
      <c r="D391" s="5">
        <f>[3]awpc!D385</f>
        <v>0</v>
      </c>
      <c r="E391" s="1">
        <f>[3]awpc!E385</f>
        <v>0</v>
      </c>
      <c r="F391" s="6">
        <f>[3]awpc!F385</f>
        <v>0</v>
      </c>
      <c r="G391" s="1">
        <f>[3]awpc!G385</f>
        <v>0</v>
      </c>
    </row>
    <row r="392" spans="1:7" x14ac:dyDescent="0.25">
      <c r="A392" s="1">
        <f>[3]awpc!A386</f>
        <v>75</v>
      </c>
      <c r="B392" s="1">
        <f>[3]awpc!B386</f>
        <v>0</v>
      </c>
      <c r="C392" s="5">
        <f>[3]awpc!C386</f>
        <v>0</v>
      </c>
      <c r="D392" s="5">
        <f>[3]awpc!D386</f>
        <v>0</v>
      </c>
      <c r="E392" s="1">
        <f>[3]awpc!E386</f>
        <v>0</v>
      </c>
      <c r="F392" s="6">
        <f>[3]awpc!F386</f>
        <v>0</v>
      </c>
      <c r="G392" s="1">
        <f>[3]awpc!G386</f>
        <v>0</v>
      </c>
    </row>
    <row r="393" spans="1:7" x14ac:dyDescent="0.25">
      <c r="A393" s="1">
        <f>[3]awpc!A387</f>
        <v>82.5</v>
      </c>
      <c r="B393" s="1">
        <f>[3]awpc!B387</f>
        <v>0</v>
      </c>
      <c r="C393" s="5">
        <f>[3]awpc!C387</f>
        <v>0</v>
      </c>
      <c r="D393" s="5">
        <f>[3]awpc!D387</f>
        <v>0</v>
      </c>
      <c r="E393" s="1">
        <f>[3]awpc!E387</f>
        <v>0</v>
      </c>
      <c r="F393" s="6">
        <f>[3]awpc!F387</f>
        <v>0</v>
      </c>
      <c r="G393" s="1">
        <f>[3]awpc!G387</f>
        <v>0</v>
      </c>
    </row>
    <row r="394" spans="1:7" x14ac:dyDescent="0.25">
      <c r="A394" s="1">
        <f>[3]awpc!A388</f>
        <v>90</v>
      </c>
      <c r="B394" s="1">
        <f>[3]awpc!B388</f>
        <v>0</v>
      </c>
      <c r="C394" s="5">
        <f>[3]awpc!C388</f>
        <v>0</v>
      </c>
      <c r="D394" s="5">
        <f>[3]awpc!D388</f>
        <v>0</v>
      </c>
      <c r="E394" s="1">
        <f>[3]awpc!E388</f>
        <v>0</v>
      </c>
      <c r="F394" s="6">
        <f>[3]awpc!F388</f>
        <v>0</v>
      </c>
      <c r="G394" s="1">
        <f>[3]awpc!G388</f>
        <v>0</v>
      </c>
    </row>
    <row r="395" spans="1:7" x14ac:dyDescent="0.25">
      <c r="A395" s="1" t="str">
        <f>[3]awpc!A389</f>
        <v>90+</v>
      </c>
      <c r="B395" s="1">
        <f>[3]awpc!B389</f>
        <v>0</v>
      </c>
      <c r="C395" s="5">
        <f>[3]awpc!C389</f>
        <v>0</v>
      </c>
      <c r="D395" s="5">
        <f>[3]awpc!D389</f>
        <v>0</v>
      </c>
      <c r="E395" s="1">
        <f>[3]awpc!E389</f>
        <v>0</v>
      </c>
      <c r="F395" s="6">
        <f>[3]awpc!F389</f>
        <v>0</v>
      </c>
      <c r="G395" s="1">
        <f>[3]awpc!G389</f>
        <v>0</v>
      </c>
    </row>
    <row r="396" spans="1:7" x14ac:dyDescent="0.25">
      <c r="A396" s="1">
        <f>[3]awpc!A390</f>
        <v>0</v>
      </c>
      <c r="B396" s="1">
        <f>[3]awpc!B390</f>
        <v>0</v>
      </c>
      <c r="C396" s="5">
        <f>[3]awpc!C390</f>
        <v>0</v>
      </c>
      <c r="D396" s="5">
        <f>[3]awpc!D390</f>
        <v>0</v>
      </c>
      <c r="E396" s="1">
        <f>[3]awpc!E390</f>
        <v>0</v>
      </c>
      <c r="F396" s="6">
        <f>[3]awpc!F390</f>
        <v>0</v>
      </c>
      <c r="G396" s="1">
        <f>[3]awpc!G390</f>
        <v>0</v>
      </c>
    </row>
    <row r="397" spans="1:7" x14ac:dyDescent="0.25">
      <c r="A397" s="1">
        <f>[3]awpc!A391</f>
        <v>0</v>
      </c>
      <c r="B397" s="1">
        <f>[3]awpc!B391</f>
        <v>0</v>
      </c>
      <c r="C397" s="5">
        <f>[3]awpc!C391</f>
        <v>0</v>
      </c>
      <c r="D397" s="5">
        <f>[3]awpc!D391</f>
        <v>0</v>
      </c>
      <c r="E397" s="1">
        <f>[3]awpc!E391</f>
        <v>0</v>
      </c>
      <c r="F397" s="6">
        <f>[3]awpc!F391</f>
        <v>0</v>
      </c>
      <c r="G397" s="1">
        <f>[3]awpc!G391</f>
        <v>0</v>
      </c>
    </row>
    <row r="398" spans="1:7" x14ac:dyDescent="0.25">
      <c r="A398" s="1">
        <f>[3]awpc!A392</f>
        <v>0</v>
      </c>
      <c r="B398" s="1">
        <f>[3]awpc!B392</f>
        <v>0</v>
      </c>
      <c r="C398" s="5">
        <f>[3]awpc!C392</f>
        <v>0</v>
      </c>
      <c r="D398" s="5">
        <f>[3]awpc!D392</f>
        <v>0</v>
      </c>
      <c r="E398" s="1">
        <f>[3]awpc!E392</f>
        <v>0</v>
      </c>
      <c r="F398" s="6">
        <f>[3]awpc!F392</f>
        <v>0</v>
      </c>
      <c r="G398" s="1">
        <f>[3]awpc!G392</f>
        <v>0</v>
      </c>
    </row>
    <row r="399" spans="1:7" x14ac:dyDescent="0.25">
      <c r="A399" s="1">
        <f>[3]awpc!A393</f>
        <v>0</v>
      </c>
      <c r="B399" s="1">
        <f>[3]awpc!B393</f>
        <v>0</v>
      </c>
      <c r="C399" s="5">
        <f>[3]awpc!C393</f>
        <v>0</v>
      </c>
      <c r="D399" s="5">
        <f>[3]awpc!D393</f>
        <v>0</v>
      </c>
      <c r="E399" s="1">
        <f>[3]awpc!E393</f>
        <v>0</v>
      </c>
      <c r="F399" s="6">
        <f>[3]awpc!F393</f>
        <v>0</v>
      </c>
      <c r="G399" s="1">
        <f>[3]awpc!G393</f>
        <v>0</v>
      </c>
    </row>
    <row r="400" spans="1:7" x14ac:dyDescent="0.25">
      <c r="A400" s="1">
        <f>[3]awpc!A394</f>
        <v>0</v>
      </c>
      <c r="B400" s="1">
        <f>[3]awpc!B394</f>
        <v>0</v>
      </c>
      <c r="C400" s="5">
        <f>[3]awpc!C394</f>
        <v>0</v>
      </c>
      <c r="D400" s="5">
        <f>[3]awpc!D394</f>
        <v>0</v>
      </c>
      <c r="E400" s="1">
        <f>[3]awpc!E394</f>
        <v>0</v>
      </c>
      <c r="F400" s="6">
        <f>[3]awpc!F394</f>
        <v>0</v>
      </c>
      <c r="G400" s="1">
        <f>[3]awpc!G394</f>
        <v>0</v>
      </c>
    </row>
    <row r="401" spans="1:7" x14ac:dyDescent="0.25">
      <c r="A401" s="1">
        <f>[3]awpc!A395</f>
        <v>0</v>
      </c>
      <c r="B401" s="1">
        <f>[3]awpc!B395</f>
        <v>0</v>
      </c>
      <c r="C401" s="5">
        <f>[3]awpc!C395</f>
        <v>0</v>
      </c>
      <c r="D401" s="5">
        <f>[3]awpc!D395</f>
        <v>0</v>
      </c>
      <c r="E401" s="1">
        <f>[3]awpc!E395</f>
        <v>0</v>
      </c>
      <c r="F401" s="6">
        <f>[3]awpc!F395</f>
        <v>0</v>
      </c>
      <c r="G401" s="1">
        <f>[3]awpc!G395</f>
        <v>0</v>
      </c>
    </row>
    <row r="402" spans="1:7" x14ac:dyDescent="0.25">
      <c r="A402" s="1">
        <f>[3]awpc!A396</f>
        <v>0</v>
      </c>
      <c r="B402" s="1">
        <f>[3]awpc!B396</f>
        <v>0</v>
      </c>
      <c r="C402" s="5">
        <f>[3]awpc!C396</f>
        <v>0</v>
      </c>
      <c r="D402" s="5">
        <f>[3]awpc!D396</f>
        <v>0</v>
      </c>
      <c r="E402" s="1">
        <f>[3]awpc!E396</f>
        <v>0</v>
      </c>
      <c r="F402" s="6">
        <f>[3]awpc!F396</f>
        <v>0</v>
      </c>
      <c r="G402" s="1">
        <f>[3]awpc!G396</f>
        <v>0</v>
      </c>
    </row>
    <row r="403" spans="1:7" x14ac:dyDescent="0.25">
      <c r="A403" s="1">
        <f>[3]awpc!A397</f>
        <v>0</v>
      </c>
      <c r="B403" s="1">
        <f>[3]awpc!B397</f>
        <v>0</v>
      </c>
      <c r="C403" s="5">
        <f>[3]awpc!C397</f>
        <v>0</v>
      </c>
      <c r="D403" s="5">
        <f>[3]awpc!D397</f>
        <v>0</v>
      </c>
      <c r="E403" s="1">
        <f>[3]awpc!E397</f>
        <v>0</v>
      </c>
      <c r="F403" s="6">
        <f>[3]awpc!F397</f>
        <v>0</v>
      </c>
      <c r="G403" s="1">
        <f>[3]awpc!G397</f>
        <v>0</v>
      </c>
    </row>
    <row r="404" spans="1:7" x14ac:dyDescent="0.25">
      <c r="A404" s="1">
        <f>[3]awpc!A398</f>
        <v>0</v>
      </c>
      <c r="B404" s="1">
        <f>[3]awpc!B398</f>
        <v>0</v>
      </c>
      <c r="C404" s="5">
        <f>[3]awpc!C398</f>
        <v>0</v>
      </c>
      <c r="D404" s="5">
        <f>[3]awpc!D398</f>
        <v>0</v>
      </c>
      <c r="E404" s="1">
        <f>[3]awpc!E398</f>
        <v>0</v>
      </c>
      <c r="F404" s="6">
        <f>[3]awpc!F398</f>
        <v>0</v>
      </c>
      <c r="G404" s="1">
        <f>[3]awpc!G398</f>
        <v>0</v>
      </c>
    </row>
    <row r="406" spans="1:7" x14ac:dyDescent="0.25">
      <c r="A406" s="1" t="s">
        <v>1</v>
      </c>
    </row>
    <row r="407" spans="1:7" x14ac:dyDescent="0.25">
      <c r="A407" s="1" t="s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"/>
  <sheetViews>
    <sheetView workbookViewId="0"/>
  </sheetViews>
  <sheetFormatPr defaultRowHeight="15" x14ac:dyDescent="0.25"/>
  <cols>
    <col min="1" max="1" width="9.140625" style="1"/>
    <col min="3" max="3" width="23.7109375" customWidth="1"/>
    <col min="4" max="4" width="6.7109375" customWidth="1"/>
    <col min="5" max="5" width="9.5703125" customWidth="1"/>
    <col min="6" max="6" width="11.28515625" style="8" customWidth="1"/>
    <col min="7" max="7" width="17.140625" customWidth="1"/>
  </cols>
  <sheetData>
    <row r="1" spans="1:7" ht="23.25" x14ac:dyDescent="0.35">
      <c r="B1" s="1">
        <v>4</v>
      </c>
      <c r="C1" s="2"/>
      <c r="D1" s="2"/>
      <c r="G1" s="3"/>
    </row>
    <row r="2" spans="1:7" x14ac:dyDescent="0.25">
      <c r="A2" s="1">
        <v>4</v>
      </c>
      <c r="B2" s="1"/>
      <c r="G2" s="3"/>
    </row>
    <row r="3" spans="1:7" s="1" customFormat="1" x14ac:dyDescent="0.25">
      <c r="F3" s="9"/>
      <c r="G3" s="4"/>
    </row>
    <row r="4" spans="1:7" x14ac:dyDescent="0.25">
      <c r="B4" s="1"/>
      <c r="G4" s="3"/>
    </row>
    <row r="5" spans="1:7" x14ac:dyDescent="0.25">
      <c r="B5" s="1"/>
      <c r="G5" s="3"/>
    </row>
    <row r="6" spans="1:7" s="25" customFormat="1" ht="21" x14ac:dyDescent="0.35">
      <c r="A6" s="43"/>
      <c r="B6" s="25" t="str">
        <f>'[4]BP-Wom'!B1</f>
        <v xml:space="preserve"> AWPC BP Raw  - Europe</v>
      </c>
      <c r="F6" s="44"/>
      <c r="G6" s="45"/>
    </row>
    <row r="7" spans="1:7" x14ac:dyDescent="0.25">
      <c r="C7">
        <f>'[4]BP-Wom'!C1</f>
        <v>0</v>
      </c>
      <c r="E7">
        <f>'[4]BP-Wom'!D1</f>
        <v>0</v>
      </c>
      <c r="F7" s="8">
        <f>'[4]BP-Wom'!E1</f>
        <v>0</v>
      </c>
      <c r="G7">
        <f>'[4]BP-Wom'!F1</f>
        <v>0</v>
      </c>
    </row>
    <row r="8" spans="1:7" s="11" customFormat="1" x14ac:dyDescent="0.25">
      <c r="A8" s="22" t="s">
        <v>0</v>
      </c>
      <c r="B8" s="11">
        <v>0</v>
      </c>
      <c r="C8" s="11">
        <v>13</v>
      </c>
      <c r="D8" s="11" t="str">
        <f>'[4]BP-Wom'!B2</f>
        <v>T1 13-15</v>
      </c>
      <c r="F8" s="12"/>
    </row>
    <row r="9" spans="1:7" x14ac:dyDescent="0.25">
      <c r="A9" s="1">
        <f>'[4]BP-Wom'!A3</f>
        <v>44</v>
      </c>
      <c r="B9">
        <f>'[4]BP-Wom'!B3</f>
        <v>57.5</v>
      </c>
      <c r="C9" t="str">
        <f>'[4]BP-Wom'!C3</f>
        <v>Dluzhnevskaya Vladislava/2000</v>
      </c>
      <c r="E9" t="str">
        <f>'[4]BP-Wom'!D3</f>
        <v>RUS</v>
      </c>
      <c r="F9" s="8">
        <f>'[4]BP-Wom'!E3</f>
        <v>40814</v>
      </c>
      <c r="G9" t="str">
        <f>'[4]BP-Wom'!F3</f>
        <v>Yekaterinbourgh</v>
      </c>
    </row>
    <row r="10" spans="1:7" x14ac:dyDescent="0.25">
      <c r="A10" s="1">
        <f>'[4]BP-Wom'!A4</f>
        <v>48</v>
      </c>
      <c r="B10">
        <f>'[4]BP-Wom'!B4</f>
        <v>65</v>
      </c>
      <c r="C10" t="str">
        <f>'[4]BP-Wom'!C4</f>
        <v>Dluzhnevskaya Vladislava/2000</v>
      </c>
      <c r="D10" t="str">
        <f>RIGHT(C10,2)</f>
        <v>00</v>
      </c>
      <c r="E10" t="str">
        <f>'[4]BP-Wom'!D4</f>
        <v>RUS</v>
      </c>
      <c r="F10" s="8">
        <f>'[4]BP-Wom'!E4</f>
        <v>41216</v>
      </c>
      <c r="G10" t="str">
        <f>'[4]BP-Wom'!F4</f>
        <v>Vologda</v>
      </c>
    </row>
    <row r="11" spans="1:7" x14ac:dyDescent="0.25">
      <c r="A11" s="1">
        <f>'[4]BP-Wom'!A5</f>
        <v>52</v>
      </c>
      <c r="B11">
        <f>'[4]BP-Wom'!B5</f>
        <v>45</v>
      </c>
      <c r="C11" t="str">
        <f>'[4]BP-Wom'!C5</f>
        <v>Bener Yekaterina/97</v>
      </c>
      <c r="D11" t="str">
        <f t="shared" ref="D11:D74" si="0">RIGHT(C11,2)</f>
        <v>97</v>
      </c>
      <c r="E11" t="str">
        <f>'[4]BP-Wom'!D5</f>
        <v>RUS</v>
      </c>
      <c r="F11" s="8">
        <f>'[4]BP-Wom'!E5</f>
        <v>40983</v>
      </c>
      <c r="G11" t="str">
        <f>'[4]BP-Wom'!F5</f>
        <v>Yekaterinbourgh</v>
      </c>
    </row>
    <row r="12" spans="1:7" x14ac:dyDescent="0.25">
      <c r="A12" s="1">
        <f>'[4]BP-Wom'!A6</f>
        <v>56</v>
      </c>
      <c r="B12">
        <f>'[4]BP-Wom'!B6</f>
        <v>60</v>
      </c>
      <c r="C12" t="str">
        <f>'[4]BP-Wom'!C6</f>
        <v>Maximova Anastasiya/94</v>
      </c>
      <c r="D12" t="str">
        <f t="shared" si="0"/>
        <v>94</v>
      </c>
      <c r="E12" t="str">
        <f>'[4]BP-Wom'!D6</f>
        <v>RUS</v>
      </c>
      <c r="F12" s="8">
        <f>'[4]BP-Wom'!E6</f>
        <v>40257</v>
      </c>
      <c r="G12" t="str">
        <f>'[4]BP-Wom'!F6</f>
        <v>Kursk</v>
      </c>
    </row>
    <row r="13" spans="1:7" x14ac:dyDescent="0.25">
      <c r="A13" s="1">
        <f>'[4]BP-Wom'!A7</f>
        <v>60</v>
      </c>
      <c r="B13">
        <f>'[4]BP-Wom'!B7</f>
        <v>0</v>
      </c>
      <c r="C13">
        <f>'[4]BP-Wom'!C7</f>
        <v>0</v>
      </c>
      <c r="D13" t="str">
        <f t="shared" si="0"/>
        <v>0</v>
      </c>
      <c r="E13">
        <f>'[4]BP-Wom'!D7</f>
        <v>0</v>
      </c>
      <c r="F13" s="8">
        <f>'[4]BP-Wom'!E7</f>
        <v>0</v>
      </c>
      <c r="G13">
        <f>'[4]BP-Wom'!F7</f>
        <v>0</v>
      </c>
    </row>
    <row r="14" spans="1:7" x14ac:dyDescent="0.25">
      <c r="A14" s="1">
        <f>'[4]BP-Wom'!A8</f>
        <v>67.5</v>
      </c>
      <c r="B14">
        <f>'[4]BP-Wom'!B8</f>
        <v>55</v>
      </c>
      <c r="C14" t="str">
        <f>'[4]BP-Wom'!C8</f>
        <v>Shinkareva,Yelizaveta98</v>
      </c>
      <c r="D14" t="str">
        <f t="shared" si="0"/>
        <v>98</v>
      </c>
      <c r="E14" t="str">
        <f>'[4]BP-Wom'!D8</f>
        <v>RUS</v>
      </c>
      <c r="F14" s="8">
        <f>'[4]BP-Wom'!E8</f>
        <v>41019</v>
      </c>
      <c r="G14" t="str">
        <f>'[4]BP-Wom'!F8</f>
        <v>Rostov</v>
      </c>
    </row>
    <row r="15" spans="1:7" x14ac:dyDescent="0.25">
      <c r="A15" s="1">
        <f>'[4]BP-Wom'!A9</f>
        <v>75</v>
      </c>
      <c r="B15">
        <f>'[4]BP-Wom'!B9</f>
        <v>0</v>
      </c>
      <c r="C15">
        <f>'[4]BP-Wom'!C9</f>
        <v>0</v>
      </c>
      <c r="D15" t="str">
        <f t="shared" si="0"/>
        <v>0</v>
      </c>
      <c r="E15">
        <f>'[4]BP-Wom'!D9</f>
        <v>0</v>
      </c>
      <c r="F15" s="8">
        <f>'[4]BP-Wom'!E9</f>
        <v>0</v>
      </c>
      <c r="G15">
        <f>'[4]BP-Wom'!F9</f>
        <v>0</v>
      </c>
    </row>
    <row r="16" spans="1:7" x14ac:dyDescent="0.25">
      <c r="A16" s="1">
        <f>'[4]BP-Wom'!A10</f>
        <v>82.5</v>
      </c>
      <c r="B16">
        <f>'[4]BP-Wom'!B10</f>
        <v>35</v>
      </c>
      <c r="C16" t="str">
        <f>'[4]BP-Wom'!C10</f>
        <v>Adiyak Yekaterina/97</v>
      </c>
      <c r="D16" t="str">
        <f t="shared" si="0"/>
        <v>97</v>
      </c>
      <c r="E16" t="str">
        <f>'[4]BP-Wom'!D10</f>
        <v>RUS</v>
      </c>
      <c r="F16" s="8">
        <f>'[4]BP-Wom'!E10</f>
        <v>40814</v>
      </c>
      <c r="G16" t="str">
        <f>'[4]BP-Wom'!F10</f>
        <v>Yekaterinbourgh</v>
      </c>
    </row>
    <row r="17" spans="1:7" x14ac:dyDescent="0.25">
      <c r="A17" s="1">
        <f>'[4]BP-Wom'!A11</f>
        <v>90</v>
      </c>
      <c r="B17">
        <f>'[4]BP-Wom'!B11</f>
        <v>0</v>
      </c>
      <c r="C17">
        <f>'[4]BP-Wom'!C11</f>
        <v>0</v>
      </c>
      <c r="D17" t="str">
        <f t="shared" si="0"/>
        <v>0</v>
      </c>
      <c r="E17">
        <f>'[4]BP-Wom'!D11</f>
        <v>0</v>
      </c>
      <c r="F17" s="8">
        <f>'[4]BP-Wom'!E11</f>
        <v>0</v>
      </c>
      <c r="G17">
        <f>'[4]BP-Wom'!F11</f>
        <v>0</v>
      </c>
    </row>
    <row r="18" spans="1:7" x14ac:dyDescent="0.25">
      <c r="A18" s="1" t="str">
        <f>'[4]BP-Wom'!A12</f>
        <v>90+</v>
      </c>
      <c r="B18">
        <f>'[4]BP-Wom'!B12</f>
        <v>42.5</v>
      </c>
      <c r="C18" t="str">
        <f>'[4]BP-Wom'!C12</f>
        <v>Abtukh Yekaterina/2000</v>
      </c>
      <c r="D18" t="str">
        <f t="shared" si="0"/>
        <v>00</v>
      </c>
      <c r="E18" t="str">
        <f>'[4]BP-Wom'!D12</f>
        <v>RUS</v>
      </c>
      <c r="F18" s="8" t="str">
        <f>'[4]BP-Wom'!E12</f>
        <v>03.07.2014</v>
      </c>
      <c r="G18" t="str">
        <f>'[4]BP-Wom'!F12</f>
        <v>Novosibirsk</v>
      </c>
    </row>
    <row r="19" spans="1:7" x14ac:dyDescent="0.25">
      <c r="B19">
        <f>'[4]BP-Wom'!B13</f>
        <v>0</v>
      </c>
      <c r="C19">
        <f>'[4]BP-Wom'!C13</f>
        <v>0</v>
      </c>
      <c r="D19" t="str">
        <f t="shared" si="0"/>
        <v>0</v>
      </c>
      <c r="E19">
        <f>'[4]BP-Wom'!D13</f>
        <v>0</v>
      </c>
      <c r="F19" s="8">
        <f>'[4]BP-Wom'!E13</f>
        <v>0</v>
      </c>
      <c r="G19">
        <f>'[4]BP-Wom'!F13</f>
        <v>0</v>
      </c>
    </row>
    <row r="20" spans="1:7" s="11" customFormat="1" x14ac:dyDescent="0.25">
      <c r="A20" s="22" t="s">
        <v>0</v>
      </c>
      <c r="B20" s="11">
        <v>0</v>
      </c>
      <c r="C20" s="11">
        <v>16</v>
      </c>
      <c r="D20" s="11" t="str">
        <f>'[4]BP-Wom'!B14</f>
        <v>T2 16-17</v>
      </c>
      <c r="F20" s="12"/>
    </row>
    <row r="21" spans="1:7" x14ac:dyDescent="0.25">
      <c r="A21" s="1">
        <f>'[4]BP-Wom'!A15</f>
        <v>44</v>
      </c>
      <c r="B21">
        <f>'[4]BP-Wom'!B15</f>
        <v>0</v>
      </c>
      <c r="C21">
        <f>'[4]BP-Wom'!C15</f>
        <v>0</v>
      </c>
      <c r="D21" t="str">
        <f t="shared" si="0"/>
        <v>0</v>
      </c>
      <c r="E21">
        <f>'[4]BP-Wom'!D15</f>
        <v>0</v>
      </c>
      <c r="F21" s="8">
        <f>'[4]BP-Wom'!E15</f>
        <v>0</v>
      </c>
      <c r="G21">
        <f>'[4]BP-Wom'!F15</f>
        <v>0</v>
      </c>
    </row>
    <row r="22" spans="1:7" x14ac:dyDescent="0.25">
      <c r="A22" s="1">
        <f>'[4]BP-Wom'!A16</f>
        <v>48</v>
      </c>
      <c r="B22">
        <f>'[4]BP-Wom'!B16</f>
        <v>52.5</v>
      </c>
      <c r="C22" t="str">
        <f>'[4]BP-Wom'!C16</f>
        <v>Fatyukhina Svetlana/94</v>
      </c>
      <c r="D22" t="str">
        <f t="shared" si="0"/>
        <v>94</v>
      </c>
      <c r="E22" t="str">
        <f>'[4]BP-Wom'!D16</f>
        <v>RUS</v>
      </c>
      <c r="F22" s="8">
        <f>'[4]BP-Wom'!E16</f>
        <v>40769</v>
      </c>
      <c r="G22" t="str">
        <f>'[4]BP-Wom'!F16</f>
        <v>Kursk</v>
      </c>
    </row>
    <row r="23" spans="1:7" x14ac:dyDescent="0.25">
      <c r="A23" s="1">
        <f>'[4]BP-Wom'!A17</f>
        <v>52</v>
      </c>
      <c r="B23">
        <f>'[4]BP-Wom'!B17</f>
        <v>57.5</v>
      </c>
      <c r="C23" t="str">
        <f>'[4]BP-Wom'!C17</f>
        <v>Isakova Olga/94</v>
      </c>
      <c r="D23" t="str">
        <f t="shared" si="0"/>
        <v>94</v>
      </c>
      <c r="E23" t="str">
        <f>'[4]BP-Wom'!D17</f>
        <v>RUS</v>
      </c>
      <c r="F23" s="8">
        <f>'[4]BP-Wom'!E17</f>
        <v>40409</v>
      </c>
      <c r="G23" t="str">
        <f>'[4]BP-Wom'!F17</f>
        <v>Moscow</v>
      </c>
    </row>
    <row r="24" spans="1:7" x14ac:dyDescent="0.25">
      <c r="A24" s="1">
        <f>'[4]BP-Wom'!A18</f>
        <v>56</v>
      </c>
      <c r="B24">
        <f>'[4]BP-Wom'!B18</f>
        <v>52.5</v>
      </c>
      <c r="C24" t="str">
        <f>'[4]BP-Wom'!C18</f>
        <v>Skopina Alisa/90</v>
      </c>
      <c r="D24" t="str">
        <f t="shared" si="0"/>
        <v>90</v>
      </c>
      <c r="E24" t="str">
        <f>'[4]BP-Wom'!D18</f>
        <v>RUS</v>
      </c>
      <c r="F24" s="8">
        <f>'[4]BP-Wom'!E18</f>
        <v>39528</v>
      </c>
      <c r="G24" t="str">
        <f>'[4]BP-Wom'!F18</f>
        <v>Rostov</v>
      </c>
    </row>
    <row r="25" spans="1:7" x14ac:dyDescent="0.25">
      <c r="A25" s="1">
        <f>'[4]BP-Wom'!A19</f>
        <v>60</v>
      </c>
      <c r="B25">
        <f>'[4]BP-Wom'!B19</f>
        <v>67.5</v>
      </c>
      <c r="C25" t="str">
        <f>'[4]BP-Wom'!C19</f>
        <v>Shinkareva Yelizaveta/98</v>
      </c>
      <c r="D25" t="str">
        <f t="shared" si="0"/>
        <v>98</v>
      </c>
      <c r="E25" t="str">
        <f>'[4]BP-Wom'!D19</f>
        <v>RUS</v>
      </c>
      <c r="F25" s="8" t="str">
        <f>'[4]BP-Wom'!E19</f>
        <v>03.07.2014</v>
      </c>
      <c r="G25" t="str">
        <f>'[4]BP-Wom'!F19</f>
        <v>Novosibirsk</v>
      </c>
    </row>
    <row r="26" spans="1:7" x14ac:dyDescent="0.25">
      <c r="A26" s="1">
        <f>'[4]BP-Wom'!A20</f>
        <v>67.5</v>
      </c>
      <c r="B26">
        <f>'[4]BP-Wom'!B20</f>
        <v>50</v>
      </c>
      <c r="C26" t="str">
        <f>'[4]BP-Wom'!C20</f>
        <v>Teryasova Olga/96</v>
      </c>
      <c r="D26" t="str">
        <f t="shared" si="0"/>
        <v>96</v>
      </c>
      <c r="E26" t="str">
        <f>'[4]BP-Wom'!D20</f>
        <v>RUS</v>
      </c>
      <c r="F26" s="8" t="str">
        <f>'[4]BP-Wom'!E20</f>
        <v>19.04.2014</v>
      </c>
      <c r="G26" t="str">
        <f>'[4]BP-Wom'!F20</f>
        <v>Krasnodar</v>
      </c>
    </row>
    <row r="27" spans="1:7" x14ac:dyDescent="0.25">
      <c r="A27" s="1">
        <f>'[4]BP-Wom'!A21</f>
        <v>75</v>
      </c>
      <c r="B27">
        <f>'[4]BP-Wom'!B21</f>
        <v>0</v>
      </c>
      <c r="C27">
        <f>'[4]BP-Wom'!C21</f>
        <v>0</v>
      </c>
      <c r="D27" t="str">
        <f t="shared" si="0"/>
        <v>0</v>
      </c>
      <c r="E27">
        <f>'[4]BP-Wom'!D21</f>
        <v>0</v>
      </c>
      <c r="F27" s="8">
        <f>'[4]BP-Wom'!E21</f>
        <v>0</v>
      </c>
      <c r="G27">
        <f>'[4]BP-Wom'!F21</f>
        <v>0</v>
      </c>
    </row>
    <row r="28" spans="1:7" x14ac:dyDescent="0.25">
      <c r="A28" s="1">
        <f>'[4]BP-Wom'!A22</f>
        <v>82.5</v>
      </c>
      <c r="B28">
        <f>'[4]BP-Wom'!B22</f>
        <v>0</v>
      </c>
      <c r="C28">
        <f>'[4]BP-Wom'!C22</f>
        <v>0</v>
      </c>
      <c r="D28" t="str">
        <f t="shared" si="0"/>
        <v>0</v>
      </c>
      <c r="E28">
        <f>'[4]BP-Wom'!D22</f>
        <v>0</v>
      </c>
      <c r="F28" s="8">
        <f>'[4]BP-Wom'!E22</f>
        <v>0</v>
      </c>
      <c r="G28">
        <f>'[4]BP-Wom'!F22</f>
        <v>0</v>
      </c>
    </row>
    <row r="29" spans="1:7" x14ac:dyDescent="0.25">
      <c r="A29" s="1">
        <f>'[4]BP-Wom'!A23</f>
        <v>90</v>
      </c>
      <c r="B29">
        <f>'[4]BP-Wom'!B23</f>
        <v>0</v>
      </c>
      <c r="C29">
        <f>'[4]BP-Wom'!C23</f>
        <v>0</v>
      </c>
      <c r="D29" t="str">
        <f t="shared" si="0"/>
        <v>0</v>
      </c>
      <c r="E29">
        <f>'[4]BP-Wom'!D23</f>
        <v>0</v>
      </c>
      <c r="F29" s="8">
        <f>'[4]BP-Wom'!E23</f>
        <v>0</v>
      </c>
      <c r="G29">
        <f>'[4]BP-Wom'!F23</f>
        <v>0</v>
      </c>
    </row>
    <row r="30" spans="1:7" x14ac:dyDescent="0.25">
      <c r="A30" s="1" t="str">
        <f>'[4]BP-Wom'!A24</f>
        <v>90+</v>
      </c>
      <c r="B30">
        <f>'[4]BP-Wom'!B24</f>
        <v>0</v>
      </c>
      <c r="C30">
        <f>'[4]BP-Wom'!C24</f>
        <v>0</v>
      </c>
      <c r="D30" t="str">
        <f t="shared" si="0"/>
        <v>0</v>
      </c>
      <c r="E30">
        <f>'[4]BP-Wom'!D24</f>
        <v>0</v>
      </c>
      <c r="F30" s="8">
        <f>'[4]BP-Wom'!E24</f>
        <v>0</v>
      </c>
      <c r="G30">
        <f>'[4]BP-Wom'!F24</f>
        <v>0</v>
      </c>
    </row>
    <row r="31" spans="1:7" x14ac:dyDescent="0.25">
      <c r="B31">
        <f>'[4]BP-Wom'!B25</f>
        <v>0</v>
      </c>
      <c r="C31">
        <f>'[4]BP-Wom'!C25</f>
        <v>0</v>
      </c>
      <c r="D31" t="str">
        <f t="shared" si="0"/>
        <v>0</v>
      </c>
      <c r="E31">
        <f>'[4]BP-Wom'!D25</f>
        <v>0</v>
      </c>
      <c r="F31" s="8">
        <f>'[4]BP-Wom'!E25</f>
        <v>0</v>
      </c>
      <c r="G31">
        <f>'[4]BP-Wom'!F25</f>
        <v>0</v>
      </c>
    </row>
    <row r="32" spans="1:7" s="11" customFormat="1" x14ac:dyDescent="0.25">
      <c r="A32" s="22" t="s">
        <v>0</v>
      </c>
      <c r="B32" s="11">
        <v>0</v>
      </c>
      <c r="C32" s="11">
        <v>18</v>
      </c>
      <c r="D32" s="11" t="str">
        <f>'[4]BP-Wom'!B26</f>
        <v>T3 18-19</v>
      </c>
      <c r="F32" s="12"/>
    </row>
    <row r="33" spans="1:7" x14ac:dyDescent="0.25">
      <c r="A33" s="1">
        <f>'[4]BP-Wom'!A27</f>
        <v>44</v>
      </c>
      <c r="B33">
        <f>'[4]BP-Wom'!B27</f>
        <v>50.5</v>
      </c>
      <c r="C33" t="str">
        <f>'[4]BP-Wom'!C27</f>
        <v>Vasylchenko Anastasiya/92</v>
      </c>
      <c r="D33" t="str">
        <f t="shared" si="0"/>
        <v>92</v>
      </c>
      <c r="E33" t="str">
        <f>'[4]BP-Wom'!D27</f>
        <v>UKR</v>
      </c>
      <c r="F33" s="8">
        <f>'[4]BP-Wom'!E27</f>
        <v>41128</v>
      </c>
      <c r="G33" t="str">
        <f>'[4]BP-Wom'!F27</f>
        <v>Kryvyi Rig</v>
      </c>
    </row>
    <row r="34" spans="1:7" x14ac:dyDescent="0.25">
      <c r="A34" s="1">
        <f>'[4]BP-Wom'!A28</f>
        <v>48</v>
      </c>
      <c r="B34">
        <f>'[4]BP-Wom'!B28</f>
        <v>50</v>
      </c>
      <c r="C34" t="str">
        <f>'[4]BP-Wom'!C28</f>
        <v>Lapshova Mariya/91</v>
      </c>
      <c r="D34" t="str">
        <f t="shared" si="0"/>
        <v>91</v>
      </c>
      <c r="E34" t="str">
        <f>'[4]BP-Wom'!D28</f>
        <v>RUS</v>
      </c>
      <c r="F34" s="8">
        <f>'[4]BP-Wom'!E28</f>
        <v>40522</v>
      </c>
      <c r="G34" t="str">
        <f>'[4]BP-Wom'!F28</f>
        <v>Kursk</v>
      </c>
    </row>
    <row r="35" spans="1:7" x14ac:dyDescent="0.25">
      <c r="A35" s="1">
        <f>'[4]BP-Wom'!A29</f>
        <v>52</v>
      </c>
      <c r="B35">
        <f>'[4]BP-Wom'!B29</f>
        <v>72.5</v>
      </c>
      <c r="C35" t="str">
        <f>'[4]BP-Wom'!C29</f>
        <v>Kumuts Svetlana/95</v>
      </c>
      <c r="D35" t="str">
        <f t="shared" si="0"/>
        <v>95</v>
      </c>
      <c r="E35" t="str">
        <f>'[4]BP-Wom'!D29</f>
        <v>RUS</v>
      </c>
      <c r="F35" s="8">
        <f>'[4]BP-Wom'!E29</f>
        <v>41321</v>
      </c>
      <c r="G35" t="str">
        <f>'[4]BP-Wom'!F29</f>
        <v>Yekaterinburg</v>
      </c>
    </row>
    <row r="36" spans="1:7" x14ac:dyDescent="0.25">
      <c r="A36" s="1">
        <f>'[4]BP-Wom'!A30</f>
        <v>56</v>
      </c>
      <c r="B36">
        <f>'[4]BP-Wom'!B30</f>
        <v>57.5</v>
      </c>
      <c r="C36" t="str">
        <f>'[4]BP-Wom'!C30</f>
        <v>Reutova Nadezhda/93</v>
      </c>
      <c r="D36" t="str">
        <f t="shared" si="0"/>
        <v>93</v>
      </c>
      <c r="E36" t="str">
        <f>'[4]BP-Wom'!D30</f>
        <v>RUS</v>
      </c>
      <c r="F36" s="8">
        <f>'[4]BP-Wom'!E30</f>
        <v>40640</v>
      </c>
      <c r="G36" t="str">
        <f>'[4]BP-Wom'!F30</f>
        <v>Chelyabinsk</v>
      </c>
    </row>
    <row r="37" spans="1:7" x14ac:dyDescent="0.25">
      <c r="A37" s="1">
        <f>'[4]BP-Wom'!A31</f>
        <v>60</v>
      </c>
      <c r="B37">
        <f>'[4]BP-Wom'!B31</f>
        <v>62.5</v>
      </c>
      <c r="C37" t="str">
        <f>'[4]BP-Wom'!C31</f>
        <v>Khramtsova Anastasiya/96</v>
      </c>
      <c r="D37" t="str">
        <f t="shared" si="0"/>
        <v>96</v>
      </c>
      <c r="E37" t="str">
        <f>'[4]BP-Wom'!D31</f>
        <v>RUS</v>
      </c>
      <c r="F37" s="8" t="str">
        <f>'[4]BP-Wom'!E31</f>
        <v>09.08.2014</v>
      </c>
      <c r="G37" t="str">
        <f>'[4]BP-Wom'!F31</f>
        <v>Yekaterinburg</v>
      </c>
    </row>
    <row r="38" spans="1:7" x14ac:dyDescent="0.25">
      <c r="A38" s="1">
        <f>'[4]BP-Wom'!A32</f>
        <v>67.5</v>
      </c>
      <c r="B38">
        <f>'[4]BP-Wom'!B32</f>
        <v>68</v>
      </c>
      <c r="C38" t="str">
        <f>'[4]BP-Wom'!C32</f>
        <v>Karpovich Yevgeniya/95</v>
      </c>
      <c r="D38" t="str">
        <f t="shared" si="0"/>
        <v>95</v>
      </c>
      <c r="E38" t="str">
        <f>'[4]BP-Wom'!D32</f>
        <v>UKR</v>
      </c>
      <c r="F38" s="8">
        <f>'[4]BP-Wom'!E32</f>
        <v>41552</v>
      </c>
      <c r="G38" t="str">
        <f>'[4]BP-Wom'!F32</f>
        <v>Kryvyi Rig</v>
      </c>
    </row>
    <row r="39" spans="1:7" x14ac:dyDescent="0.25">
      <c r="A39" s="1">
        <f>'[4]BP-Wom'!A33</f>
        <v>75</v>
      </c>
      <c r="B39">
        <f>'[4]BP-Wom'!B33</f>
        <v>72.5</v>
      </c>
      <c r="C39" t="str">
        <f>'[4]BP-Wom'!C33</f>
        <v>Apal'kova Evelina/93</v>
      </c>
      <c r="D39" t="str">
        <f t="shared" si="0"/>
        <v>93</v>
      </c>
      <c r="E39" t="str">
        <f>'[4]BP-Wom'!D33</f>
        <v>RUS</v>
      </c>
      <c r="F39" s="8">
        <f>'[4]BP-Wom'!E33</f>
        <v>41137</v>
      </c>
      <c r="G39" t="str">
        <f>'[4]BP-Wom'!F33</f>
        <v>Novosibirsk</v>
      </c>
    </row>
    <row r="40" spans="1:7" x14ac:dyDescent="0.25">
      <c r="A40" s="1">
        <f>'[4]BP-Wom'!A34</f>
        <v>82.5</v>
      </c>
      <c r="B40">
        <f>'[4]BP-Wom'!B34</f>
        <v>0</v>
      </c>
      <c r="C40">
        <f>'[4]BP-Wom'!C34</f>
        <v>0</v>
      </c>
      <c r="D40" t="str">
        <f t="shared" si="0"/>
        <v>0</v>
      </c>
      <c r="E40">
        <f>'[4]BP-Wom'!D34</f>
        <v>0</v>
      </c>
      <c r="F40" s="8">
        <f>'[4]BP-Wom'!E34</f>
        <v>0</v>
      </c>
      <c r="G40">
        <f>'[4]BP-Wom'!F34</f>
        <v>0</v>
      </c>
    </row>
    <row r="41" spans="1:7" x14ac:dyDescent="0.25">
      <c r="A41" s="1">
        <f>'[4]BP-Wom'!A35</f>
        <v>90</v>
      </c>
      <c r="B41">
        <f>'[4]BP-Wom'!B35</f>
        <v>0</v>
      </c>
      <c r="C41">
        <f>'[4]BP-Wom'!C35</f>
        <v>0</v>
      </c>
      <c r="D41" t="str">
        <f t="shared" si="0"/>
        <v>0</v>
      </c>
      <c r="E41">
        <f>'[4]BP-Wom'!D35</f>
        <v>0</v>
      </c>
      <c r="F41" s="8">
        <f>'[4]BP-Wom'!E35</f>
        <v>0</v>
      </c>
      <c r="G41">
        <f>'[4]BP-Wom'!F35</f>
        <v>0</v>
      </c>
    </row>
    <row r="42" spans="1:7" x14ac:dyDescent="0.25">
      <c r="A42" s="1" t="str">
        <f>'[4]BP-Wom'!A36</f>
        <v>90+</v>
      </c>
      <c r="B42">
        <f>'[4]BP-Wom'!B36</f>
        <v>55</v>
      </c>
      <c r="C42" t="str">
        <f>'[4]BP-Wom'!C36</f>
        <v>Volkhina Polina/91</v>
      </c>
      <c r="D42" t="str">
        <f t="shared" si="0"/>
        <v>91</v>
      </c>
      <c r="E42" t="str">
        <f>'[4]BP-Wom'!D36</f>
        <v>RUS</v>
      </c>
      <c r="F42" s="8">
        <f>'[4]BP-Wom'!E36</f>
        <v>40640</v>
      </c>
      <c r="G42" t="str">
        <f>'[4]BP-Wom'!F36</f>
        <v>Chelyabinsk</v>
      </c>
    </row>
    <row r="43" spans="1:7" x14ac:dyDescent="0.25">
      <c r="B43">
        <f>'[4]BP-Wom'!B37</f>
        <v>0</v>
      </c>
      <c r="C43">
        <f>'[4]BP-Wom'!C37</f>
        <v>0</v>
      </c>
      <c r="D43" t="str">
        <f t="shared" si="0"/>
        <v>0</v>
      </c>
      <c r="E43">
        <f>'[4]BP-Wom'!D37</f>
        <v>0</v>
      </c>
      <c r="F43" s="8">
        <f>'[4]BP-Wom'!E37</f>
        <v>0</v>
      </c>
      <c r="G43">
        <f>'[4]BP-Wom'!F37</f>
        <v>0</v>
      </c>
    </row>
    <row r="44" spans="1:7" s="11" customFormat="1" x14ac:dyDescent="0.25">
      <c r="A44" s="22" t="s">
        <v>0</v>
      </c>
      <c r="B44" s="11">
        <v>0</v>
      </c>
      <c r="C44" s="11">
        <v>20</v>
      </c>
      <c r="D44" s="11" t="str">
        <f>'[4]BP-Wom'!B38</f>
        <v>Junior 20-23</v>
      </c>
      <c r="F44" s="12"/>
    </row>
    <row r="45" spans="1:7" x14ac:dyDescent="0.25">
      <c r="A45" s="1">
        <f>'[4]BP-Wom'!A39</f>
        <v>44</v>
      </c>
      <c r="B45">
        <f>'[4]BP-Wom'!B39</f>
        <v>52.5</v>
      </c>
      <c r="C45" t="str">
        <f>'[4]BP-Wom'!C39</f>
        <v>Obrazumova Ekaterina/87</v>
      </c>
      <c r="D45" t="str">
        <f t="shared" si="0"/>
        <v>87</v>
      </c>
      <c r="E45" t="str">
        <f>'[4]BP-Wom'!D39</f>
        <v>RUS</v>
      </c>
      <c r="F45" s="8">
        <f>'[4]BP-Wom'!E39</f>
        <v>40409</v>
      </c>
      <c r="G45" t="str">
        <f>'[4]BP-Wom'!F39</f>
        <v>Moscow</v>
      </c>
    </row>
    <row r="46" spans="1:7" x14ac:dyDescent="0.25">
      <c r="A46" s="1">
        <f>'[4]BP-Wom'!A40</f>
        <v>48</v>
      </c>
      <c r="B46">
        <f>'[4]BP-Wom'!B40</f>
        <v>65</v>
      </c>
      <c r="C46" t="str">
        <f>'[4]BP-Wom'!C40</f>
        <v>Narenkova Yevgeniya/85</v>
      </c>
      <c r="D46" t="str">
        <f t="shared" si="0"/>
        <v>85</v>
      </c>
      <c r="E46" t="str">
        <f>'[4]BP-Wom'!D40</f>
        <v>RUS</v>
      </c>
      <c r="F46" s="8">
        <f>'[4]BP-Wom'!E40</f>
        <v>39871</v>
      </c>
      <c r="G46" t="str">
        <f>'[4]BP-Wom'!F40</f>
        <v>Chelyabinsk</v>
      </c>
    </row>
    <row r="47" spans="1:7" x14ac:dyDescent="0.25">
      <c r="A47" s="1">
        <f>'[4]BP-Wom'!A41</f>
        <v>52</v>
      </c>
      <c r="B47">
        <f>'[4]BP-Wom'!B41</f>
        <v>90</v>
      </c>
      <c r="C47" t="str">
        <f>'[4]BP-Wom'!C41</f>
        <v>Sokolenko Viktoriya/87</v>
      </c>
      <c r="D47" t="str">
        <f t="shared" si="0"/>
        <v>87</v>
      </c>
      <c r="E47" t="str">
        <f>'[4]BP-Wom'!D41</f>
        <v>UKR</v>
      </c>
      <c r="F47" s="8">
        <f>'[4]BP-Wom'!E41</f>
        <v>40628</v>
      </c>
      <c r="G47" t="str">
        <f>'[4]BP-Wom'!F41</f>
        <v>Kryvyi Rig</v>
      </c>
    </row>
    <row r="48" spans="1:7" x14ac:dyDescent="0.25">
      <c r="A48" s="1">
        <f>'[4]BP-Wom'!A42</f>
        <v>56</v>
      </c>
      <c r="B48">
        <f>'[4]BP-Wom'!B42</f>
        <v>77.5</v>
      </c>
      <c r="C48" t="str">
        <f>'[4]BP-Wom'!C42</f>
        <v>Sokolova Viktoriya/89</v>
      </c>
      <c r="D48" t="str">
        <f t="shared" si="0"/>
        <v>89</v>
      </c>
      <c r="E48" t="str">
        <f>'[4]BP-Wom'!D42</f>
        <v>UKR</v>
      </c>
      <c r="F48" s="8">
        <f>'[4]BP-Wom'!E42</f>
        <v>41370</v>
      </c>
      <c r="G48" t="str">
        <f>'[4]BP-Wom'!F42</f>
        <v>Kryvyi Rig</v>
      </c>
    </row>
    <row r="49" spans="1:7" x14ac:dyDescent="0.25">
      <c r="A49" s="1">
        <f>'[4]BP-Wom'!A43</f>
        <v>60</v>
      </c>
      <c r="B49">
        <f>'[4]BP-Wom'!B43</f>
        <v>82.5</v>
      </c>
      <c r="C49" t="str">
        <f>'[4]BP-Wom'!C43</f>
        <v>Yablonskaya Anastasiya/89</v>
      </c>
      <c r="D49" t="str">
        <f t="shared" si="0"/>
        <v>89</v>
      </c>
      <c r="E49" t="str">
        <f>'[4]BP-Wom'!D43</f>
        <v>RUS</v>
      </c>
      <c r="F49" s="8">
        <f>'[4]BP-Wom'!E43</f>
        <v>40409</v>
      </c>
      <c r="G49" t="str">
        <f>'[4]BP-Wom'!F43</f>
        <v>Moscow</v>
      </c>
    </row>
    <row r="50" spans="1:7" x14ac:dyDescent="0.25">
      <c r="A50" s="1">
        <f>'[4]BP-Wom'!A44</f>
        <v>67.5</v>
      </c>
      <c r="B50">
        <f>'[4]BP-Wom'!B44</f>
        <v>87.5</v>
      </c>
      <c r="C50" t="str">
        <f>'[4]BP-Wom'!C44</f>
        <v>Yablonskaya Anastasiya/89</v>
      </c>
      <c r="D50" t="str">
        <f t="shared" si="0"/>
        <v>89</v>
      </c>
      <c r="E50" t="str">
        <f>'[4]BP-Wom'!D44</f>
        <v>RUS</v>
      </c>
      <c r="F50" s="8">
        <f>'[4]BP-Wom'!E44</f>
        <v>40522</v>
      </c>
      <c r="G50" t="str">
        <f>'[4]BP-Wom'!F44</f>
        <v>Kursk</v>
      </c>
    </row>
    <row r="51" spans="1:7" x14ac:dyDescent="0.25">
      <c r="A51" s="1">
        <f>'[4]BP-Wom'!A45</f>
        <v>75</v>
      </c>
      <c r="B51">
        <f>'[4]BP-Wom'!B45</f>
        <v>77.5</v>
      </c>
      <c r="C51" t="str">
        <f>'[4]BP-Wom'!C45</f>
        <v>Selyaeva Darya/88</v>
      </c>
      <c r="D51" t="str">
        <f t="shared" si="0"/>
        <v>88</v>
      </c>
      <c r="E51" t="str">
        <f>'[4]BP-Wom'!D45</f>
        <v>RUS</v>
      </c>
      <c r="F51" s="8">
        <f>'[4]BP-Wom'!E45</f>
        <v>40409</v>
      </c>
      <c r="G51" t="str">
        <f>'[4]BP-Wom'!F45</f>
        <v>Moscow</v>
      </c>
    </row>
    <row r="52" spans="1:7" x14ac:dyDescent="0.25">
      <c r="A52" s="1">
        <f>'[4]BP-Wom'!A46</f>
        <v>82.5</v>
      </c>
      <c r="B52">
        <f>'[4]BP-Wom'!B46</f>
        <v>0</v>
      </c>
      <c r="C52">
        <f>'[4]BP-Wom'!C46</f>
        <v>0</v>
      </c>
      <c r="D52" t="str">
        <f t="shared" si="0"/>
        <v>0</v>
      </c>
      <c r="E52">
        <f>'[4]BP-Wom'!D46</f>
        <v>0</v>
      </c>
      <c r="F52" s="8">
        <f>'[4]BP-Wom'!E46</f>
        <v>0</v>
      </c>
      <c r="G52">
        <f>'[4]BP-Wom'!F46</f>
        <v>0</v>
      </c>
    </row>
    <row r="53" spans="1:7" x14ac:dyDescent="0.25">
      <c r="A53" s="1">
        <f>'[4]BP-Wom'!A47</f>
        <v>90</v>
      </c>
      <c r="B53">
        <f>'[4]BP-Wom'!B47</f>
        <v>0</v>
      </c>
      <c r="C53">
        <f>'[4]BP-Wom'!C47</f>
        <v>0</v>
      </c>
      <c r="D53" t="str">
        <f t="shared" si="0"/>
        <v>0</v>
      </c>
      <c r="E53">
        <f>'[4]BP-Wom'!D47</f>
        <v>0</v>
      </c>
      <c r="F53" s="8">
        <f>'[4]BP-Wom'!E47</f>
        <v>0</v>
      </c>
      <c r="G53">
        <f>'[4]BP-Wom'!F47</f>
        <v>0</v>
      </c>
    </row>
    <row r="54" spans="1:7" x14ac:dyDescent="0.25">
      <c r="A54" s="1" t="str">
        <f>'[4]BP-Wom'!A48</f>
        <v>90+</v>
      </c>
      <c r="B54">
        <f>'[4]BP-Wom'!B48</f>
        <v>80</v>
      </c>
      <c r="C54" t="str">
        <f>'[4]BP-Wom'!C48</f>
        <v>Tsarevskaya Yekaterina/90</v>
      </c>
      <c r="D54" t="str">
        <f t="shared" si="0"/>
        <v>90</v>
      </c>
      <c r="E54" t="str">
        <f>'[4]BP-Wom'!D48</f>
        <v>RUS</v>
      </c>
      <c r="F54" s="8">
        <f>'[4]BP-Wom'!E48</f>
        <v>41201</v>
      </c>
      <c r="G54" t="str">
        <f>'[4]BP-Wom'!F48</f>
        <v>Krasnodar</v>
      </c>
    </row>
    <row r="55" spans="1:7" x14ac:dyDescent="0.25">
      <c r="B55">
        <f>'[4]BP-Wom'!B49</f>
        <v>0</v>
      </c>
      <c r="C55">
        <f>'[4]BP-Wom'!C49</f>
        <v>0</v>
      </c>
      <c r="D55" t="str">
        <f t="shared" si="0"/>
        <v>0</v>
      </c>
      <c r="E55">
        <f>'[4]BP-Wom'!D49</f>
        <v>0</v>
      </c>
      <c r="F55" s="8">
        <f>'[4]BP-Wom'!E49</f>
        <v>0</v>
      </c>
      <c r="G55">
        <f>'[4]BP-Wom'!F49</f>
        <v>0</v>
      </c>
    </row>
    <row r="56" spans="1:7" s="11" customFormat="1" x14ac:dyDescent="0.25">
      <c r="A56" s="22" t="s">
        <v>0</v>
      </c>
      <c r="B56" s="11">
        <v>0</v>
      </c>
      <c r="C56" s="11">
        <v>-2</v>
      </c>
      <c r="D56" s="11" t="str">
        <f>'[4]BP-Wom'!B50</f>
        <v>Women Open</v>
      </c>
      <c r="F56" s="12"/>
    </row>
    <row r="57" spans="1:7" x14ac:dyDescent="0.25">
      <c r="A57" s="1">
        <f>'[4]BP-Wom'!A51</f>
        <v>44</v>
      </c>
      <c r="B57">
        <f>'[4]BP-Wom'!B51</f>
        <v>77.5</v>
      </c>
      <c r="C57" t="str">
        <f>'[4]BP-Wom'!C51</f>
        <v>Murasheva Yuliya/70</v>
      </c>
      <c r="D57" t="str">
        <f t="shared" si="0"/>
        <v>70</v>
      </c>
      <c r="E57" t="str">
        <f>'[4]BP-Wom'!D51</f>
        <v>RUS</v>
      </c>
      <c r="F57" s="8" t="str">
        <f>'[4]BP-Wom'!E51</f>
        <v>22.08.2014</v>
      </c>
      <c r="G57" t="str">
        <f>'[4]BP-Wom'!F51</f>
        <v>Moscow</v>
      </c>
    </row>
    <row r="58" spans="1:7" x14ac:dyDescent="0.25">
      <c r="A58" s="1">
        <f>'[4]BP-Wom'!A52</f>
        <v>48</v>
      </c>
      <c r="B58">
        <f>'[4]BP-Wom'!B52</f>
        <v>80</v>
      </c>
      <c r="C58" t="str">
        <f>'[4]BP-Wom'!C52</f>
        <v>Ber Natalya/81</v>
      </c>
      <c r="D58" t="str">
        <f t="shared" si="0"/>
        <v>81</v>
      </c>
      <c r="E58" t="str">
        <f>'[4]BP-Wom'!D52</f>
        <v>RUS</v>
      </c>
      <c r="F58" s="8" t="str">
        <f>'[4]BP-Wom'!E52</f>
        <v>08.02.2014</v>
      </c>
      <c r="G58" t="str">
        <f>'[4]BP-Wom'!F52</f>
        <v>Yekaterinbourgh</v>
      </c>
    </row>
    <row r="59" spans="1:7" x14ac:dyDescent="0.25">
      <c r="A59" s="1">
        <f>'[4]BP-Wom'!A53</f>
        <v>52</v>
      </c>
      <c r="B59">
        <f>'[4]BP-Wom'!B53</f>
        <v>90.5</v>
      </c>
      <c r="C59" t="str">
        <f>'[4]BP-Wom'!C53</f>
        <v>Kadatska Anna/77</v>
      </c>
      <c r="D59" t="str">
        <f t="shared" si="0"/>
        <v>77</v>
      </c>
      <c r="E59" t="str">
        <f>'[4]BP-Wom'!D53</f>
        <v>UKR</v>
      </c>
      <c r="F59" s="8">
        <f>'[4]BP-Wom'!E53</f>
        <v>41128</v>
      </c>
      <c r="G59" t="str">
        <f>'[4]BP-Wom'!F53</f>
        <v>Kryvyi Rig</v>
      </c>
    </row>
    <row r="60" spans="1:7" x14ac:dyDescent="0.25">
      <c r="A60" s="1">
        <f>'[4]BP-Wom'!A54</f>
        <v>56</v>
      </c>
      <c r="B60">
        <f>'[4]BP-Wom'!B54</f>
        <v>105</v>
      </c>
      <c r="C60" t="str">
        <f>'[4]BP-Wom'!C54</f>
        <v>Konovalova Natalya/74</v>
      </c>
      <c r="D60" t="str">
        <f t="shared" si="0"/>
        <v>74</v>
      </c>
      <c r="E60" t="str">
        <f>'[4]BP-Wom'!D54</f>
        <v>RUS</v>
      </c>
      <c r="F60" s="8">
        <f>'[4]BP-Wom'!E54</f>
        <v>40814</v>
      </c>
      <c r="G60" t="str">
        <f>'[4]BP-Wom'!F54</f>
        <v>Yekaterinbourgh</v>
      </c>
    </row>
    <row r="61" spans="1:7" x14ac:dyDescent="0.25">
      <c r="A61" s="1">
        <f>'[4]BP-Wom'!A55</f>
        <v>60</v>
      </c>
      <c r="B61">
        <f>'[4]BP-Wom'!B55</f>
        <v>102.5</v>
      </c>
      <c r="C61" t="str">
        <f>'[4]BP-Wom'!C55</f>
        <v>Vlasova Nadezhda/82</v>
      </c>
      <c r="D61" t="str">
        <f t="shared" si="0"/>
        <v>82</v>
      </c>
      <c r="E61" t="str">
        <f>'[4]BP-Wom'!D55</f>
        <v>RUS</v>
      </c>
      <c r="F61" s="8" t="str">
        <f>'[4]BP-Wom'!E55</f>
        <v>30.05.2014</v>
      </c>
      <c r="G61" t="str">
        <f>'[4]BP-Wom'!F55</f>
        <v>Kursk</v>
      </c>
    </row>
    <row r="62" spans="1:7" x14ac:dyDescent="0.25">
      <c r="A62" s="1">
        <f>'[4]BP-Wom'!A56</f>
        <v>67.5</v>
      </c>
      <c r="B62">
        <f>'[4]BP-Wom'!B56</f>
        <v>100</v>
      </c>
      <c r="C62" t="str">
        <f>'[4]BP-Wom'!C56</f>
        <v>Timoshina Mariya/84</v>
      </c>
      <c r="D62" t="str">
        <f t="shared" si="0"/>
        <v>84</v>
      </c>
      <c r="E62" t="str">
        <f>'[4]BP-Wom'!D56</f>
        <v>RUS</v>
      </c>
      <c r="F62" s="8" t="str">
        <f>'[4]BP-Wom'!E56</f>
        <v>22.08.2014</v>
      </c>
      <c r="G62" t="str">
        <f>'[4]BP-Wom'!F56</f>
        <v>Moscow</v>
      </c>
    </row>
    <row r="63" spans="1:7" x14ac:dyDescent="0.25">
      <c r="A63" s="1">
        <f>'[4]BP-Wom'!A57</f>
        <v>75</v>
      </c>
      <c r="B63">
        <f>'[4]BP-Wom'!B57</f>
        <v>112.5</v>
      </c>
      <c r="C63" t="str">
        <f>'[4]BP-Wom'!C57</f>
        <v>Vorobyeva Regina/80</v>
      </c>
      <c r="D63" t="str">
        <f t="shared" si="0"/>
        <v>80</v>
      </c>
      <c r="E63" t="str">
        <f>'[4]BP-Wom'!D57</f>
        <v>RUS</v>
      </c>
      <c r="F63" s="8">
        <f>'[4]BP-Wom'!E57</f>
        <v>41566</v>
      </c>
      <c r="G63" t="str">
        <f>'[4]BP-Wom'!F57</f>
        <v>Krasnodar</v>
      </c>
    </row>
    <row r="64" spans="1:7" x14ac:dyDescent="0.25">
      <c r="A64" s="1">
        <f>'[4]BP-Wom'!A58</f>
        <v>82.5</v>
      </c>
      <c r="B64">
        <f>'[4]BP-Wom'!B58</f>
        <v>105</v>
      </c>
      <c r="C64" t="str">
        <f>'[4]BP-Wom'!C58</f>
        <v>Pugovkina Alla/75</v>
      </c>
      <c r="D64" t="str">
        <f t="shared" si="0"/>
        <v>75</v>
      </c>
      <c r="E64" t="str">
        <f>'[4]BP-Wom'!D58</f>
        <v>RUS</v>
      </c>
      <c r="F64" s="8" t="str">
        <f>'[4]BP-Wom'!E58</f>
        <v>22.08.2014</v>
      </c>
      <c r="G64" t="str">
        <f>'[4]BP-Wom'!F58</f>
        <v>Moscow</v>
      </c>
    </row>
    <row r="65" spans="1:7" x14ac:dyDescent="0.25">
      <c r="A65" s="1">
        <f>'[4]BP-Wom'!A59</f>
        <v>90</v>
      </c>
      <c r="B65">
        <f>'[4]BP-Wom'!B59</f>
        <v>102.5</v>
      </c>
      <c r="C65" t="str">
        <f>'[4]BP-Wom'!C59</f>
        <v>Kibalina Tatyana/74</v>
      </c>
      <c r="D65" t="str">
        <f t="shared" si="0"/>
        <v>74</v>
      </c>
      <c r="E65" t="str">
        <f>'[4]BP-Wom'!D59</f>
        <v>RUS</v>
      </c>
      <c r="F65" s="8">
        <f>'[4]BP-Wom'!E59</f>
        <v>40814</v>
      </c>
      <c r="G65" t="str">
        <f>'[4]BP-Wom'!F59</f>
        <v>Yekaterinbourgh</v>
      </c>
    </row>
    <row r="66" spans="1:7" x14ac:dyDescent="0.25">
      <c r="A66" s="1" t="str">
        <f>'[4]BP-Wom'!A60</f>
        <v>90+</v>
      </c>
      <c r="B66">
        <f>'[4]BP-Wom'!B60</f>
        <v>127.5</v>
      </c>
      <c r="C66" t="str">
        <f>'[4]BP-Wom'!C60</f>
        <v>Shel-Fetengof Erin/83</v>
      </c>
      <c r="D66" t="str">
        <f t="shared" si="0"/>
        <v>83</v>
      </c>
      <c r="E66" t="str">
        <f>'[4]BP-Wom'!D60</f>
        <v>RUS</v>
      </c>
      <c r="F66" s="8" t="str">
        <f>'[4]BP-Wom'!E60</f>
        <v>22.08.2014</v>
      </c>
      <c r="G66" t="str">
        <f>'[4]BP-Wom'!F60</f>
        <v>Moscow</v>
      </c>
    </row>
    <row r="67" spans="1:7" x14ac:dyDescent="0.25">
      <c r="B67">
        <f>'[4]BP-Wom'!B61</f>
        <v>0</v>
      </c>
      <c r="C67">
        <f>'[4]BP-Wom'!C61</f>
        <v>0</v>
      </c>
      <c r="D67" t="str">
        <f t="shared" si="0"/>
        <v>0</v>
      </c>
      <c r="E67">
        <f>'[4]BP-Wom'!D61</f>
        <v>0</v>
      </c>
      <c r="F67" s="8">
        <f>'[4]BP-Wom'!E61</f>
        <v>0</v>
      </c>
      <c r="G67">
        <f>'[4]BP-Wom'!F61</f>
        <v>0</v>
      </c>
    </row>
    <row r="68" spans="1:7" s="11" customFormat="1" x14ac:dyDescent="0.25">
      <c r="A68" s="22" t="s">
        <v>0</v>
      </c>
      <c r="B68" s="11">
        <v>0</v>
      </c>
      <c r="C68" s="11">
        <v>-4</v>
      </c>
      <c r="D68" s="11" t="str">
        <f>'[4]BP-Wom'!B62</f>
        <v>SM 33-39</v>
      </c>
      <c r="F68" s="12"/>
      <c r="G68" s="11">
        <f>'[4]BP-Wom'!F62</f>
        <v>0</v>
      </c>
    </row>
    <row r="69" spans="1:7" x14ac:dyDescent="0.25">
      <c r="A69" s="1">
        <f>'[4]BP-Wom'!A63</f>
        <v>44</v>
      </c>
      <c r="B69">
        <f>'[4]BP-Wom'!B63</f>
        <v>0</v>
      </c>
      <c r="C69">
        <f>'[4]BP-Wom'!C63</f>
        <v>0</v>
      </c>
      <c r="D69" t="str">
        <f t="shared" si="0"/>
        <v>0</v>
      </c>
      <c r="E69">
        <f>'[4]BP-Wom'!D63</f>
        <v>0</v>
      </c>
      <c r="F69" s="8">
        <f>'[4]BP-Wom'!E63</f>
        <v>0</v>
      </c>
      <c r="G69">
        <f>'[4]BP-Wom'!F63</f>
        <v>0</v>
      </c>
    </row>
    <row r="70" spans="1:7" x14ac:dyDescent="0.25">
      <c r="A70" s="1">
        <f>'[4]BP-Wom'!A64</f>
        <v>48</v>
      </c>
      <c r="B70">
        <f>'[4]BP-Wom'!B64</f>
        <v>67.5</v>
      </c>
      <c r="C70" t="str">
        <f>'[4]BP-Wom'!C64</f>
        <v>Dzina Margarita/69</v>
      </c>
      <c r="D70" t="str">
        <f t="shared" si="0"/>
        <v>69</v>
      </c>
      <c r="E70" t="str">
        <f>'[4]BP-Wom'!D64</f>
        <v>RUS</v>
      </c>
      <c r="F70" s="8">
        <f>'[4]BP-Wom'!E64</f>
        <v>39871</v>
      </c>
      <c r="G70" t="str">
        <f>'[4]BP-Wom'!F64</f>
        <v>Chelyabinsk</v>
      </c>
    </row>
    <row r="71" spans="1:7" x14ac:dyDescent="0.25">
      <c r="A71" s="1">
        <f>'[4]BP-Wom'!A65</f>
        <v>52</v>
      </c>
      <c r="B71">
        <f>'[4]BP-Wom'!B65</f>
        <v>90.5</v>
      </c>
      <c r="C71" t="str">
        <f>'[4]BP-Wom'!C65</f>
        <v>Kadatska,Anna/77</v>
      </c>
      <c r="D71" t="str">
        <f t="shared" si="0"/>
        <v>77</v>
      </c>
      <c r="E71" t="str">
        <f>'[4]BP-Wom'!D65</f>
        <v>UKR</v>
      </c>
      <c r="F71" s="8">
        <f>'[4]BP-Wom'!E65</f>
        <v>41128</v>
      </c>
      <c r="G71" t="str">
        <f>'[4]BP-Wom'!F65</f>
        <v>Kryvyi Rig</v>
      </c>
    </row>
    <row r="72" spans="1:7" x14ac:dyDescent="0.25">
      <c r="A72" s="1">
        <f>'[4]BP-Wom'!A66</f>
        <v>56</v>
      </c>
      <c r="B72">
        <f>'[4]BP-Wom'!B66</f>
        <v>105</v>
      </c>
      <c r="C72" t="str">
        <f>'[4]BP-Wom'!C66</f>
        <v>Konovalova Natalya/74</v>
      </c>
      <c r="D72" t="str">
        <f t="shared" si="0"/>
        <v>74</v>
      </c>
      <c r="E72" t="str">
        <f>'[4]BP-Wom'!D66</f>
        <v>RUS</v>
      </c>
      <c r="F72" s="8">
        <f>'[4]BP-Wom'!E66</f>
        <v>40814</v>
      </c>
      <c r="G72" t="str">
        <f>'[4]BP-Wom'!F66</f>
        <v>Yekaterinbourgh</v>
      </c>
    </row>
    <row r="73" spans="1:7" x14ac:dyDescent="0.25">
      <c r="A73" s="1">
        <f>'[4]BP-Wom'!A67</f>
        <v>60</v>
      </c>
      <c r="B73">
        <f>'[4]BP-Wom'!B67</f>
        <v>97.5</v>
      </c>
      <c r="C73" t="str">
        <f>'[4]BP-Wom'!C67</f>
        <v>Savelyeva Nina/73</v>
      </c>
      <c r="D73" t="str">
        <f t="shared" si="0"/>
        <v>73</v>
      </c>
      <c r="E73" t="str">
        <f>'[4]BP-Wom'!D67</f>
        <v>UKR</v>
      </c>
      <c r="F73" s="8">
        <f>'[4]BP-Wom'!E67</f>
        <v>39983</v>
      </c>
      <c r="G73" t="str">
        <f>'[4]BP-Wom'!F67</f>
        <v>Ternopil'</v>
      </c>
    </row>
    <row r="74" spans="1:7" x14ac:dyDescent="0.25">
      <c r="A74" s="1">
        <f>'[4]BP-Wom'!A68</f>
        <v>67.5</v>
      </c>
      <c r="B74">
        <f>'[4]BP-Wom'!B68</f>
        <v>80</v>
      </c>
      <c r="C74" t="str">
        <f>'[4]BP-Wom'!C68</f>
        <v>Goncharova Natalya/74</v>
      </c>
      <c r="D74" t="str">
        <f t="shared" si="0"/>
        <v>74</v>
      </c>
      <c r="E74" t="str">
        <f>'[4]BP-Wom'!D68</f>
        <v>RUS</v>
      </c>
      <c r="F74" s="8">
        <f>'[4]BP-Wom'!E68</f>
        <v>40409</v>
      </c>
      <c r="G74" t="str">
        <f>'[4]BP-Wom'!F68</f>
        <v>Moscow</v>
      </c>
    </row>
    <row r="75" spans="1:7" x14ac:dyDescent="0.25">
      <c r="A75" s="1">
        <f>'[4]BP-Wom'!A69</f>
        <v>75</v>
      </c>
      <c r="B75">
        <f>'[4]BP-Wom'!B69</f>
        <v>112.5</v>
      </c>
      <c r="C75" t="str">
        <f>'[4]BP-Wom'!C69</f>
        <v>Vorobyeva Regina/80</v>
      </c>
      <c r="D75" t="str">
        <f t="shared" ref="D75:D195" si="1">RIGHT(C75,2)</f>
        <v>80</v>
      </c>
      <c r="E75" t="str">
        <f>'[4]BP-Wom'!D69</f>
        <v>RUS</v>
      </c>
      <c r="F75" s="8">
        <f>'[4]BP-Wom'!E69</f>
        <v>41566</v>
      </c>
      <c r="G75" t="str">
        <f>'[4]BP-Wom'!F69</f>
        <v>Krasnodar</v>
      </c>
    </row>
    <row r="76" spans="1:7" x14ac:dyDescent="0.25">
      <c r="A76" s="1">
        <f>'[4]BP-Wom'!A70</f>
        <v>82.5</v>
      </c>
      <c r="B76">
        <f>'[4]BP-Wom'!B70</f>
        <v>105</v>
      </c>
      <c r="C76" t="str">
        <f>'[4]BP-Wom'!C70</f>
        <v>Pugovkina Alla/75</v>
      </c>
      <c r="D76" t="str">
        <f t="shared" si="1"/>
        <v>75</v>
      </c>
      <c r="E76" t="str">
        <f>'[4]BP-Wom'!D70</f>
        <v>RUS</v>
      </c>
      <c r="F76" s="8" t="str">
        <f>'[4]BP-Wom'!E70</f>
        <v>22.08.2014</v>
      </c>
      <c r="G76" t="str">
        <f>'[4]BP-Wom'!F70</f>
        <v>Moscow</v>
      </c>
    </row>
    <row r="77" spans="1:7" x14ac:dyDescent="0.25">
      <c r="A77" s="1">
        <f>'[4]BP-Wom'!A71</f>
        <v>90</v>
      </c>
      <c r="B77">
        <f>'[4]BP-Wom'!B71</f>
        <v>102.5</v>
      </c>
      <c r="C77" t="str">
        <f>'[4]BP-Wom'!C71</f>
        <v>Kibalina Tatyana/74</v>
      </c>
      <c r="D77" t="str">
        <f t="shared" si="1"/>
        <v>74</v>
      </c>
      <c r="E77" t="str">
        <f>'[4]BP-Wom'!D71</f>
        <v>RUS</v>
      </c>
      <c r="F77" s="8">
        <f>'[4]BP-Wom'!E71</f>
        <v>40814</v>
      </c>
      <c r="G77" t="str">
        <f>'[4]BP-Wom'!F71</f>
        <v>Yekaterinbourgh</v>
      </c>
    </row>
    <row r="78" spans="1:7" x14ac:dyDescent="0.25">
      <c r="A78" s="1" t="str">
        <f>'[4]BP-Wom'!A72</f>
        <v>90+</v>
      </c>
      <c r="B78">
        <f>'[4]BP-Wom'!B72</f>
        <v>90</v>
      </c>
      <c r="C78" t="str">
        <f>'[4]BP-Wom'!C72</f>
        <v>Skobelkina Elena/73</v>
      </c>
      <c r="D78" t="str">
        <f t="shared" si="1"/>
        <v>73</v>
      </c>
      <c r="E78" t="str">
        <f>'[4]BP-Wom'!D72</f>
        <v>RUS</v>
      </c>
      <c r="F78" s="8">
        <f>'[4]BP-Wom'!E72</f>
        <v>40872</v>
      </c>
      <c r="G78" t="str">
        <f>'[4]BP-Wom'!F72</f>
        <v>Novosibirsk</v>
      </c>
    </row>
    <row r="79" spans="1:7" x14ac:dyDescent="0.25">
      <c r="B79">
        <f>'[4]BP-Wom'!B73</f>
        <v>0</v>
      </c>
      <c r="C79">
        <f>'[4]BP-Wom'!C73</f>
        <v>0</v>
      </c>
      <c r="D79" t="str">
        <f t="shared" si="1"/>
        <v>0</v>
      </c>
      <c r="E79">
        <f>'[4]BP-Wom'!D73</f>
        <v>0</v>
      </c>
      <c r="F79" s="8">
        <f>'[4]BP-Wom'!E73</f>
        <v>0</v>
      </c>
      <c r="G79">
        <f>'[4]BP-Wom'!F73</f>
        <v>0</v>
      </c>
    </row>
    <row r="80" spans="1:7" s="11" customFormat="1" x14ac:dyDescent="0.25">
      <c r="A80" s="22" t="s">
        <v>0</v>
      </c>
      <c r="B80" s="11">
        <v>0</v>
      </c>
      <c r="C80" s="11">
        <v>40</v>
      </c>
      <c r="D80" s="11" t="str">
        <f>'[4]BP-Wom'!B74</f>
        <v>М1  (40-44)</v>
      </c>
      <c r="F80" s="12"/>
      <c r="G80" s="11">
        <f>'[4]BP-Wom'!F74</f>
        <v>0</v>
      </c>
    </row>
    <row r="81" spans="1:7" x14ac:dyDescent="0.25">
      <c r="A81" s="1">
        <f>'[4]BP-Wom'!A75</f>
        <v>44</v>
      </c>
      <c r="B81">
        <f>'[4]BP-Wom'!B75</f>
        <v>77.5</v>
      </c>
      <c r="C81" t="str">
        <f>'[4]BP-Wom'!C75</f>
        <v>Murasheva Yuliya/70</v>
      </c>
      <c r="D81" t="str">
        <f t="shared" si="1"/>
        <v>70</v>
      </c>
      <c r="E81" t="str">
        <f>'[4]BP-Wom'!D75</f>
        <v>RUS</v>
      </c>
      <c r="F81" s="8" t="str">
        <f>'[4]BP-Wom'!E75</f>
        <v>22.08.2014</v>
      </c>
      <c r="G81" t="str">
        <f>'[4]BP-Wom'!F75</f>
        <v>Moscow</v>
      </c>
    </row>
    <row r="82" spans="1:7" x14ac:dyDescent="0.25">
      <c r="A82" s="1">
        <f>'[4]BP-Wom'!A76</f>
        <v>48</v>
      </c>
      <c r="B82">
        <f>'[4]BP-Wom'!B76</f>
        <v>52.5</v>
      </c>
      <c r="C82" t="str">
        <f>'[4]BP-Wom'!C76</f>
        <v>Marieva Natalya/68</v>
      </c>
      <c r="D82" t="str">
        <f t="shared" si="1"/>
        <v>68</v>
      </c>
      <c r="E82" t="str">
        <f>'[4]BP-Wom'!D76</f>
        <v>RUS</v>
      </c>
      <c r="F82" s="8">
        <f>'[4]BP-Wom'!E76</f>
        <v>41067</v>
      </c>
      <c r="G82" t="str">
        <f>'[4]BP-Wom'!F76</f>
        <v>Moscow</v>
      </c>
    </row>
    <row r="83" spans="1:7" x14ac:dyDescent="0.25">
      <c r="A83" s="1">
        <f>'[4]BP-Wom'!A77</f>
        <v>52</v>
      </c>
      <c r="B83">
        <f>'[4]BP-Wom'!B77</f>
        <v>65</v>
      </c>
      <c r="C83" t="str">
        <f>'[4]BP-Wom'!C77</f>
        <v>Lazareva Yelena/68</v>
      </c>
      <c r="D83" t="str">
        <f t="shared" si="1"/>
        <v>68</v>
      </c>
      <c r="E83" t="str">
        <f>'[4]BP-Wom'!D77</f>
        <v>RUS</v>
      </c>
      <c r="F83" s="8">
        <f>'[4]BP-Wom'!E77</f>
        <v>40522</v>
      </c>
      <c r="G83" t="str">
        <f>'[4]BP-Wom'!F77</f>
        <v>Kursk</v>
      </c>
    </row>
    <row r="84" spans="1:7" x14ac:dyDescent="0.25">
      <c r="A84" s="1">
        <f>'[4]BP-Wom'!A78</f>
        <v>56</v>
      </c>
      <c r="B84">
        <f>'[4]BP-Wom'!B78</f>
        <v>77.5</v>
      </c>
      <c r="C84" t="str">
        <f>'[4]BP-Wom'!C78</f>
        <v>Tarasova Yuliya/73</v>
      </c>
      <c r="D84" t="str">
        <f t="shared" si="1"/>
        <v>73</v>
      </c>
      <c r="E84" t="str">
        <f>'[4]BP-Wom'!D78</f>
        <v>RUS</v>
      </c>
      <c r="F84" s="8" t="str">
        <f>'[4]BP-Wom'!E78</f>
        <v>22.08.2014</v>
      </c>
      <c r="G84" t="str">
        <f>'[4]BP-Wom'!F78</f>
        <v>Moscow</v>
      </c>
    </row>
    <row r="85" spans="1:7" x14ac:dyDescent="0.25">
      <c r="A85" s="1">
        <f>'[4]BP-Wom'!A79</f>
        <v>60</v>
      </c>
      <c r="B85">
        <f>'[4]BP-Wom'!B79</f>
        <v>92.5</v>
      </c>
      <c r="C85" t="str">
        <f>'[4]BP-Wom'!C79</f>
        <v>Rakcheeva Anastasiya/71</v>
      </c>
      <c r="D85" t="str">
        <f t="shared" si="1"/>
        <v>71</v>
      </c>
      <c r="E85" t="str">
        <f>'[4]BP-Wom'!D79</f>
        <v>RUS</v>
      </c>
      <c r="F85" s="8">
        <f>'[4]BP-Wom'!E79</f>
        <v>41018</v>
      </c>
      <c r="G85" t="str">
        <f>'[4]BP-Wom'!F79</f>
        <v>Rostov</v>
      </c>
    </row>
    <row r="86" spans="1:7" x14ac:dyDescent="0.25">
      <c r="A86" s="1">
        <f>'[4]BP-Wom'!A80</f>
        <v>67.5</v>
      </c>
      <c r="B86">
        <f>'[4]BP-Wom'!B80</f>
        <v>97.5</v>
      </c>
      <c r="C86" t="str">
        <f>'[4]BP-Wom'!C80</f>
        <v>Rakcheeva Anastasiya/71</v>
      </c>
      <c r="D86" t="str">
        <f t="shared" si="1"/>
        <v>71</v>
      </c>
      <c r="E86" t="str">
        <f>'[4]BP-Wom'!D80</f>
        <v>RUS</v>
      </c>
      <c r="F86" s="8" t="str">
        <f>'[4]BP-Wom'!E80</f>
        <v>22.08.2014</v>
      </c>
      <c r="G86" t="str">
        <f>'[4]BP-Wom'!F80</f>
        <v>Moscow</v>
      </c>
    </row>
    <row r="87" spans="1:7" x14ac:dyDescent="0.25">
      <c r="A87" s="1">
        <f>'[4]BP-Wom'!A81</f>
        <v>75</v>
      </c>
      <c r="B87">
        <f>'[4]BP-Wom'!B81</f>
        <v>105</v>
      </c>
      <c r="C87" t="str">
        <f>'[4]BP-Wom'!C81</f>
        <v>Sinacheva Svetlana/66</v>
      </c>
      <c r="D87" t="str">
        <f t="shared" si="1"/>
        <v>66</v>
      </c>
      <c r="E87" t="str">
        <f>'[4]BP-Wom'!D81</f>
        <v>RUS</v>
      </c>
      <c r="F87" s="8">
        <f>'[4]BP-Wom'!E81</f>
        <v>40814</v>
      </c>
      <c r="G87" t="str">
        <f>'[4]BP-Wom'!F81</f>
        <v>Yekaterinbourgh</v>
      </c>
    </row>
    <row r="88" spans="1:7" x14ac:dyDescent="0.25">
      <c r="A88" s="1">
        <f>'[4]BP-Wom'!A82</f>
        <v>82.5</v>
      </c>
      <c r="B88">
        <f>'[4]BP-Wom'!B82</f>
        <v>97.5</v>
      </c>
      <c r="C88" t="str">
        <f>'[4]BP-Wom'!C82</f>
        <v>Sinacheva Svetlana/66</v>
      </c>
      <c r="D88" t="str">
        <f t="shared" si="1"/>
        <v>66</v>
      </c>
      <c r="E88" t="str">
        <f>'[4]BP-Wom'!D82</f>
        <v>RUS</v>
      </c>
      <c r="F88" s="8">
        <f>'[4]BP-Wom'!E82</f>
        <v>40257</v>
      </c>
      <c r="G88" t="str">
        <f>'[4]BP-Wom'!F82</f>
        <v>Kursk</v>
      </c>
    </row>
    <row r="89" spans="1:7" x14ac:dyDescent="0.25">
      <c r="A89" s="1">
        <f>'[4]BP-Wom'!A83</f>
        <v>90</v>
      </c>
      <c r="B89">
        <f>'[4]BP-Wom'!B83</f>
        <v>0</v>
      </c>
      <c r="C89">
        <f>'[4]BP-Wom'!C83</f>
        <v>0</v>
      </c>
      <c r="D89" t="str">
        <f t="shared" si="1"/>
        <v>0</v>
      </c>
      <c r="E89">
        <f>'[4]BP-Wom'!D83</f>
        <v>0</v>
      </c>
      <c r="F89" s="8">
        <f>'[4]BP-Wom'!E83</f>
        <v>0</v>
      </c>
      <c r="G89">
        <f>'[4]BP-Wom'!F83</f>
        <v>0</v>
      </c>
    </row>
    <row r="90" spans="1:7" x14ac:dyDescent="0.25">
      <c r="A90" s="1" t="str">
        <f>'[4]BP-Wom'!A84</f>
        <v>90+</v>
      </c>
      <c r="B90">
        <f>'[4]BP-Wom'!B84</f>
        <v>85</v>
      </c>
      <c r="C90" t="str">
        <f>'[4]BP-Wom'!C84</f>
        <v>Sinenko Nina/67</v>
      </c>
      <c r="D90" t="str">
        <f t="shared" ref="D90:D117" si="2">RIGHT(C90,2)</f>
        <v>67</v>
      </c>
      <c r="E90" t="str">
        <f>'[4]BP-Wom'!D84</f>
        <v>RUS</v>
      </c>
      <c r="F90" s="8">
        <f>'[4]BP-Wom'!E84</f>
        <v>40872</v>
      </c>
      <c r="G90" t="str">
        <f>'[4]BP-Wom'!F84</f>
        <v>Novosibirsk</v>
      </c>
    </row>
    <row r="92" spans="1:7" s="11" customFormat="1" x14ac:dyDescent="0.25">
      <c r="A92" s="22" t="s">
        <v>0</v>
      </c>
      <c r="B92" s="11">
        <v>0</v>
      </c>
      <c r="C92" s="11">
        <v>45</v>
      </c>
      <c r="D92" s="11" t="str">
        <f>'[4]BP-Wom'!B85</f>
        <v>М2  (45-49)</v>
      </c>
      <c r="F92" s="12"/>
    </row>
    <row r="93" spans="1:7" s="16" customFormat="1" x14ac:dyDescent="0.25">
      <c r="A93" s="28">
        <f>'[4]BP-Wom'!A86</f>
        <v>44</v>
      </c>
      <c r="B93" s="16">
        <f>'[4]BP-Wom'!B86</f>
        <v>0</v>
      </c>
      <c r="C93" s="16">
        <f>'[4]BP-Wom'!C86</f>
        <v>0</v>
      </c>
      <c r="D93" s="16" t="str">
        <f t="shared" si="2"/>
        <v>0</v>
      </c>
      <c r="E93" s="16">
        <f>'[4]BP-Wom'!D86</f>
        <v>0</v>
      </c>
      <c r="F93" s="18">
        <f>'[4]BP-Wom'!E86</f>
        <v>0</v>
      </c>
      <c r="G93" s="16">
        <f>'[4]BP-Wom'!F86</f>
        <v>0</v>
      </c>
    </row>
    <row r="94" spans="1:7" s="16" customFormat="1" x14ac:dyDescent="0.25">
      <c r="A94" s="28">
        <f>'[4]BP-Wom'!A87</f>
        <v>48</v>
      </c>
      <c r="B94" s="16">
        <f>'[4]BP-Wom'!B87</f>
        <v>55</v>
      </c>
      <c r="C94" s="16" t="str">
        <f>'[4]BP-Wom'!C87</f>
        <v>Marieva Natalya/68</v>
      </c>
      <c r="D94" s="16" t="str">
        <f t="shared" si="2"/>
        <v>68</v>
      </c>
      <c r="E94" s="16" t="str">
        <f>'[4]BP-Wom'!D87</f>
        <v>RUS</v>
      </c>
      <c r="F94" s="18" t="str">
        <f>'[4]BP-Wom'!E87</f>
        <v>30.05.2014</v>
      </c>
      <c r="G94" s="16" t="str">
        <f>'[4]BP-Wom'!F87</f>
        <v>Kursk</v>
      </c>
    </row>
    <row r="95" spans="1:7" x14ac:dyDescent="0.25">
      <c r="A95" s="1">
        <f>'[4]BP-Wom'!A88</f>
        <v>52</v>
      </c>
      <c r="B95">
        <f>'[4]BP-Wom'!B88</f>
        <v>60</v>
      </c>
      <c r="C95" t="str">
        <f>'[4]BP-Wom'!C88</f>
        <v>Lapshova Irina/64</v>
      </c>
      <c r="D95" t="str">
        <f t="shared" si="2"/>
        <v>64</v>
      </c>
      <c r="E95" t="str">
        <f>'[4]BP-Wom'!D88</f>
        <v>RUS</v>
      </c>
      <c r="F95" s="8">
        <f>'[4]BP-Wom'!E88</f>
        <v>41018</v>
      </c>
      <c r="G95" t="str">
        <f>'[4]BP-Wom'!F88</f>
        <v>Rostov</v>
      </c>
    </row>
    <row r="96" spans="1:7" x14ac:dyDescent="0.25">
      <c r="A96" s="1">
        <f>'[4]BP-Wom'!A89</f>
        <v>56</v>
      </c>
      <c r="B96">
        <f>'[4]BP-Wom'!B89</f>
        <v>47.5</v>
      </c>
      <c r="C96" t="str">
        <f>'[4]BP-Wom'!C89</f>
        <v>Belova Yelena/66</v>
      </c>
      <c r="D96" t="str">
        <f t="shared" si="2"/>
        <v>66</v>
      </c>
      <c r="E96" t="str">
        <f>'[4]BP-Wom'!D89</f>
        <v>RUS</v>
      </c>
      <c r="F96" s="8" t="str">
        <f>'[4]BP-Wom'!E89</f>
        <v>03.07.2014</v>
      </c>
      <c r="G96" t="str">
        <f>'[4]BP-Wom'!F89</f>
        <v>Novosibirsk</v>
      </c>
    </row>
    <row r="97" spans="1:7" x14ac:dyDescent="0.25">
      <c r="A97" s="1">
        <f>'[4]BP-Wom'!A90</f>
        <v>60</v>
      </c>
      <c r="B97">
        <f>'[4]BP-Wom'!B90</f>
        <v>40</v>
      </c>
      <c r="C97" t="str">
        <f>'[4]BP-Wom'!C90</f>
        <v>Pen'kova Nataliya/65</v>
      </c>
      <c r="D97" t="str">
        <f t="shared" si="2"/>
        <v>65</v>
      </c>
      <c r="E97" t="str">
        <f>'[4]BP-Wom'!D90</f>
        <v>UKR</v>
      </c>
      <c r="F97" s="8">
        <f>'[4]BP-Wom'!E90</f>
        <v>40831</v>
      </c>
      <c r="G97" t="str">
        <f>'[4]BP-Wom'!F90</f>
        <v>Kryvyi Rig</v>
      </c>
    </row>
    <row r="98" spans="1:7" x14ac:dyDescent="0.25">
      <c r="A98" s="1">
        <f>'[4]BP-Wom'!A91</f>
        <v>67.5</v>
      </c>
      <c r="B98">
        <f>'[4]BP-Wom'!B91</f>
        <v>87.5</v>
      </c>
      <c r="C98" t="str">
        <f>'[4]BP-Wom'!C91</f>
        <v>Khristoforova Marina/66</v>
      </c>
      <c r="D98" t="str">
        <f t="shared" si="2"/>
        <v>66</v>
      </c>
      <c r="E98" t="str">
        <f>'[4]BP-Wom'!D91</f>
        <v>UKR</v>
      </c>
      <c r="F98" s="8">
        <f>'[4]BP-Wom'!E91</f>
        <v>40985</v>
      </c>
      <c r="G98" t="str">
        <f>'[4]BP-Wom'!F91</f>
        <v>Kryvyi Rig</v>
      </c>
    </row>
    <row r="99" spans="1:7" x14ac:dyDescent="0.25">
      <c r="A99" s="1">
        <f>'[4]BP-Wom'!A92</f>
        <v>75</v>
      </c>
      <c r="B99">
        <f>'[4]BP-Wom'!B92</f>
        <v>105</v>
      </c>
      <c r="C99" t="str">
        <f>'[4]BP-Wom'!C92</f>
        <v>Sinacheva Svetlana/66</v>
      </c>
      <c r="D99" t="str">
        <f t="shared" si="2"/>
        <v>66</v>
      </c>
      <c r="E99" t="str">
        <f>'[4]BP-Wom'!D92</f>
        <v>RUS</v>
      </c>
      <c r="F99" s="8">
        <f>'[4]BP-Wom'!E92</f>
        <v>41018</v>
      </c>
      <c r="G99" t="str">
        <f>'[4]BP-Wom'!F92</f>
        <v>Rostov</v>
      </c>
    </row>
    <row r="100" spans="1:7" x14ac:dyDescent="0.25">
      <c r="A100" s="1">
        <f>'[4]BP-Wom'!A93</f>
        <v>82.5</v>
      </c>
      <c r="B100">
        <f>'[4]BP-Wom'!B93</f>
        <v>80</v>
      </c>
      <c r="C100" t="str">
        <f>'[4]BP-Wom'!C93</f>
        <v>Charkova Lidiya/68</v>
      </c>
      <c r="D100" t="str">
        <f t="shared" si="2"/>
        <v>68</v>
      </c>
      <c r="E100" t="str">
        <f>'[4]BP-Wom'!D93</f>
        <v>RUS</v>
      </c>
      <c r="F100" s="8" t="str">
        <f>'[4]BP-Wom'!E93</f>
        <v>22.08.2014</v>
      </c>
      <c r="G100" t="str">
        <f>'[4]BP-Wom'!F93</f>
        <v>Moscow</v>
      </c>
    </row>
    <row r="101" spans="1:7" x14ac:dyDescent="0.25">
      <c r="A101" s="1">
        <f>'[4]BP-Wom'!A94</f>
        <v>90</v>
      </c>
      <c r="B101">
        <f>'[4]BP-Wom'!B94</f>
        <v>0</v>
      </c>
      <c r="C101">
        <f>'[4]BP-Wom'!C94</f>
        <v>0</v>
      </c>
      <c r="D101" t="str">
        <f t="shared" si="2"/>
        <v>0</v>
      </c>
      <c r="E101">
        <f>'[4]BP-Wom'!D94</f>
        <v>0</v>
      </c>
      <c r="F101" s="8">
        <f>'[4]BP-Wom'!E94</f>
        <v>0</v>
      </c>
      <c r="G101">
        <f>'[4]BP-Wom'!F94</f>
        <v>0</v>
      </c>
    </row>
    <row r="102" spans="1:7" x14ac:dyDescent="0.25">
      <c r="A102" s="1" t="str">
        <f>'[4]BP-Wom'!A95</f>
        <v>90+</v>
      </c>
      <c r="B102">
        <f>'[4]BP-Wom'!B95</f>
        <v>80</v>
      </c>
      <c r="C102" t="str">
        <f>'[4]BP-Wom'!C95</f>
        <v>Kabaeva Svetlana/65</v>
      </c>
      <c r="D102" t="str">
        <f t="shared" si="2"/>
        <v>65</v>
      </c>
      <c r="E102" t="str">
        <f>'[4]BP-Wom'!D95</f>
        <v>RUS</v>
      </c>
      <c r="F102" s="8">
        <f>'[4]BP-Wom'!E95</f>
        <v>40640</v>
      </c>
      <c r="G102" t="str">
        <f>'[4]BP-Wom'!F95</f>
        <v>Chelyabinsk</v>
      </c>
    </row>
    <row r="104" spans="1:7" s="11" customFormat="1" x14ac:dyDescent="0.25">
      <c r="A104" s="22" t="s">
        <v>0</v>
      </c>
      <c r="B104" s="11">
        <v>0</v>
      </c>
      <c r="C104" s="11">
        <v>50</v>
      </c>
      <c r="D104" s="11" t="str">
        <f>'[4]BP-Wom'!B96</f>
        <v>М3  (50-54)</v>
      </c>
      <c r="F104" s="12"/>
    </row>
    <row r="105" spans="1:7" s="16" customFormat="1" x14ac:dyDescent="0.25">
      <c r="A105" s="28">
        <f>'[4]BP-Wom'!A97</f>
        <v>44</v>
      </c>
      <c r="B105" s="16">
        <f>'[4]BP-Wom'!B97</f>
        <v>0</v>
      </c>
      <c r="C105" s="16">
        <f>'[4]BP-Wom'!C97</f>
        <v>0</v>
      </c>
      <c r="D105" s="16" t="str">
        <f t="shared" si="2"/>
        <v>0</v>
      </c>
      <c r="E105" s="16">
        <f>'[4]BP-Wom'!D97</f>
        <v>0</v>
      </c>
      <c r="F105" s="18">
        <f>'[4]BP-Wom'!E97</f>
        <v>0</v>
      </c>
      <c r="G105" s="16">
        <f>'[4]BP-Wom'!F97</f>
        <v>0</v>
      </c>
    </row>
    <row r="106" spans="1:7" s="16" customFormat="1" x14ac:dyDescent="0.25">
      <c r="A106" s="28">
        <f>'[4]BP-Wom'!A98</f>
        <v>48</v>
      </c>
      <c r="B106" s="16">
        <f>'[4]BP-Wom'!B98</f>
        <v>0</v>
      </c>
      <c r="C106" s="16">
        <f>'[4]BP-Wom'!C98</f>
        <v>0</v>
      </c>
      <c r="D106" s="16" t="str">
        <f t="shared" si="2"/>
        <v>0</v>
      </c>
      <c r="E106" s="16">
        <f>'[4]BP-Wom'!D98</f>
        <v>0</v>
      </c>
      <c r="F106" s="18">
        <f>'[4]BP-Wom'!E98</f>
        <v>0</v>
      </c>
      <c r="G106" s="16">
        <f>'[4]BP-Wom'!F98</f>
        <v>0</v>
      </c>
    </row>
    <row r="107" spans="1:7" x14ac:dyDescent="0.25">
      <c r="A107" s="1">
        <f>'[4]BP-Wom'!A99</f>
        <v>52</v>
      </c>
      <c r="B107">
        <f>'[4]BP-Wom'!B99</f>
        <v>55</v>
      </c>
      <c r="C107" t="str">
        <f>'[4]BP-Wom'!C99</f>
        <v>Telegina Tatyana/61</v>
      </c>
      <c r="D107" t="str">
        <f t="shared" si="2"/>
        <v>61</v>
      </c>
      <c r="E107" t="str">
        <f>'[4]BP-Wom'!D99</f>
        <v>RUS</v>
      </c>
      <c r="F107" s="8">
        <f>'[4]BP-Wom'!E99</f>
        <v>41137</v>
      </c>
      <c r="G107" t="str">
        <f>'[4]BP-Wom'!F99</f>
        <v>Novosibirsk</v>
      </c>
    </row>
    <row r="108" spans="1:7" x14ac:dyDescent="0.25">
      <c r="A108" s="1">
        <f>'[4]BP-Wom'!A100</f>
        <v>56</v>
      </c>
      <c r="B108">
        <f>'[4]BP-Wom'!B100</f>
        <v>0</v>
      </c>
      <c r="C108">
        <f>'[4]BP-Wom'!C100</f>
        <v>0</v>
      </c>
      <c r="D108" t="str">
        <f t="shared" si="2"/>
        <v>0</v>
      </c>
      <c r="E108">
        <f>'[4]BP-Wom'!D100</f>
        <v>0</v>
      </c>
      <c r="F108" s="8">
        <f>'[4]BP-Wom'!E100</f>
        <v>0</v>
      </c>
      <c r="G108">
        <f>'[4]BP-Wom'!F100</f>
        <v>0</v>
      </c>
    </row>
    <row r="109" spans="1:7" x14ac:dyDescent="0.25">
      <c r="A109" s="1">
        <f>'[4]BP-Wom'!A101</f>
        <v>60</v>
      </c>
      <c r="B109">
        <f>'[4]BP-Wom'!B101</f>
        <v>42.5</v>
      </c>
      <c r="C109" t="str">
        <f>'[4]BP-Wom'!C101</f>
        <v>Shariy Vera/57</v>
      </c>
      <c r="D109" t="str">
        <f t="shared" si="2"/>
        <v>57</v>
      </c>
      <c r="E109" t="str">
        <f>'[4]BP-Wom'!D101</f>
        <v>RUS</v>
      </c>
      <c r="F109" s="8">
        <f>'[4]BP-Wom'!E101</f>
        <v>39724</v>
      </c>
      <c r="G109" t="str">
        <f>'[4]BP-Wom'!F101</f>
        <v>Yekaterinbourgh</v>
      </c>
    </row>
    <row r="110" spans="1:7" x14ac:dyDescent="0.25">
      <c r="A110" s="1">
        <f>'[4]BP-Wom'!A102</f>
        <v>67.5</v>
      </c>
      <c r="B110">
        <f>'[4]BP-Wom'!B102</f>
        <v>0</v>
      </c>
      <c r="C110">
        <f>'[4]BP-Wom'!C102</f>
        <v>0</v>
      </c>
      <c r="D110" t="str">
        <f t="shared" si="2"/>
        <v>0</v>
      </c>
      <c r="E110">
        <f>'[4]BP-Wom'!D102</f>
        <v>0</v>
      </c>
      <c r="F110" s="8">
        <f>'[4]BP-Wom'!E102</f>
        <v>0</v>
      </c>
      <c r="G110">
        <f>'[4]BP-Wom'!F102</f>
        <v>0</v>
      </c>
    </row>
    <row r="111" spans="1:7" x14ac:dyDescent="0.25">
      <c r="A111" s="1">
        <f>'[4]BP-Wom'!A103</f>
        <v>75</v>
      </c>
      <c r="B111">
        <f>'[4]BP-Wom'!B103</f>
        <v>65</v>
      </c>
      <c r="C111" t="str">
        <f>'[4]BP-Wom'!C103</f>
        <v>Sheremenko Svitlana/59</v>
      </c>
      <c r="D111" t="str">
        <f t="shared" si="2"/>
        <v>59</v>
      </c>
      <c r="E111" t="str">
        <f>'[4]BP-Wom'!D103</f>
        <v>RUS</v>
      </c>
      <c r="F111" s="8">
        <f>'[4]BP-Wom'!E103</f>
        <v>39983</v>
      </c>
      <c r="G111" t="str">
        <f>'[4]BP-Wom'!F103</f>
        <v>Ternopil'</v>
      </c>
    </row>
    <row r="112" spans="1:7" x14ac:dyDescent="0.25">
      <c r="A112" s="1">
        <f>'[4]BP-Wom'!A104</f>
        <v>82.5</v>
      </c>
      <c r="B112">
        <f>'[4]BP-Wom'!B104</f>
        <v>90</v>
      </c>
      <c r="C112" t="str">
        <f>'[4]BP-Wom'!C104</f>
        <v>Tsukanova Natalya/56</v>
      </c>
      <c r="D112" t="str">
        <f t="shared" si="2"/>
        <v>56</v>
      </c>
      <c r="E112" t="str">
        <f>'[4]BP-Wom'!D104</f>
        <v>UKR</v>
      </c>
      <c r="F112" s="8">
        <f>'[4]BP-Wom'!E104</f>
        <v>39983</v>
      </c>
      <c r="G112" t="str">
        <f>'[4]BP-Wom'!F104</f>
        <v>Ternopil'</v>
      </c>
    </row>
    <row r="113" spans="1:7" x14ac:dyDescent="0.25">
      <c r="A113" s="1">
        <f>'[4]BP-Wom'!A105</f>
        <v>90</v>
      </c>
      <c r="B113">
        <f>'[4]BP-Wom'!B105</f>
        <v>52.5</v>
      </c>
      <c r="C113" t="str">
        <f>'[4]BP-Wom'!C105</f>
        <v>Gavrilova Olga/60</v>
      </c>
      <c r="D113" t="str">
        <f t="shared" si="2"/>
        <v>60</v>
      </c>
      <c r="E113" t="str">
        <f>'[4]BP-Wom'!D105</f>
        <v>RUS</v>
      </c>
      <c r="F113" s="8">
        <f>'[4]BP-Wom'!E105</f>
        <v>41619</v>
      </c>
      <c r="G113" t="str">
        <f>'[4]BP-Wom'!F105</f>
        <v>Kursk</v>
      </c>
    </row>
    <row r="114" spans="1:7" x14ac:dyDescent="0.25">
      <c r="A114" s="1" t="str">
        <f>'[4]BP-Wom'!A106</f>
        <v>90+</v>
      </c>
      <c r="B114">
        <f>'[4]BP-Wom'!B106</f>
        <v>0</v>
      </c>
      <c r="C114">
        <f>'[4]BP-Wom'!C106</f>
        <v>0</v>
      </c>
      <c r="D114" t="str">
        <f t="shared" si="2"/>
        <v>0</v>
      </c>
      <c r="E114">
        <f>'[4]BP-Wom'!D106</f>
        <v>0</v>
      </c>
      <c r="F114" s="8">
        <f>'[4]BP-Wom'!E106</f>
        <v>0</v>
      </c>
      <c r="G114">
        <f>'[4]BP-Wom'!F106</f>
        <v>0</v>
      </c>
    </row>
    <row r="115" spans="1:7" x14ac:dyDescent="0.25">
      <c r="B115">
        <f>'[4]BP-Wom'!B107</f>
        <v>0</v>
      </c>
      <c r="C115">
        <f>'[4]BP-Wom'!C107</f>
        <v>0</v>
      </c>
      <c r="D115" t="str">
        <f t="shared" si="2"/>
        <v>0</v>
      </c>
      <c r="E115">
        <f>'[4]BP-Wom'!D107</f>
        <v>0</v>
      </c>
      <c r="F115" s="8">
        <f>'[4]BP-Wom'!E107</f>
        <v>0</v>
      </c>
      <c r="G115">
        <f>'[4]BP-Wom'!F107</f>
        <v>0</v>
      </c>
    </row>
    <row r="116" spans="1:7" s="11" customFormat="1" x14ac:dyDescent="0.25">
      <c r="A116" s="22" t="s">
        <v>0</v>
      </c>
      <c r="B116" s="11">
        <v>0</v>
      </c>
      <c r="C116" s="11">
        <v>55</v>
      </c>
      <c r="D116" s="11" t="str">
        <f>'[4]BP-Wom'!B108</f>
        <v>М4 (55-59)</v>
      </c>
      <c r="F116" s="12"/>
    </row>
    <row r="117" spans="1:7" x14ac:dyDescent="0.25">
      <c r="A117" s="1">
        <f>'[4]BP-Wom'!A109</f>
        <v>44</v>
      </c>
      <c r="B117">
        <f>'[4]BP-Wom'!B109</f>
        <v>0</v>
      </c>
      <c r="C117">
        <f>'[4]BP-Wom'!C109</f>
        <v>0</v>
      </c>
      <c r="D117" t="str">
        <f t="shared" si="2"/>
        <v>0</v>
      </c>
      <c r="E117">
        <f>'[4]BP-Wom'!D109</f>
        <v>0</v>
      </c>
      <c r="F117" s="8">
        <f>'[4]BP-Wom'!E109</f>
        <v>0</v>
      </c>
      <c r="G117">
        <f>'[4]BP-Wom'!F109</f>
        <v>0</v>
      </c>
    </row>
    <row r="118" spans="1:7" x14ac:dyDescent="0.25">
      <c r="A118" s="1">
        <f>'[4]BP-Wom'!A110</f>
        <v>48</v>
      </c>
      <c r="B118">
        <f>'[4]BP-Wom'!B110</f>
        <v>0</v>
      </c>
      <c r="C118">
        <f>'[4]BP-Wom'!C110</f>
        <v>0</v>
      </c>
      <c r="D118" t="str">
        <f t="shared" ref="D118:D138" si="3">RIGHT(C118,2)</f>
        <v>0</v>
      </c>
      <c r="E118">
        <f>'[4]BP-Wom'!D110</f>
        <v>0</v>
      </c>
      <c r="F118" s="8">
        <f>'[4]BP-Wom'!E110</f>
        <v>0</v>
      </c>
      <c r="G118">
        <f>'[4]BP-Wom'!F110</f>
        <v>0</v>
      </c>
    </row>
    <row r="119" spans="1:7" x14ac:dyDescent="0.25">
      <c r="A119" s="1">
        <f>'[4]BP-Wom'!A111</f>
        <v>52</v>
      </c>
      <c r="B119">
        <f>'[4]BP-Wom'!B111</f>
        <v>0</v>
      </c>
      <c r="C119">
        <f>'[4]BP-Wom'!C111</f>
        <v>0</v>
      </c>
      <c r="D119" t="str">
        <f t="shared" si="3"/>
        <v>0</v>
      </c>
      <c r="E119">
        <f>'[4]BP-Wom'!D111</f>
        <v>0</v>
      </c>
      <c r="F119" s="8">
        <f>'[4]BP-Wom'!E111</f>
        <v>0</v>
      </c>
      <c r="G119">
        <f>'[4]BP-Wom'!F111</f>
        <v>0</v>
      </c>
    </row>
    <row r="120" spans="1:7" x14ac:dyDescent="0.25">
      <c r="A120" s="1">
        <f>'[4]BP-Wom'!A112</f>
        <v>56</v>
      </c>
      <c r="B120">
        <f>'[4]BP-Wom'!B112</f>
        <v>0</v>
      </c>
      <c r="C120">
        <f>'[4]BP-Wom'!C112</f>
        <v>0</v>
      </c>
      <c r="D120" t="str">
        <f t="shared" si="3"/>
        <v>0</v>
      </c>
      <c r="E120">
        <f>'[4]BP-Wom'!D112</f>
        <v>0</v>
      </c>
      <c r="F120" s="8">
        <f>'[4]BP-Wom'!E112</f>
        <v>0</v>
      </c>
      <c r="G120">
        <f>'[4]BP-Wom'!F112</f>
        <v>0</v>
      </c>
    </row>
    <row r="121" spans="1:7" x14ac:dyDescent="0.25">
      <c r="A121" s="1">
        <f>'[4]BP-Wom'!A113</f>
        <v>60</v>
      </c>
      <c r="B121">
        <f>'[4]BP-Wom'!B113</f>
        <v>0</v>
      </c>
      <c r="C121">
        <f>'[4]BP-Wom'!C113</f>
        <v>0</v>
      </c>
      <c r="D121" t="str">
        <f t="shared" si="3"/>
        <v>0</v>
      </c>
      <c r="E121">
        <f>'[4]BP-Wom'!D113</f>
        <v>0</v>
      </c>
      <c r="F121" s="8">
        <f>'[4]BP-Wom'!E113</f>
        <v>0</v>
      </c>
      <c r="G121">
        <f>'[4]BP-Wom'!F113</f>
        <v>0</v>
      </c>
    </row>
    <row r="122" spans="1:7" x14ac:dyDescent="0.25">
      <c r="A122" s="1">
        <f>'[4]BP-Wom'!A114</f>
        <v>67.5</v>
      </c>
      <c r="B122">
        <f>'[4]BP-Wom'!B114</f>
        <v>55</v>
      </c>
      <c r="C122" t="str">
        <f>'[4]BP-Wom'!C114</f>
        <v>Kryshtaleva Alla/56</v>
      </c>
      <c r="D122" t="str">
        <f t="shared" si="3"/>
        <v>56</v>
      </c>
      <c r="E122" t="str">
        <f>'[4]BP-Wom'!D114</f>
        <v>UKR</v>
      </c>
      <c r="F122" s="8">
        <f>'[4]BP-Wom'!E114</f>
        <v>41128</v>
      </c>
      <c r="G122" t="str">
        <f>'[4]BP-Wom'!F114</f>
        <v>Kryvyi Rig</v>
      </c>
    </row>
    <row r="123" spans="1:7" x14ac:dyDescent="0.25">
      <c r="A123" s="1">
        <f>'[4]BP-Wom'!A115</f>
        <v>75</v>
      </c>
      <c r="B123">
        <f>'[4]BP-Wom'!B115</f>
        <v>0</v>
      </c>
      <c r="C123">
        <f>'[4]BP-Wom'!C115</f>
        <v>0</v>
      </c>
      <c r="D123" t="str">
        <f t="shared" si="3"/>
        <v>0</v>
      </c>
      <c r="E123">
        <f>'[4]BP-Wom'!D115</f>
        <v>0</v>
      </c>
      <c r="F123" s="8">
        <f>'[4]BP-Wom'!E115</f>
        <v>0</v>
      </c>
      <c r="G123">
        <f>'[4]BP-Wom'!F115</f>
        <v>0</v>
      </c>
    </row>
    <row r="124" spans="1:7" x14ac:dyDescent="0.25">
      <c r="A124" s="1">
        <f>'[4]BP-Wom'!A116</f>
        <v>82.5</v>
      </c>
      <c r="B124">
        <f>'[4]BP-Wom'!B116</f>
        <v>0</v>
      </c>
      <c r="C124">
        <f>'[4]BP-Wom'!C116</f>
        <v>0</v>
      </c>
      <c r="D124" t="str">
        <f t="shared" si="3"/>
        <v>0</v>
      </c>
      <c r="E124">
        <f>'[4]BP-Wom'!D116</f>
        <v>0</v>
      </c>
      <c r="F124" s="8">
        <f>'[4]BP-Wom'!E116</f>
        <v>0</v>
      </c>
      <c r="G124">
        <f>'[4]BP-Wom'!F116</f>
        <v>0</v>
      </c>
    </row>
    <row r="125" spans="1:7" x14ac:dyDescent="0.25">
      <c r="A125" s="1">
        <f>'[4]BP-Wom'!A117</f>
        <v>90</v>
      </c>
      <c r="B125">
        <f>'[4]BP-Wom'!B117</f>
        <v>0</v>
      </c>
      <c r="C125">
        <f>'[4]BP-Wom'!C117</f>
        <v>0</v>
      </c>
      <c r="D125" t="str">
        <f t="shared" si="3"/>
        <v>0</v>
      </c>
      <c r="E125">
        <f>'[4]BP-Wom'!D117</f>
        <v>0</v>
      </c>
      <c r="F125" s="8">
        <f>'[4]BP-Wom'!E117</f>
        <v>0</v>
      </c>
      <c r="G125">
        <f>'[4]BP-Wom'!F117</f>
        <v>0</v>
      </c>
    </row>
    <row r="126" spans="1:7" x14ac:dyDescent="0.25">
      <c r="A126" s="1" t="str">
        <f>'[4]BP-Wom'!A118</f>
        <v>90+</v>
      </c>
      <c r="B126">
        <f>'[4]BP-Wom'!B118</f>
        <v>0</v>
      </c>
      <c r="C126">
        <f>'[4]BP-Wom'!C118</f>
        <v>0</v>
      </c>
      <c r="D126" t="str">
        <f t="shared" si="3"/>
        <v>0</v>
      </c>
      <c r="E126">
        <f>'[4]BP-Wom'!D118</f>
        <v>0</v>
      </c>
      <c r="F126" s="8">
        <f>'[4]BP-Wom'!E118</f>
        <v>0</v>
      </c>
      <c r="G126">
        <f>'[4]BP-Wom'!F118</f>
        <v>0</v>
      </c>
    </row>
    <row r="128" spans="1:7" s="11" customFormat="1" x14ac:dyDescent="0.25">
      <c r="A128" s="22" t="s">
        <v>0</v>
      </c>
      <c r="B128" s="11">
        <v>0</v>
      </c>
      <c r="C128" s="11">
        <v>60</v>
      </c>
      <c r="D128" s="11" t="str">
        <f>'[4]BP-Wom'!B119</f>
        <v>М5  (60-64)</v>
      </c>
      <c r="F128" s="12"/>
    </row>
    <row r="129" spans="1:7" x14ac:dyDescent="0.25">
      <c r="A129" s="1">
        <f>'[4]BP-Wom'!A120</f>
        <v>44</v>
      </c>
      <c r="B129">
        <f>'[4]BP-Wom'!B120</f>
        <v>0</v>
      </c>
      <c r="C129">
        <f>'[4]BP-Wom'!C120</f>
        <v>0</v>
      </c>
      <c r="D129" t="str">
        <f t="shared" si="3"/>
        <v>0</v>
      </c>
      <c r="E129">
        <f>'[4]BP-Wom'!D120</f>
        <v>0</v>
      </c>
      <c r="F129" s="8">
        <f>'[4]BP-Wom'!E120</f>
        <v>0</v>
      </c>
      <c r="G129">
        <f>'[4]BP-Wom'!F120</f>
        <v>0</v>
      </c>
    </row>
    <row r="130" spans="1:7" x14ac:dyDescent="0.25">
      <c r="A130" s="1">
        <f>'[4]BP-Wom'!A121</f>
        <v>48</v>
      </c>
      <c r="B130">
        <f>'[4]BP-Wom'!B121</f>
        <v>0</v>
      </c>
      <c r="C130">
        <f>'[4]BP-Wom'!C121</f>
        <v>0</v>
      </c>
      <c r="D130" t="str">
        <f t="shared" si="3"/>
        <v>0</v>
      </c>
      <c r="E130">
        <f>'[4]BP-Wom'!D121</f>
        <v>0</v>
      </c>
      <c r="F130" s="8">
        <f>'[4]BP-Wom'!E121</f>
        <v>0</v>
      </c>
      <c r="G130">
        <f>'[4]BP-Wom'!F121</f>
        <v>0</v>
      </c>
    </row>
    <row r="131" spans="1:7" x14ac:dyDescent="0.25">
      <c r="A131" s="1">
        <f>'[4]BP-Wom'!A122</f>
        <v>52</v>
      </c>
      <c r="B131">
        <f>'[4]BP-Wom'!B122</f>
        <v>0</v>
      </c>
      <c r="C131">
        <f>'[4]BP-Wom'!C122</f>
        <v>0</v>
      </c>
      <c r="D131" t="str">
        <f t="shared" si="3"/>
        <v>0</v>
      </c>
      <c r="E131">
        <f>'[4]BP-Wom'!D122</f>
        <v>0</v>
      </c>
      <c r="F131" s="8">
        <f>'[4]BP-Wom'!E122</f>
        <v>0</v>
      </c>
      <c r="G131">
        <f>'[4]BP-Wom'!F122</f>
        <v>0</v>
      </c>
    </row>
    <row r="132" spans="1:7" x14ac:dyDescent="0.25">
      <c r="A132" s="1">
        <f>'[4]BP-Wom'!A123</f>
        <v>56</v>
      </c>
      <c r="B132">
        <f>'[4]BP-Wom'!B123</f>
        <v>0</v>
      </c>
      <c r="C132">
        <f>'[4]BP-Wom'!C123</f>
        <v>0</v>
      </c>
      <c r="D132" t="str">
        <f t="shared" si="3"/>
        <v>0</v>
      </c>
      <c r="E132">
        <f>'[4]BP-Wom'!D123</f>
        <v>0</v>
      </c>
      <c r="F132" s="8">
        <f>'[4]BP-Wom'!E123</f>
        <v>0</v>
      </c>
      <c r="G132">
        <f>'[4]BP-Wom'!F123</f>
        <v>0</v>
      </c>
    </row>
    <row r="133" spans="1:7" x14ac:dyDescent="0.25">
      <c r="A133" s="1">
        <f>'[4]BP-Wom'!A124</f>
        <v>60</v>
      </c>
      <c r="B133">
        <f>'[4]BP-Wom'!B124</f>
        <v>45</v>
      </c>
      <c r="C133" t="str">
        <f>'[4]BP-Wom'!C124</f>
        <v>Kondratyeva Galina/52</v>
      </c>
      <c r="D133" t="str">
        <f t="shared" si="3"/>
        <v>52</v>
      </c>
      <c r="E133" t="str">
        <f>'[4]BP-Wom'!D124</f>
        <v>RUS</v>
      </c>
      <c r="F133" s="8">
        <f>'[4]BP-Wom'!E124</f>
        <v>41067</v>
      </c>
      <c r="G133" t="str">
        <f>'[4]BP-Wom'!F124</f>
        <v>Moscow</v>
      </c>
    </row>
    <row r="134" spans="1:7" x14ac:dyDescent="0.25">
      <c r="A134" s="1">
        <f>'[4]BP-Wom'!A125</f>
        <v>67.5</v>
      </c>
      <c r="B134">
        <f>'[4]BP-Wom'!B125</f>
        <v>0</v>
      </c>
      <c r="C134">
        <f>'[4]BP-Wom'!C125</f>
        <v>0</v>
      </c>
      <c r="D134" t="str">
        <f t="shared" si="3"/>
        <v>0</v>
      </c>
      <c r="E134">
        <f>'[4]BP-Wom'!D125</f>
        <v>0</v>
      </c>
      <c r="F134" s="8">
        <f>'[4]BP-Wom'!E125</f>
        <v>0</v>
      </c>
      <c r="G134">
        <f>'[4]BP-Wom'!F125</f>
        <v>0</v>
      </c>
    </row>
    <row r="135" spans="1:7" x14ac:dyDescent="0.25">
      <c r="A135" s="1">
        <f>'[4]BP-Wom'!A126</f>
        <v>75</v>
      </c>
      <c r="B135">
        <f>'[4]BP-Wom'!B126</f>
        <v>0</v>
      </c>
      <c r="C135">
        <f>'[4]BP-Wom'!C126</f>
        <v>0</v>
      </c>
      <c r="D135" t="str">
        <f t="shared" si="3"/>
        <v>0</v>
      </c>
      <c r="E135">
        <f>'[4]BP-Wom'!D126</f>
        <v>0</v>
      </c>
      <c r="F135" s="8">
        <f>'[4]BP-Wom'!E126</f>
        <v>0</v>
      </c>
      <c r="G135">
        <f>'[4]BP-Wom'!F126</f>
        <v>0</v>
      </c>
    </row>
    <row r="136" spans="1:7" x14ac:dyDescent="0.25">
      <c r="A136" s="1">
        <f>'[4]BP-Wom'!A127</f>
        <v>82.5</v>
      </c>
      <c r="B136">
        <f>'[4]BP-Wom'!B127</f>
        <v>0</v>
      </c>
      <c r="C136">
        <f>'[4]BP-Wom'!C127</f>
        <v>0</v>
      </c>
      <c r="D136" t="str">
        <f t="shared" si="3"/>
        <v>0</v>
      </c>
      <c r="E136">
        <f>'[4]BP-Wom'!D127</f>
        <v>0</v>
      </c>
      <c r="F136" s="8">
        <f>'[4]BP-Wom'!E127</f>
        <v>0</v>
      </c>
      <c r="G136">
        <f>'[4]BP-Wom'!F127</f>
        <v>0</v>
      </c>
    </row>
    <row r="137" spans="1:7" x14ac:dyDescent="0.25">
      <c r="A137" s="1">
        <f>'[4]BP-Wom'!A128</f>
        <v>90</v>
      </c>
      <c r="B137">
        <f>'[4]BP-Wom'!B128</f>
        <v>0</v>
      </c>
      <c r="C137">
        <f>'[4]BP-Wom'!C128</f>
        <v>0</v>
      </c>
      <c r="D137" t="str">
        <f t="shared" si="3"/>
        <v>0</v>
      </c>
      <c r="E137">
        <f>'[4]BP-Wom'!D128</f>
        <v>0</v>
      </c>
      <c r="F137" s="8">
        <f>'[4]BP-Wom'!E128</f>
        <v>0</v>
      </c>
      <c r="G137">
        <f>'[4]BP-Wom'!F128</f>
        <v>0</v>
      </c>
    </row>
    <row r="138" spans="1:7" x14ac:dyDescent="0.25">
      <c r="A138" s="1" t="str">
        <f>'[4]BP-Wom'!A129</f>
        <v>90+</v>
      </c>
      <c r="B138">
        <f>'[4]BP-Wom'!B129</f>
        <v>0</v>
      </c>
      <c r="C138">
        <f>'[4]BP-Wom'!C129</f>
        <v>0</v>
      </c>
      <c r="D138" t="str">
        <f t="shared" si="3"/>
        <v>0</v>
      </c>
      <c r="E138">
        <f>'[4]BP-Wom'!D129</f>
        <v>0</v>
      </c>
      <c r="F138" s="8">
        <f>'[4]BP-Wom'!E129</f>
        <v>0</v>
      </c>
      <c r="G138">
        <f>'[4]BP-Wom'!F129</f>
        <v>0</v>
      </c>
    </row>
    <row r="140" spans="1:7" s="11" customFormat="1" x14ac:dyDescent="0.25">
      <c r="A140" s="22" t="s">
        <v>0</v>
      </c>
      <c r="B140" s="11">
        <v>0</v>
      </c>
      <c r="C140" s="11">
        <v>75</v>
      </c>
      <c r="D140" s="11" t="str">
        <f>'[4]BP-Wom'!B130</f>
        <v>М8  (75-79)</v>
      </c>
      <c r="F140" s="12"/>
    </row>
    <row r="141" spans="1:7" x14ac:dyDescent="0.25">
      <c r="A141" s="1">
        <f>'[4]BP-Wom'!A131</f>
        <v>44</v>
      </c>
      <c r="B141">
        <f>'[4]BP-Wom'!B131</f>
        <v>0</v>
      </c>
      <c r="C141">
        <f>'[4]BP-Wom'!C131</f>
        <v>0</v>
      </c>
      <c r="D141" t="str">
        <f t="shared" ref="D141:D162" si="4">RIGHT(C141,2)</f>
        <v>0</v>
      </c>
      <c r="E141">
        <f>'[4]BP-Wom'!D131</f>
        <v>0</v>
      </c>
      <c r="F141" s="8">
        <f>'[4]BP-Wom'!E131</f>
        <v>0</v>
      </c>
      <c r="G141">
        <f>'[4]BP-Wom'!F131</f>
        <v>0</v>
      </c>
    </row>
    <row r="142" spans="1:7" x14ac:dyDescent="0.25">
      <c r="A142" s="1">
        <f>'[4]BP-Wom'!A132</f>
        <v>48</v>
      </c>
      <c r="B142">
        <f>'[4]BP-Wom'!B132</f>
        <v>0</v>
      </c>
      <c r="C142">
        <f>'[4]BP-Wom'!C132</f>
        <v>0</v>
      </c>
      <c r="D142" t="str">
        <f t="shared" si="4"/>
        <v>0</v>
      </c>
      <c r="E142">
        <f>'[4]BP-Wom'!D132</f>
        <v>0</v>
      </c>
      <c r="F142" s="8">
        <f>'[4]BP-Wom'!E132</f>
        <v>0</v>
      </c>
      <c r="G142">
        <f>'[4]BP-Wom'!F132</f>
        <v>0</v>
      </c>
    </row>
    <row r="143" spans="1:7" x14ac:dyDescent="0.25">
      <c r="A143" s="1">
        <f>'[4]BP-Wom'!A133</f>
        <v>52</v>
      </c>
      <c r="B143">
        <f>'[4]BP-Wom'!B133</f>
        <v>0</v>
      </c>
      <c r="C143">
        <f>'[4]BP-Wom'!C133</f>
        <v>0</v>
      </c>
      <c r="D143" t="str">
        <f t="shared" si="4"/>
        <v>0</v>
      </c>
      <c r="E143">
        <f>'[4]BP-Wom'!D133</f>
        <v>0</v>
      </c>
      <c r="F143" s="8">
        <f>'[4]BP-Wom'!E133</f>
        <v>0</v>
      </c>
      <c r="G143">
        <f>'[4]BP-Wom'!F133</f>
        <v>0</v>
      </c>
    </row>
    <row r="144" spans="1:7" x14ac:dyDescent="0.25">
      <c r="A144" s="1">
        <f>'[4]BP-Wom'!A134</f>
        <v>56</v>
      </c>
      <c r="B144">
        <f>'[4]BP-Wom'!B134</f>
        <v>0</v>
      </c>
      <c r="C144">
        <f>'[4]BP-Wom'!C134</f>
        <v>0</v>
      </c>
      <c r="D144" t="str">
        <f t="shared" si="4"/>
        <v>0</v>
      </c>
      <c r="E144">
        <f>'[4]BP-Wom'!D134</f>
        <v>0</v>
      </c>
      <c r="F144" s="8">
        <f>'[4]BP-Wom'!E134</f>
        <v>0</v>
      </c>
      <c r="G144">
        <f>'[4]BP-Wom'!F134</f>
        <v>0</v>
      </c>
    </row>
    <row r="145" spans="1:7" x14ac:dyDescent="0.25">
      <c r="A145" s="1">
        <f>'[4]BP-Wom'!A135</f>
        <v>60</v>
      </c>
      <c r="B145">
        <f>'[4]BP-Wom'!B135</f>
        <v>0</v>
      </c>
      <c r="C145">
        <f>'[4]BP-Wom'!C135</f>
        <v>0</v>
      </c>
      <c r="D145" t="str">
        <f t="shared" si="4"/>
        <v>0</v>
      </c>
      <c r="E145">
        <f>'[4]BP-Wom'!D135</f>
        <v>0</v>
      </c>
      <c r="F145" s="8">
        <f>'[4]BP-Wom'!E135</f>
        <v>0</v>
      </c>
      <c r="G145">
        <f>'[4]BP-Wom'!F135</f>
        <v>0</v>
      </c>
    </row>
    <row r="146" spans="1:7" x14ac:dyDescent="0.25">
      <c r="A146" s="1">
        <f>'[4]BP-Wom'!A136</f>
        <v>67.5</v>
      </c>
      <c r="B146">
        <f>'[4]BP-Wom'!B136</f>
        <v>0</v>
      </c>
      <c r="C146">
        <f>'[4]BP-Wom'!C136</f>
        <v>0</v>
      </c>
      <c r="D146" t="str">
        <f t="shared" si="4"/>
        <v>0</v>
      </c>
      <c r="E146">
        <f>'[4]BP-Wom'!D136</f>
        <v>0</v>
      </c>
      <c r="F146" s="8">
        <f>'[4]BP-Wom'!E136</f>
        <v>0</v>
      </c>
      <c r="G146">
        <f>'[4]BP-Wom'!F136</f>
        <v>0</v>
      </c>
    </row>
    <row r="147" spans="1:7" x14ac:dyDescent="0.25">
      <c r="A147" s="1">
        <f>'[4]BP-Wom'!A137</f>
        <v>75</v>
      </c>
      <c r="B147">
        <f>'[4]BP-Wom'!B137</f>
        <v>46</v>
      </c>
      <c r="C147" t="str">
        <f>'[4]BP-Wom'!C137</f>
        <v>Tsverova Galina/31</v>
      </c>
      <c r="D147" t="str">
        <f t="shared" si="4"/>
        <v>31</v>
      </c>
      <c r="E147" t="str">
        <f>'[4]BP-Wom'!D137</f>
        <v>RUS</v>
      </c>
      <c r="F147" s="8">
        <f>'[4]BP-Wom'!E137</f>
        <v>40088</v>
      </c>
      <c r="G147" t="str">
        <f>'[4]BP-Wom'!F137</f>
        <v>Rostov</v>
      </c>
    </row>
    <row r="148" spans="1:7" x14ac:dyDescent="0.25">
      <c r="A148" s="1">
        <f>'[4]BP-Wom'!A138</f>
        <v>82.5</v>
      </c>
      <c r="B148">
        <f>'[4]BP-Wom'!B138</f>
        <v>0</v>
      </c>
      <c r="C148">
        <f>'[4]BP-Wom'!C138</f>
        <v>0</v>
      </c>
      <c r="D148" t="str">
        <f t="shared" si="4"/>
        <v>0</v>
      </c>
      <c r="E148">
        <f>'[4]BP-Wom'!D138</f>
        <v>0</v>
      </c>
      <c r="F148" s="8">
        <f>'[4]BP-Wom'!E138</f>
        <v>0</v>
      </c>
      <c r="G148">
        <f>'[4]BP-Wom'!F138</f>
        <v>0</v>
      </c>
    </row>
    <row r="149" spans="1:7" x14ac:dyDescent="0.25">
      <c r="A149" s="1">
        <f>'[4]BP-Wom'!A139</f>
        <v>90</v>
      </c>
      <c r="B149">
        <f>'[4]BP-Wom'!B139</f>
        <v>0</v>
      </c>
      <c r="C149">
        <f>'[4]BP-Wom'!C139</f>
        <v>0</v>
      </c>
      <c r="D149" t="str">
        <f t="shared" si="4"/>
        <v>0</v>
      </c>
      <c r="E149">
        <f>'[4]BP-Wom'!D139</f>
        <v>0</v>
      </c>
      <c r="F149" s="8">
        <f>'[4]BP-Wom'!E139</f>
        <v>0</v>
      </c>
      <c r="G149">
        <f>'[4]BP-Wom'!F139</f>
        <v>0</v>
      </c>
    </row>
    <row r="150" spans="1:7" x14ac:dyDescent="0.25">
      <c r="A150" s="1" t="str">
        <f>'[4]BP-Wom'!A140</f>
        <v>90+</v>
      </c>
      <c r="B150">
        <f>'[4]BP-Wom'!B140</f>
        <v>0</v>
      </c>
      <c r="C150">
        <f>'[4]BP-Wom'!C140</f>
        <v>0</v>
      </c>
      <c r="D150" t="str">
        <f t="shared" si="4"/>
        <v>0</v>
      </c>
      <c r="E150">
        <f>'[4]BP-Wom'!D140</f>
        <v>0</v>
      </c>
      <c r="F150" s="8">
        <f>'[4]BP-Wom'!E140</f>
        <v>0</v>
      </c>
      <c r="G150">
        <f>'[4]BP-Wom'!F140</f>
        <v>0</v>
      </c>
    </row>
    <row r="152" spans="1:7" s="11" customFormat="1" x14ac:dyDescent="0.25">
      <c r="A152" s="22" t="s">
        <v>0</v>
      </c>
      <c r="B152" s="11">
        <v>0</v>
      </c>
      <c r="C152" s="11">
        <v>80</v>
      </c>
      <c r="D152" s="11" t="str">
        <f>'[4]BP-Wom'!B141</f>
        <v>М9  (80-84)</v>
      </c>
      <c r="F152" s="12"/>
    </row>
    <row r="153" spans="1:7" x14ac:dyDescent="0.25">
      <c r="A153" s="1">
        <f>'[4]BP-Wom'!A142</f>
        <v>44</v>
      </c>
      <c r="B153">
        <f>'[4]BP-Wom'!B142</f>
        <v>0</v>
      </c>
      <c r="C153">
        <f>'[4]BP-Wom'!C142</f>
        <v>0</v>
      </c>
      <c r="D153" t="str">
        <f t="shared" si="4"/>
        <v>0</v>
      </c>
      <c r="E153">
        <f>'[4]BP-Wom'!D142</f>
        <v>0</v>
      </c>
      <c r="F153" s="8">
        <f>'[4]BP-Wom'!E142</f>
        <v>0</v>
      </c>
      <c r="G153">
        <f>'[4]BP-Wom'!F142</f>
        <v>0</v>
      </c>
    </row>
    <row r="154" spans="1:7" x14ac:dyDescent="0.25">
      <c r="A154" s="1">
        <f>'[4]BP-Wom'!A143</f>
        <v>48</v>
      </c>
      <c r="B154">
        <f>'[4]BP-Wom'!B143</f>
        <v>0</v>
      </c>
      <c r="C154">
        <f>'[4]BP-Wom'!C143</f>
        <v>0</v>
      </c>
      <c r="D154" t="str">
        <f t="shared" si="4"/>
        <v>0</v>
      </c>
      <c r="E154">
        <f>'[4]BP-Wom'!D143</f>
        <v>0</v>
      </c>
      <c r="F154" s="8">
        <f>'[4]BP-Wom'!E143</f>
        <v>0</v>
      </c>
      <c r="G154">
        <f>'[4]BP-Wom'!F143</f>
        <v>0</v>
      </c>
    </row>
    <row r="155" spans="1:7" x14ac:dyDescent="0.25">
      <c r="A155" s="1">
        <f>'[4]BP-Wom'!A144</f>
        <v>52</v>
      </c>
      <c r="B155">
        <f>'[4]BP-Wom'!B144</f>
        <v>0</v>
      </c>
      <c r="C155">
        <f>'[4]BP-Wom'!C144</f>
        <v>0</v>
      </c>
      <c r="D155" t="str">
        <f t="shared" si="4"/>
        <v>0</v>
      </c>
      <c r="E155">
        <f>'[4]BP-Wom'!D144</f>
        <v>0</v>
      </c>
      <c r="F155" s="8">
        <f>'[4]BP-Wom'!E144</f>
        <v>0</v>
      </c>
      <c r="G155">
        <f>'[4]BP-Wom'!F144</f>
        <v>0</v>
      </c>
    </row>
    <row r="156" spans="1:7" x14ac:dyDescent="0.25">
      <c r="A156" s="1">
        <f>'[4]BP-Wom'!A145</f>
        <v>56</v>
      </c>
      <c r="B156">
        <f>'[4]BP-Wom'!B145</f>
        <v>0</v>
      </c>
      <c r="C156">
        <f>'[4]BP-Wom'!C145</f>
        <v>0</v>
      </c>
      <c r="D156" t="str">
        <f t="shared" si="4"/>
        <v>0</v>
      </c>
      <c r="E156">
        <f>'[4]BP-Wom'!D145</f>
        <v>0</v>
      </c>
      <c r="F156" s="8">
        <f>'[4]BP-Wom'!E145</f>
        <v>0</v>
      </c>
      <c r="G156">
        <f>'[4]BP-Wom'!F145</f>
        <v>0</v>
      </c>
    </row>
    <row r="157" spans="1:7" x14ac:dyDescent="0.25">
      <c r="A157" s="1">
        <f>'[4]BP-Wom'!A146</f>
        <v>60</v>
      </c>
      <c r="B157">
        <f>'[4]BP-Wom'!B146</f>
        <v>0</v>
      </c>
      <c r="C157">
        <f>'[4]BP-Wom'!C146</f>
        <v>0</v>
      </c>
      <c r="D157" t="str">
        <f t="shared" si="4"/>
        <v>0</v>
      </c>
      <c r="E157">
        <f>'[4]BP-Wom'!D146</f>
        <v>0</v>
      </c>
      <c r="F157" s="8">
        <f>'[4]BP-Wom'!E146</f>
        <v>0</v>
      </c>
      <c r="G157">
        <f>'[4]BP-Wom'!F146</f>
        <v>0</v>
      </c>
    </row>
    <row r="158" spans="1:7" x14ac:dyDescent="0.25">
      <c r="A158" s="1">
        <f>'[4]BP-Wom'!A147</f>
        <v>67.5</v>
      </c>
      <c r="B158">
        <f>'[4]BP-Wom'!B147</f>
        <v>0</v>
      </c>
      <c r="C158">
        <f>'[4]BP-Wom'!C147</f>
        <v>0</v>
      </c>
      <c r="D158" t="str">
        <f t="shared" si="4"/>
        <v>0</v>
      </c>
      <c r="E158">
        <f>'[4]BP-Wom'!D147</f>
        <v>0</v>
      </c>
      <c r="F158" s="8">
        <f>'[4]BP-Wom'!E147</f>
        <v>0</v>
      </c>
      <c r="G158">
        <f>'[4]BP-Wom'!F147</f>
        <v>0</v>
      </c>
    </row>
    <row r="159" spans="1:7" x14ac:dyDescent="0.25">
      <c r="A159" s="1">
        <f>'[4]BP-Wom'!A148</f>
        <v>75</v>
      </c>
      <c r="B159">
        <f>'[4]BP-Wom'!B148</f>
        <v>50</v>
      </c>
      <c r="C159" t="str">
        <f>'[4]BP-Wom'!C148</f>
        <v>Tsverova Galina/31</v>
      </c>
      <c r="D159" t="str">
        <f t="shared" si="4"/>
        <v>31</v>
      </c>
      <c r="E159" t="str">
        <f>'[4]BP-Wom'!D148</f>
        <v>RUS</v>
      </c>
      <c r="F159" s="8">
        <f>'[4]BP-Wom'!E148</f>
        <v>41201</v>
      </c>
      <c r="G159" t="str">
        <f>'[4]BP-Wom'!F148</f>
        <v>Krasnodar</v>
      </c>
    </row>
    <row r="160" spans="1:7" x14ac:dyDescent="0.25">
      <c r="A160" s="1">
        <f>'[4]BP-Wom'!A149</f>
        <v>82.5</v>
      </c>
      <c r="B160">
        <f>'[4]BP-Wom'!B149</f>
        <v>0</v>
      </c>
      <c r="C160">
        <f>'[4]BP-Wom'!C149</f>
        <v>0</v>
      </c>
      <c r="D160" t="str">
        <f t="shared" si="4"/>
        <v>0</v>
      </c>
      <c r="E160">
        <f>'[4]BP-Wom'!D149</f>
        <v>0</v>
      </c>
      <c r="F160" s="8">
        <f>'[4]BP-Wom'!E149</f>
        <v>0</v>
      </c>
      <c r="G160">
        <f>'[4]BP-Wom'!F149</f>
        <v>0</v>
      </c>
    </row>
    <row r="161" spans="1:7" x14ac:dyDescent="0.25">
      <c r="A161" s="1">
        <f>'[4]BP-Wom'!A150</f>
        <v>90</v>
      </c>
      <c r="B161">
        <f>'[4]BP-Wom'!B150</f>
        <v>0</v>
      </c>
      <c r="C161">
        <f>'[4]BP-Wom'!C150</f>
        <v>0</v>
      </c>
      <c r="D161" t="str">
        <f t="shared" si="4"/>
        <v>0</v>
      </c>
      <c r="E161">
        <f>'[4]BP-Wom'!D150</f>
        <v>0</v>
      </c>
      <c r="F161" s="8">
        <f>'[4]BP-Wom'!E150</f>
        <v>0</v>
      </c>
      <c r="G161">
        <f>'[4]BP-Wom'!F150</f>
        <v>0</v>
      </c>
    </row>
    <row r="162" spans="1:7" x14ac:dyDescent="0.25">
      <c r="A162" s="1" t="str">
        <f>'[4]BP-Wom'!A151</f>
        <v>90+</v>
      </c>
      <c r="B162">
        <f>'[4]BP-Wom'!B151</f>
        <v>0</v>
      </c>
      <c r="C162">
        <f>'[4]BP-Wom'!C151</f>
        <v>0</v>
      </c>
      <c r="D162" t="str">
        <f t="shared" si="4"/>
        <v>0</v>
      </c>
      <c r="E162">
        <f>'[4]BP-Wom'!D151</f>
        <v>0</v>
      </c>
      <c r="F162" s="8">
        <f>'[4]BP-Wom'!E151</f>
        <v>0</v>
      </c>
      <c r="G162">
        <f>'[4]BP-Wom'!F151</f>
        <v>0</v>
      </c>
    </row>
    <row r="163" spans="1:7" x14ac:dyDescent="0.25">
      <c r="A163" s="1">
        <f>'[4]BP-Wom'!A152</f>
        <v>0</v>
      </c>
      <c r="B163">
        <f>'[4]BP-Wom'!B152</f>
        <v>0</v>
      </c>
      <c r="C163">
        <f>'[4]BP-Wom'!C152</f>
        <v>0</v>
      </c>
      <c r="D163" t="str">
        <f t="shared" ref="D163:D171" si="5">RIGHT(C163,2)</f>
        <v>0</v>
      </c>
      <c r="E163">
        <f>'[4]BP-Wom'!D152</f>
        <v>0</v>
      </c>
      <c r="F163" s="8">
        <f>'[4]BP-Wom'!E152</f>
        <v>0</v>
      </c>
      <c r="G163">
        <f>'[4]BP-Wom'!F152</f>
        <v>0</v>
      </c>
    </row>
    <row r="164" spans="1:7" x14ac:dyDescent="0.25">
      <c r="A164" s="1">
        <f>'[4]BP-Wom'!A153</f>
        <v>0</v>
      </c>
      <c r="B164">
        <f>'[4]BP-Wom'!B153</f>
        <v>0</v>
      </c>
      <c r="C164">
        <f>'[4]BP-Wom'!C153</f>
        <v>0</v>
      </c>
      <c r="D164" t="str">
        <f t="shared" si="5"/>
        <v>0</v>
      </c>
      <c r="E164">
        <f>'[4]BP-Wom'!D153</f>
        <v>0</v>
      </c>
      <c r="F164" s="8">
        <f>'[4]BP-Wom'!E153</f>
        <v>0</v>
      </c>
      <c r="G164">
        <f>'[4]BP-Wom'!F153</f>
        <v>0</v>
      </c>
    </row>
    <row r="165" spans="1:7" x14ac:dyDescent="0.25">
      <c r="A165" s="1">
        <f>'[4]BP-Wom'!A154</f>
        <v>0</v>
      </c>
      <c r="B165">
        <f>'[4]BP-Wom'!B154</f>
        <v>0</v>
      </c>
      <c r="C165">
        <f>'[4]BP-Wom'!C154</f>
        <v>0</v>
      </c>
      <c r="D165" t="str">
        <f t="shared" si="5"/>
        <v>0</v>
      </c>
      <c r="E165">
        <f>'[4]BP-Wom'!D154</f>
        <v>0</v>
      </c>
      <c r="F165" s="8">
        <f>'[4]BP-Wom'!E154</f>
        <v>0</v>
      </c>
      <c r="G165">
        <f>'[4]BP-Wom'!F154</f>
        <v>0</v>
      </c>
    </row>
    <row r="166" spans="1:7" x14ac:dyDescent="0.25">
      <c r="A166" s="1">
        <f>'[4]BP-Wom'!A155</f>
        <v>0</v>
      </c>
      <c r="B166">
        <f>'[4]BP-Wom'!B155</f>
        <v>0</v>
      </c>
      <c r="C166">
        <f>'[4]BP-Wom'!C155</f>
        <v>0</v>
      </c>
      <c r="D166" t="str">
        <f t="shared" si="5"/>
        <v>0</v>
      </c>
      <c r="E166">
        <f>'[4]BP-Wom'!D155</f>
        <v>0</v>
      </c>
      <c r="F166" s="8">
        <f>'[4]BP-Wom'!E155</f>
        <v>0</v>
      </c>
      <c r="G166">
        <f>'[4]BP-Wom'!F155</f>
        <v>0</v>
      </c>
    </row>
    <row r="167" spans="1:7" x14ac:dyDescent="0.25">
      <c r="A167" s="1">
        <f>'[4]BP-Wom'!A156</f>
        <v>0</v>
      </c>
      <c r="B167">
        <f>'[4]BP-Wom'!B156</f>
        <v>0</v>
      </c>
      <c r="C167">
        <f>'[4]BP-Wom'!C156</f>
        <v>0</v>
      </c>
      <c r="D167" t="str">
        <f t="shared" si="5"/>
        <v>0</v>
      </c>
      <c r="E167">
        <f>'[4]BP-Wom'!D156</f>
        <v>0</v>
      </c>
      <c r="F167" s="8">
        <f>'[4]BP-Wom'!E156</f>
        <v>0</v>
      </c>
      <c r="G167">
        <f>'[4]BP-Wom'!F156</f>
        <v>0</v>
      </c>
    </row>
    <row r="168" spans="1:7" x14ac:dyDescent="0.25">
      <c r="A168" s="1">
        <f>'[4]BP-Wom'!A157</f>
        <v>0</v>
      </c>
      <c r="B168">
        <f>'[4]BP-Wom'!B157</f>
        <v>0</v>
      </c>
      <c r="C168">
        <f>'[4]BP-Wom'!C157</f>
        <v>0</v>
      </c>
      <c r="D168" t="str">
        <f t="shared" si="5"/>
        <v>0</v>
      </c>
      <c r="E168">
        <f>'[4]BP-Wom'!D157</f>
        <v>0</v>
      </c>
      <c r="F168" s="8">
        <f>'[4]BP-Wom'!E157</f>
        <v>0</v>
      </c>
      <c r="G168">
        <f>'[4]BP-Wom'!F157</f>
        <v>0</v>
      </c>
    </row>
    <row r="169" spans="1:7" x14ac:dyDescent="0.25">
      <c r="A169" s="1">
        <f>'[4]BP-Wom'!A158</f>
        <v>0</v>
      </c>
      <c r="B169">
        <f>'[4]BP-Wom'!B158</f>
        <v>0</v>
      </c>
      <c r="C169">
        <f>'[4]BP-Wom'!C158</f>
        <v>0</v>
      </c>
      <c r="D169" t="str">
        <f t="shared" si="5"/>
        <v>0</v>
      </c>
      <c r="E169">
        <f>'[4]BP-Wom'!D158</f>
        <v>0</v>
      </c>
      <c r="F169" s="8">
        <f>'[4]BP-Wom'!E158</f>
        <v>0</v>
      </c>
      <c r="G169">
        <f>'[4]BP-Wom'!F158</f>
        <v>0</v>
      </c>
    </row>
    <row r="170" spans="1:7" x14ac:dyDescent="0.25">
      <c r="A170" s="1">
        <f>'[4]BP-Wom'!A159</f>
        <v>0</v>
      </c>
      <c r="B170">
        <f>'[4]BP-Wom'!B159</f>
        <v>0</v>
      </c>
      <c r="C170">
        <f>'[4]BP-Wom'!C159</f>
        <v>0</v>
      </c>
      <c r="D170" t="str">
        <f t="shared" si="5"/>
        <v>0</v>
      </c>
      <c r="E170">
        <f>'[4]BP-Wom'!D159</f>
        <v>0</v>
      </c>
      <c r="F170" s="8">
        <f>'[4]BP-Wom'!E159</f>
        <v>0</v>
      </c>
      <c r="G170">
        <f>'[4]BP-Wom'!F159</f>
        <v>0</v>
      </c>
    </row>
    <row r="171" spans="1:7" x14ac:dyDescent="0.25">
      <c r="A171" s="1">
        <f>'[4]BP-Wom'!A160</f>
        <v>0</v>
      </c>
      <c r="B171">
        <f>'[4]BP-Wom'!B160</f>
        <v>0</v>
      </c>
      <c r="C171">
        <f>'[4]BP-Wom'!C160</f>
        <v>0</v>
      </c>
      <c r="D171" t="str">
        <f t="shared" si="5"/>
        <v>0</v>
      </c>
      <c r="E171">
        <f>'[4]BP-Wom'!D160</f>
        <v>0</v>
      </c>
      <c r="F171" s="8">
        <f>'[4]BP-Wom'!E160</f>
        <v>0</v>
      </c>
      <c r="G171">
        <f>'[4]BP-Wom'!F160</f>
        <v>0</v>
      </c>
    </row>
    <row r="173" spans="1:7" x14ac:dyDescent="0.25">
      <c r="D173" t="str">
        <f t="shared" si="1"/>
        <v/>
      </c>
    </row>
    <row r="174" spans="1:7" x14ac:dyDescent="0.25">
      <c r="D174" t="str">
        <f t="shared" si="1"/>
        <v/>
      </c>
    </row>
    <row r="175" spans="1:7" x14ac:dyDescent="0.25">
      <c r="B175" t="str">
        <f>'[4]BP-Men'!B1</f>
        <v>AWPC BP Raw  - Europe</v>
      </c>
      <c r="C175">
        <f>'[4]BP-Men'!C1</f>
        <v>0</v>
      </c>
      <c r="D175" t="str">
        <f t="shared" si="1"/>
        <v>0</v>
      </c>
      <c r="E175">
        <f>'[4]BP-Men'!D1</f>
        <v>0</v>
      </c>
      <c r="F175" s="8">
        <f>'[4]BP-Men'!E1</f>
        <v>0</v>
      </c>
      <c r="G175">
        <f>'[4]BP-Men'!F1</f>
        <v>0</v>
      </c>
    </row>
    <row r="176" spans="1:7" s="11" customFormat="1" x14ac:dyDescent="0.25">
      <c r="A176" s="22" t="s">
        <v>0</v>
      </c>
      <c r="B176" s="11">
        <v>1</v>
      </c>
      <c r="C176" s="11">
        <v>13</v>
      </c>
      <c r="D176" s="11" t="str">
        <f>'[4]BP-Men'!B2</f>
        <v>T1  (13 - 15)</v>
      </c>
      <c r="F176" s="12"/>
    </row>
    <row r="177" spans="1:7" x14ac:dyDescent="0.25">
      <c r="A177" s="1">
        <f>'[4]BP-Men'!A3</f>
        <v>52</v>
      </c>
      <c r="B177">
        <f>'[4]BP-Men'!B3</f>
        <v>82.5</v>
      </c>
      <c r="C177" t="str">
        <f>'[4]BP-Men'!C3</f>
        <v>Starilov Vitaly/94</v>
      </c>
      <c r="D177" t="str">
        <f t="shared" si="1"/>
        <v>94</v>
      </c>
      <c r="E177" t="str">
        <f>'[4]BP-Men'!D3</f>
        <v>RUS</v>
      </c>
      <c r="F177" s="8">
        <f>'[4]BP-Men'!E3</f>
        <v>40257</v>
      </c>
      <c r="G177" t="str">
        <f>'[4]BP-Men'!F3</f>
        <v>Kursk</v>
      </c>
    </row>
    <row r="178" spans="1:7" x14ac:dyDescent="0.25">
      <c r="A178" s="1">
        <f>'[4]BP-Men'!A4</f>
        <v>56</v>
      </c>
      <c r="B178">
        <f>'[4]BP-Men'!B4</f>
        <v>92.5</v>
      </c>
      <c r="C178" t="str">
        <f>'[4]BP-Men'!C4</f>
        <v>Kudryavtsev Ivan/93</v>
      </c>
      <c r="D178" t="str">
        <f t="shared" si="1"/>
        <v>93</v>
      </c>
      <c r="E178" t="str">
        <f>'[4]BP-Men'!D4</f>
        <v>RUS</v>
      </c>
      <c r="F178" s="8">
        <f>'[4]BP-Men'!E4</f>
        <v>39871</v>
      </c>
      <c r="G178" t="str">
        <f>'[4]BP-Men'!F4</f>
        <v>Chelyabinsk</v>
      </c>
    </row>
    <row r="179" spans="1:7" x14ac:dyDescent="0.25">
      <c r="A179" s="1">
        <f>'[4]BP-Men'!A5</f>
        <v>60</v>
      </c>
      <c r="B179">
        <f>'[4]BP-Men'!B5</f>
        <v>105</v>
      </c>
      <c r="C179" t="str">
        <f>'[4]BP-Men'!C5</f>
        <v>Yazovskikh Yaroslav/97</v>
      </c>
      <c r="D179" t="str">
        <f t="shared" si="1"/>
        <v>97</v>
      </c>
      <c r="E179" t="str">
        <f>'[4]BP-Men'!D5</f>
        <v>RUS</v>
      </c>
      <c r="F179" s="8">
        <f>'[4]BP-Men'!E5</f>
        <v>40814</v>
      </c>
      <c r="G179" t="str">
        <f>'[4]BP-Men'!F5</f>
        <v>Yekaterinbourg</v>
      </c>
    </row>
    <row r="180" spans="1:7" x14ac:dyDescent="0.25">
      <c r="A180" s="1" t="str">
        <f>'[4]BP-Men'!A6</f>
        <v>67.5</v>
      </c>
      <c r="B180">
        <f>'[4]BP-Men'!B6</f>
        <v>112.5</v>
      </c>
      <c r="C180" t="str">
        <f>'[4]BP-Men'!C6</f>
        <v>Yung Alexander/97</v>
      </c>
      <c r="D180" t="str">
        <f t="shared" si="1"/>
        <v>97</v>
      </c>
      <c r="E180" t="str">
        <f>'[4]BP-Men'!D6</f>
        <v>RUS</v>
      </c>
      <c r="F180" s="8">
        <f>'[4]BP-Men'!E6</f>
        <v>41503</v>
      </c>
      <c r="G180" t="str">
        <f>'[4]BP-Men'!F6</f>
        <v>Novosibirsk</v>
      </c>
    </row>
    <row r="181" spans="1:7" x14ac:dyDescent="0.25">
      <c r="A181" s="1">
        <f>'[4]BP-Men'!A7</f>
        <v>75</v>
      </c>
      <c r="B181">
        <f>'[4]BP-Men'!B7</f>
        <v>115</v>
      </c>
      <c r="C181" t="str">
        <f>'[4]BP-Men'!C7</f>
        <v>Belov Nikolai/97</v>
      </c>
      <c r="D181" t="str">
        <f t="shared" si="1"/>
        <v>97</v>
      </c>
      <c r="E181" t="str">
        <f>'[4]BP-Men'!D7</f>
        <v>UKR</v>
      </c>
      <c r="F181" s="8">
        <f>'[4]BP-Men'!E7</f>
        <v>41370</v>
      </c>
      <c r="G181" t="str">
        <f>'[4]BP-Men'!F7</f>
        <v>Kryvyi Rig</v>
      </c>
    </row>
    <row r="182" spans="1:7" x14ac:dyDescent="0.25">
      <c r="A182" s="1">
        <f>'[4]BP-Men'!A8</f>
        <v>82.5</v>
      </c>
      <c r="B182">
        <f>'[4]BP-Men'!B8</f>
        <v>115</v>
      </c>
      <c r="C182" t="str">
        <f>'[4]BP-Men'!C8</f>
        <v>Zhukov Igor/93</v>
      </c>
      <c r="D182" t="str">
        <f t="shared" si="1"/>
        <v>93</v>
      </c>
      <c r="E182" t="str">
        <f>'[4]BP-Men'!D8</f>
        <v>RUS</v>
      </c>
      <c r="F182" s="8">
        <f>'[4]BP-Men'!E8</f>
        <v>39871</v>
      </c>
      <c r="G182" t="str">
        <f>'[4]BP-Men'!F8</f>
        <v>Chelyabinsk</v>
      </c>
    </row>
    <row r="183" spans="1:7" x14ac:dyDescent="0.25">
      <c r="A183" s="1">
        <f>'[4]BP-Men'!A9</f>
        <v>90</v>
      </c>
      <c r="B183">
        <f>'[4]BP-Men'!B9</f>
        <v>130</v>
      </c>
      <c r="C183" t="str">
        <f>'[4]BP-Men'!C9</f>
        <v>Bukharin Alexander/99</v>
      </c>
      <c r="D183" t="str">
        <f t="shared" si="1"/>
        <v>99</v>
      </c>
      <c r="E183" t="str">
        <f>'[4]BP-Men'!D9</f>
        <v>RUS</v>
      </c>
      <c r="F183" s="8">
        <f>'[4]BP-Men'!E9</f>
        <v>41496</v>
      </c>
      <c r="G183" t="str">
        <f>'[4]BP-Men'!F9</f>
        <v>Kursk</v>
      </c>
    </row>
    <row r="184" spans="1:7" x14ac:dyDescent="0.25">
      <c r="A184" s="1">
        <f>'[4]BP-Men'!A10</f>
        <v>100</v>
      </c>
      <c r="B184">
        <f>'[4]BP-Men'!B10</f>
        <v>145</v>
      </c>
      <c r="C184" t="str">
        <f>'[4]BP-Men'!C10</f>
        <v>Bukharin Alexander/99</v>
      </c>
      <c r="D184" t="str">
        <f t="shared" si="1"/>
        <v>99</v>
      </c>
      <c r="E184" t="str">
        <f>'[4]BP-Men'!D10</f>
        <v>RUS</v>
      </c>
      <c r="F184" s="8" t="str">
        <f>'[4]BP-Men'!E10</f>
        <v>22.08.2014</v>
      </c>
      <c r="G184" t="str">
        <f>'[4]BP-Men'!F10</f>
        <v>Moscow</v>
      </c>
    </row>
    <row r="185" spans="1:7" x14ac:dyDescent="0.25">
      <c r="A185" s="1">
        <f>'[4]BP-Men'!A11</f>
        <v>110</v>
      </c>
      <c r="B185">
        <f>'[4]BP-Men'!B11</f>
        <v>117.5</v>
      </c>
      <c r="C185" t="str">
        <f>'[4]BP-Men'!C11</f>
        <v>Pysarenko Sergiy/96</v>
      </c>
      <c r="D185" t="str">
        <f t="shared" si="1"/>
        <v>96</v>
      </c>
      <c r="E185" t="str">
        <f>'[4]BP-Men'!D11</f>
        <v>UKR</v>
      </c>
      <c r="F185" s="8">
        <f>'[4]BP-Men'!E11</f>
        <v>40985</v>
      </c>
      <c r="G185" t="str">
        <f>'[4]BP-Men'!F11</f>
        <v>Kryvyi Rig</v>
      </c>
    </row>
    <row r="186" spans="1:7" x14ac:dyDescent="0.25">
      <c r="A186" s="1">
        <f>'[4]BP-Men'!A12</f>
        <v>125</v>
      </c>
      <c r="B186">
        <f>'[4]BP-Men'!B12</f>
        <v>130</v>
      </c>
      <c r="C186" t="str">
        <f>'[4]BP-Men'!C12</f>
        <v>Pysarenko Sergiy/96</v>
      </c>
      <c r="D186" t="str">
        <f t="shared" si="1"/>
        <v>96</v>
      </c>
      <c r="E186" t="str">
        <f>'[4]BP-Men'!D12</f>
        <v>UKR</v>
      </c>
      <c r="F186" s="8">
        <f>'[4]BP-Men'!E12</f>
        <v>41129</v>
      </c>
      <c r="G186" t="str">
        <f>'[4]BP-Men'!F12</f>
        <v>Kryvyi Rig</v>
      </c>
    </row>
    <row r="187" spans="1:7" x14ac:dyDescent="0.25">
      <c r="A187" s="1">
        <f>'[4]BP-Men'!A13</f>
        <v>140</v>
      </c>
      <c r="B187">
        <f>'[4]BP-Men'!B13</f>
        <v>0</v>
      </c>
      <c r="C187">
        <f>'[4]BP-Men'!C13</f>
        <v>0</v>
      </c>
      <c r="D187" t="str">
        <f t="shared" si="1"/>
        <v>0</v>
      </c>
      <c r="E187">
        <f>'[4]BP-Men'!D13</f>
        <v>0</v>
      </c>
      <c r="F187" s="8">
        <f>'[4]BP-Men'!E13</f>
        <v>0</v>
      </c>
      <c r="G187">
        <f>'[4]BP-Men'!F13</f>
        <v>0</v>
      </c>
    </row>
    <row r="188" spans="1:7" x14ac:dyDescent="0.25">
      <c r="A188" s="1" t="str">
        <f>'[4]BP-Men'!A14</f>
        <v>140+</v>
      </c>
      <c r="B188">
        <f>'[4]BP-Men'!B14</f>
        <v>0</v>
      </c>
      <c r="C188">
        <f>'[4]BP-Men'!C14</f>
        <v>0</v>
      </c>
      <c r="D188" t="str">
        <f t="shared" ref="D188" si="6">RIGHT(C188,2)</f>
        <v>0</v>
      </c>
      <c r="E188">
        <f>'[4]BP-Men'!D14</f>
        <v>0</v>
      </c>
      <c r="F188" s="8">
        <f>'[4]BP-Men'!E14</f>
        <v>0</v>
      </c>
      <c r="G188">
        <f>'[4]BP-Men'!F14</f>
        <v>0</v>
      </c>
    </row>
    <row r="189" spans="1:7" s="16" customFormat="1" x14ac:dyDescent="0.25">
      <c r="A189" s="28"/>
      <c r="F189" s="18"/>
    </row>
    <row r="190" spans="1:7" s="11" customFormat="1" x14ac:dyDescent="0.25">
      <c r="A190" s="22" t="s">
        <v>0</v>
      </c>
      <c r="B190" s="11">
        <v>1</v>
      </c>
      <c r="C190" s="11">
        <v>16</v>
      </c>
      <c r="D190" s="11" t="str">
        <f>'[4]BP-Men'!B16</f>
        <v>T2  (16 - 17)</v>
      </c>
      <c r="F190" s="12"/>
      <c r="G190" s="11">
        <f>'[4]BP-Men'!F16</f>
        <v>0</v>
      </c>
    </row>
    <row r="191" spans="1:7" x14ac:dyDescent="0.25">
      <c r="A191" s="1">
        <f>'[4]BP-Men'!A17</f>
        <v>52</v>
      </c>
      <c r="B191">
        <f>'[4]BP-Men'!B17</f>
        <v>85</v>
      </c>
      <c r="C191" t="str">
        <f>'[4]BP-Men'!C17</f>
        <v>Gorelkin Ivan/94</v>
      </c>
      <c r="D191" t="str">
        <f t="shared" si="1"/>
        <v>94</v>
      </c>
      <c r="E191" t="str">
        <f>'[4]BP-Men'!D17</f>
        <v>RUS</v>
      </c>
      <c r="F191" s="8">
        <f>'[4]BP-Men'!E17</f>
        <v>40769</v>
      </c>
      <c r="G191" t="str">
        <f>'[4]BP-Men'!F17</f>
        <v>Kursk</v>
      </c>
    </row>
    <row r="192" spans="1:7" x14ac:dyDescent="0.25">
      <c r="A192" s="1">
        <f>'[4]BP-Men'!A18</f>
        <v>56</v>
      </c>
      <c r="B192">
        <f>'[4]BP-Men'!B18</f>
        <v>110</v>
      </c>
      <c r="C192" t="str">
        <f>'[4]BP-Men'!C18</f>
        <v>Istomin Alexei/96</v>
      </c>
      <c r="D192" t="str">
        <f t="shared" si="1"/>
        <v>96</v>
      </c>
      <c r="E192" t="str">
        <f>'[4]BP-Men'!D18</f>
        <v>RUS</v>
      </c>
      <c r="F192" s="8">
        <f>'[4]BP-Men'!E18</f>
        <v>41720</v>
      </c>
      <c r="G192" t="str">
        <f>'[4]BP-Men'!F18</f>
        <v>Vologda</v>
      </c>
    </row>
    <row r="193" spans="1:7" x14ac:dyDescent="0.25">
      <c r="A193" s="1">
        <f>'[4]BP-Men'!A19</f>
        <v>60</v>
      </c>
      <c r="B193">
        <f>'[4]BP-Men'!B19</f>
        <v>125</v>
      </c>
      <c r="C193" t="str">
        <f>'[4]BP-Men'!C19</f>
        <v>Nabiyev Yashar/90</v>
      </c>
      <c r="D193" t="str">
        <f t="shared" si="1"/>
        <v>90</v>
      </c>
      <c r="E193" t="str">
        <f>'[4]BP-Men'!D19</f>
        <v>RUS</v>
      </c>
      <c r="F193" s="8">
        <f>'[4]BP-Men'!E19</f>
        <v>39528</v>
      </c>
      <c r="G193" t="str">
        <f>'[4]BP-Men'!F19</f>
        <v>Rostov</v>
      </c>
    </row>
    <row r="194" spans="1:7" x14ac:dyDescent="0.25">
      <c r="A194" s="1" t="str">
        <f>'[4]BP-Men'!A20</f>
        <v>67.5</v>
      </c>
      <c r="B194">
        <f>'[4]BP-Men'!B20</f>
        <v>145</v>
      </c>
      <c r="C194" t="str">
        <f>'[4]BP-Men'!C20</f>
        <v>Nazarenko Alexei/89</v>
      </c>
      <c r="D194" t="str">
        <f t="shared" si="1"/>
        <v>89</v>
      </c>
      <c r="E194" t="str">
        <f>'[4]BP-Men'!D20</f>
        <v>RUS</v>
      </c>
      <c r="F194" s="8">
        <f>'[4]BP-Men'!E20</f>
        <v>39123</v>
      </c>
      <c r="G194" t="str">
        <f>'[4]BP-Men'!F20</f>
        <v>Chelyabinsk</v>
      </c>
    </row>
    <row r="195" spans="1:7" x14ac:dyDescent="0.25">
      <c r="A195" s="1">
        <f>'[4]BP-Men'!A21</f>
        <v>75</v>
      </c>
      <c r="B195">
        <f>'[4]BP-Men'!B21</f>
        <v>140</v>
      </c>
      <c r="C195" t="str">
        <f>'[4]BP-Men'!C21</f>
        <v>Tonkoglaz Vladimir/96</v>
      </c>
      <c r="D195" t="str">
        <f t="shared" si="1"/>
        <v>96</v>
      </c>
      <c r="E195" t="str">
        <f>'[4]BP-Men'!D21</f>
        <v>RUS</v>
      </c>
      <c r="F195" s="8">
        <f>'[4]BP-Men'!E21</f>
        <v>41566</v>
      </c>
      <c r="G195" t="str">
        <f>'[4]BP-Men'!F21</f>
        <v>Krasnodar</v>
      </c>
    </row>
    <row r="196" spans="1:7" x14ac:dyDescent="0.25">
      <c r="A196" s="1" t="str">
        <f>'[4]BP-Men'!A22</f>
        <v>82.5</v>
      </c>
      <c r="B196">
        <f>'[4]BP-Men'!B22</f>
        <v>160</v>
      </c>
      <c r="C196" t="str">
        <f>'[4]BP-Men'!C22</f>
        <v>Grigoryan Arman/94</v>
      </c>
      <c r="D196" t="str">
        <f t="shared" ref="D196:D256" si="7">RIGHT(C196,2)</f>
        <v>94</v>
      </c>
      <c r="E196" t="str">
        <f>'[4]BP-Men'!D22</f>
        <v>RUS</v>
      </c>
      <c r="F196" s="8">
        <f>'[4]BP-Men'!E22</f>
        <v>40769</v>
      </c>
      <c r="G196" t="str">
        <f>'[4]BP-Men'!F22</f>
        <v>Kursk</v>
      </c>
    </row>
    <row r="197" spans="1:7" x14ac:dyDescent="0.25">
      <c r="A197" s="1">
        <f>'[4]BP-Men'!A23</f>
        <v>90</v>
      </c>
      <c r="B197">
        <f>'[4]BP-Men'!B23</f>
        <v>155</v>
      </c>
      <c r="C197" t="str">
        <f>'[4]BP-Men'!C23</f>
        <v>Zaborovsky Georgy/92</v>
      </c>
      <c r="D197" t="str">
        <f t="shared" si="7"/>
        <v>92</v>
      </c>
      <c r="E197" t="str">
        <f>'[4]BP-Men'!D23</f>
        <v>RUS</v>
      </c>
      <c r="F197" s="8">
        <f>'[4]BP-Men'!E23</f>
        <v>40088</v>
      </c>
      <c r="G197" t="str">
        <f>'[4]BP-Men'!F23</f>
        <v>Rostov</v>
      </c>
    </row>
    <row r="198" spans="1:7" x14ac:dyDescent="0.25">
      <c r="A198" s="1">
        <f>'[4]BP-Men'!A24</f>
        <v>100</v>
      </c>
      <c r="B198">
        <f>'[4]BP-Men'!B24</f>
        <v>175</v>
      </c>
      <c r="C198" t="str">
        <f>'[4]BP-Men'!C24</f>
        <v>Vovk Dmytro/96</v>
      </c>
      <c r="D198" t="str">
        <f t="shared" si="7"/>
        <v>96</v>
      </c>
      <c r="E198" t="str">
        <f>'[4]BP-Men'!D24</f>
        <v>UKR</v>
      </c>
      <c r="F198" s="8">
        <f>'[4]BP-Men'!E24</f>
        <v>41370</v>
      </c>
      <c r="G198" t="str">
        <f>'[4]BP-Men'!F24</f>
        <v>Kryvyi Rig</v>
      </c>
    </row>
    <row r="199" spans="1:7" x14ac:dyDescent="0.25">
      <c r="A199" s="1">
        <f>'[4]BP-Men'!A25</f>
        <v>110</v>
      </c>
      <c r="B199">
        <f>'[4]BP-Men'!B25</f>
        <v>155</v>
      </c>
      <c r="C199" t="str">
        <f>'[4]BP-Men'!C25</f>
        <v>Petrov Yevgeniy/96</v>
      </c>
      <c r="D199" t="str">
        <f t="shared" si="7"/>
        <v>96</v>
      </c>
      <c r="E199" t="str">
        <f>'[4]BP-Men'!D25</f>
        <v>RUS</v>
      </c>
      <c r="F199" s="8" t="str">
        <f>'[4]BP-Men'!E25</f>
        <v>22.08.2014</v>
      </c>
      <c r="G199" t="str">
        <f>'[4]BP-Men'!F25</f>
        <v>Moscow</v>
      </c>
    </row>
    <row r="200" spans="1:7" x14ac:dyDescent="0.25">
      <c r="A200" s="1">
        <f>'[4]BP-Men'!A26</f>
        <v>125</v>
      </c>
      <c r="B200">
        <f>'[4]BP-Men'!B26</f>
        <v>150</v>
      </c>
      <c r="C200" t="str">
        <f>'[4]BP-Men'!C26</f>
        <v>Yumatov Alexander/89</v>
      </c>
      <c r="D200" t="str">
        <f t="shared" si="7"/>
        <v>89</v>
      </c>
      <c r="E200" t="str">
        <f>'[4]BP-Men'!D26</f>
        <v>RUS</v>
      </c>
      <c r="F200" s="8">
        <f>'[4]BP-Men'!E26</f>
        <v>39312</v>
      </c>
      <c r="G200" t="str">
        <f>'[4]BP-Men'!F26</f>
        <v>Kursk</v>
      </c>
    </row>
    <row r="201" spans="1:7" x14ac:dyDescent="0.25">
      <c r="A201" s="1">
        <f>'[4]BP-Men'!A27</f>
        <v>140</v>
      </c>
      <c r="B201">
        <f>'[4]BP-Men'!B27</f>
        <v>0</v>
      </c>
      <c r="C201">
        <f>'[4]BP-Men'!C27</f>
        <v>0</v>
      </c>
      <c r="D201" t="str">
        <f t="shared" si="7"/>
        <v>0</v>
      </c>
      <c r="E201">
        <f>'[4]BP-Men'!D27</f>
        <v>0</v>
      </c>
      <c r="F201" s="8">
        <f>'[4]BP-Men'!E27</f>
        <v>0</v>
      </c>
      <c r="G201">
        <f>'[4]BP-Men'!F27</f>
        <v>0</v>
      </c>
    </row>
    <row r="202" spans="1:7" x14ac:dyDescent="0.25">
      <c r="A202" s="1" t="str">
        <f>'[4]BP-Men'!A28</f>
        <v>140+</v>
      </c>
      <c r="B202">
        <f>'[4]BP-Men'!B28</f>
        <v>107.5</v>
      </c>
      <c r="C202" t="str">
        <f>'[4]BP-Men'!C28</f>
        <v>Savenkov Kirill/95</v>
      </c>
      <c r="D202" t="str">
        <f t="shared" si="7"/>
        <v>95</v>
      </c>
      <c r="E202" t="str">
        <f>'[4]BP-Men'!D28</f>
        <v>RUS</v>
      </c>
      <c r="F202" s="8">
        <f>'[4]BP-Men'!E28</f>
        <v>41137</v>
      </c>
      <c r="G202" t="str">
        <f>'[4]BP-Men'!F28</f>
        <v>Novosibirsk</v>
      </c>
    </row>
    <row r="203" spans="1:7" s="16" customFormat="1" x14ac:dyDescent="0.25">
      <c r="A203" s="1"/>
      <c r="B203">
        <f>'[4]BP-Men'!B29</f>
        <v>0</v>
      </c>
      <c r="C203">
        <f>'[4]BP-Men'!C29</f>
        <v>0</v>
      </c>
      <c r="D203" t="str">
        <f t="shared" ref="D203" si="8">RIGHT(C203,2)</f>
        <v>0</v>
      </c>
      <c r="E203">
        <f>'[4]BP-Men'!D29</f>
        <v>0</v>
      </c>
      <c r="F203" s="8">
        <f>'[4]BP-Men'!E29</f>
        <v>0</v>
      </c>
      <c r="G203">
        <f>'[4]BP-Men'!F29</f>
        <v>0</v>
      </c>
    </row>
    <row r="204" spans="1:7" s="11" customFormat="1" x14ac:dyDescent="0.25">
      <c r="A204" s="22" t="s">
        <v>0</v>
      </c>
      <c r="B204" s="11">
        <v>1</v>
      </c>
      <c r="C204" s="11">
        <v>18</v>
      </c>
      <c r="D204" s="11" t="str">
        <f>'[4]BP-Men'!B30</f>
        <v>T3  (18 - 19)</v>
      </c>
      <c r="F204" s="12"/>
      <c r="G204" s="11">
        <f>'[4]BP-Men'!F30</f>
        <v>0</v>
      </c>
    </row>
    <row r="205" spans="1:7" x14ac:dyDescent="0.25">
      <c r="A205" s="1">
        <f>'[4]BP-Men'!A31</f>
        <v>52</v>
      </c>
      <c r="B205">
        <f>'[4]BP-Men'!B31</f>
        <v>105</v>
      </c>
      <c r="C205" t="str">
        <f>'[4]BP-Men'!C31</f>
        <v>Sergeyev Sergei/90</v>
      </c>
      <c r="D205" t="str">
        <f t="shared" si="7"/>
        <v>90</v>
      </c>
      <c r="E205" t="str">
        <f>'[4]BP-Men'!D31</f>
        <v>RUS</v>
      </c>
      <c r="F205" s="8">
        <f>'[4]BP-Men'!E31</f>
        <v>39528</v>
      </c>
      <c r="G205" t="str">
        <f>'[4]BP-Men'!F31</f>
        <v>Rostov</v>
      </c>
    </row>
    <row r="206" spans="1:7" x14ac:dyDescent="0.25">
      <c r="A206" s="1">
        <f>'[4]BP-Men'!A32</f>
        <v>56</v>
      </c>
      <c r="B206">
        <f>'[4]BP-Men'!B32</f>
        <v>122.5</v>
      </c>
      <c r="C206" t="str">
        <f>'[4]BP-Men'!C32</f>
        <v>Malyshev Andrei/94</v>
      </c>
      <c r="D206" t="str">
        <f t="shared" si="7"/>
        <v>94</v>
      </c>
      <c r="E206" t="str">
        <f>'[4]BP-Men'!D32</f>
        <v>RUS</v>
      </c>
      <c r="F206" s="8">
        <f>'[4]BP-Men'!E32</f>
        <v>41586</v>
      </c>
      <c r="G206" t="str">
        <f>'[4]BP-Men'!F32</f>
        <v>Vologda</v>
      </c>
    </row>
    <row r="207" spans="1:7" x14ac:dyDescent="0.25">
      <c r="A207" s="1">
        <f>'[4]BP-Men'!A33</f>
        <v>60</v>
      </c>
      <c r="B207">
        <f>'[4]BP-Men'!B33</f>
        <v>140</v>
      </c>
      <c r="C207" t="str">
        <f>'[4]BP-Men'!C33</f>
        <v>Bragin Sergiy/91</v>
      </c>
      <c r="D207" t="str">
        <f t="shared" si="7"/>
        <v>91</v>
      </c>
      <c r="E207" t="str">
        <f>'[4]BP-Men'!D33</f>
        <v>UKR</v>
      </c>
      <c r="F207" s="8">
        <f>'[4]BP-Men'!E33</f>
        <v>40088</v>
      </c>
      <c r="G207" t="str">
        <f>'[4]BP-Men'!F33</f>
        <v>Rostov</v>
      </c>
    </row>
    <row r="208" spans="1:7" x14ac:dyDescent="0.25">
      <c r="A208" s="1" t="str">
        <f>'[4]BP-Men'!A34</f>
        <v>67.5</v>
      </c>
      <c r="B208">
        <f>'[4]BP-Men'!B34</f>
        <v>150</v>
      </c>
      <c r="C208" t="str">
        <f>'[4]BP-Men'!C34</f>
        <v>Nazarenko Alexei/89</v>
      </c>
      <c r="D208" t="str">
        <f t="shared" si="7"/>
        <v>89</v>
      </c>
      <c r="E208" t="str">
        <f>'[4]BP-Men'!D34</f>
        <v>RUS</v>
      </c>
      <c r="F208" s="8">
        <f>'[4]BP-Men'!E34</f>
        <v>39312</v>
      </c>
      <c r="G208" t="str">
        <f>'[4]BP-Men'!F34</f>
        <v>Kursk</v>
      </c>
    </row>
    <row r="209" spans="1:7" x14ac:dyDescent="0.25">
      <c r="A209" s="1">
        <f>'[4]BP-Men'!A35</f>
        <v>75</v>
      </c>
      <c r="B209">
        <f>'[4]BP-Men'!B35</f>
        <v>160</v>
      </c>
      <c r="C209" t="str">
        <f>'[4]BP-Men'!C35</f>
        <v>Hadziev Vakha/94</v>
      </c>
      <c r="D209" t="str">
        <f t="shared" si="7"/>
        <v>94</v>
      </c>
      <c r="E209" t="str">
        <f>'[4]BP-Men'!D35</f>
        <v>RUS</v>
      </c>
      <c r="F209" s="8" t="str">
        <f>'[4]BP-Men'!E35</f>
        <v>22.08.2014</v>
      </c>
      <c r="G209" t="str">
        <f>'[4]BP-Men'!F35</f>
        <v xml:space="preserve">Moscow </v>
      </c>
    </row>
    <row r="210" spans="1:7" x14ac:dyDescent="0.25">
      <c r="A210" s="1" t="str">
        <f>'[4]BP-Men'!A36</f>
        <v>82.5</v>
      </c>
      <c r="B210">
        <f>'[4]BP-Men'!B36</f>
        <v>175</v>
      </c>
      <c r="C210" t="str">
        <f>'[4]BP-Men'!C36</f>
        <v>Dronov Bogdan/94</v>
      </c>
      <c r="D210" t="str">
        <f t="shared" si="7"/>
        <v>94</v>
      </c>
      <c r="E210" t="str">
        <f>'[4]BP-Men'!D36</f>
        <v>RUS</v>
      </c>
      <c r="F210" s="8">
        <f>'[4]BP-Men'!E36</f>
        <v>41438</v>
      </c>
      <c r="G210" t="str">
        <f>'[4]BP-Men'!F36</f>
        <v xml:space="preserve">Moscow </v>
      </c>
    </row>
    <row r="211" spans="1:7" x14ac:dyDescent="0.25">
      <c r="A211" s="1">
        <f>'[4]BP-Men'!A37</f>
        <v>90</v>
      </c>
      <c r="B211">
        <f>'[4]BP-Men'!B37</f>
        <v>191</v>
      </c>
      <c r="C211" t="str">
        <f>'[4]BP-Men'!C37</f>
        <v>Grigoryan Armand/94</v>
      </c>
      <c r="D211" t="str">
        <f t="shared" si="7"/>
        <v>94</v>
      </c>
      <c r="E211" t="str">
        <f>'[4]BP-Men'!D37</f>
        <v>RUS</v>
      </c>
      <c r="F211" s="8">
        <f>'[4]BP-Men'!E37</f>
        <v>41129</v>
      </c>
      <c r="G211" t="str">
        <f>'[4]BP-Men'!F37</f>
        <v>Kryvyi Rig</v>
      </c>
    </row>
    <row r="212" spans="1:7" x14ac:dyDescent="0.25">
      <c r="A212" s="1">
        <f>'[4]BP-Men'!A38</f>
        <v>100</v>
      </c>
      <c r="B212">
        <f>'[4]BP-Men'!B38</f>
        <v>165</v>
      </c>
      <c r="C212" t="str">
        <f>'[4]BP-Men'!C38</f>
        <v>Ryasnoy Danylo/92</v>
      </c>
      <c r="D212" t="str">
        <f t="shared" si="7"/>
        <v>92</v>
      </c>
      <c r="E212" t="str">
        <f>'[4]BP-Men'!D38</f>
        <v>UKR</v>
      </c>
      <c r="F212" s="8">
        <f>'[4]BP-Men'!E38</f>
        <v>40628</v>
      </c>
      <c r="G212" t="str">
        <f>'[4]BP-Men'!F38</f>
        <v>Kryvyi Rig</v>
      </c>
    </row>
    <row r="213" spans="1:7" x14ac:dyDescent="0.25">
      <c r="A213" s="1">
        <f>'[4]BP-Men'!A39</f>
        <v>110</v>
      </c>
      <c r="B213">
        <f>'[4]BP-Men'!B39</f>
        <v>207.5</v>
      </c>
      <c r="C213" t="str">
        <f>'[4]BP-Men'!C39</f>
        <v>Yuzhakov Anton/93</v>
      </c>
      <c r="D213" t="str">
        <f t="shared" si="7"/>
        <v>93</v>
      </c>
      <c r="E213" t="str">
        <f>'[4]BP-Men'!D39</f>
        <v>UKR</v>
      </c>
      <c r="F213" s="8">
        <f>'[4]BP-Men'!E39</f>
        <v>41129</v>
      </c>
      <c r="G213" t="str">
        <f>'[4]BP-Men'!F39</f>
        <v>Kryvyi Rig</v>
      </c>
    </row>
    <row r="214" spans="1:7" x14ac:dyDescent="0.25">
      <c r="A214" s="1">
        <f>'[4]BP-Men'!A40</f>
        <v>125</v>
      </c>
      <c r="B214">
        <f>'[4]BP-Men'!B40</f>
        <v>202.5</v>
      </c>
      <c r="C214" t="str">
        <f>'[4]BP-Men'!C40</f>
        <v>Sheremetyev Maxim/94</v>
      </c>
      <c r="D214" t="str">
        <f t="shared" si="7"/>
        <v>94</v>
      </c>
      <c r="E214" t="str">
        <f>'[4]BP-Men'!D40</f>
        <v>RUS</v>
      </c>
      <c r="F214" s="8" t="str">
        <f>'[4]BP-Men'!E40</f>
        <v>22.08.2014</v>
      </c>
      <c r="G214" t="str">
        <f>'[4]BP-Men'!F40</f>
        <v xml:space="preserve">Moscow </v>
      </c>
    </row>
    <row r="215" spans="1:7" x14ac:dyDescent="0.25">
      <c r="A215" s="1">
        <f>'[4]BP-Men'!A41</f>
        <v>140</v>
      </c>
      <c r="B215">
        <f>'[4]BP-Men'!B41</f>
        <v>0</v>
      </c>
      <c r="C215">
        <f>'[4]BP-Men'!C41</f>
        <v>0</v>
      </c>
      <c r="D215" t="str">
        <f t="shared" si="7"/>
        <v>0</v>
      </c>
      <c r="E215">
        <f>'[4]BP-Men'!D41</f>
        <v>0</v>
      </c>
      <c r="F215" s="8">
        <f>'[4]BP-Men'!E41</f>
        <v>0</v>
      </c>
      <c r="G215">
        <f>'[4]BP-Men'!F41</f>
        <v>0</v>
      </c>
    </row>
    <row r="216" spans="1:7" x14ac:dyDescent="0.25">
      <c r="A216" s="1" t="str">
        <f>'[4]BP-Men'!A42</f>
        <v>140+</v>
      </c>
      <c r="B216">
        <f>'[4]BP-Men'!B42</f>
        <v>150</v>
      </c>
      <c r="C216" t="str">
        <f>'[4]BP-Men'!C42</f>
        <v>Apalkov Yaroslav/93</v>
      </c>
      <c r="D216" t="str">
        <f t="shared" si="7"/>
        <v>93</v>
      </c>
      <c r="E216" t="str">
        <f>'[4]BP-Men'!D42</f>
        <v>UKR</v>
      </c>
      <c r="F216" s="8">
        <f>'[4]BP-Men'!E42</f>
        <v>40985</v>
      </c>
      <c r="G216" t="str">
        <f>'[4]BP-Men'!F42</f>
        <v>Kryvyi Rig</v>
      </c>
    </row>
    <row r="217" spans="1:7" s="16" customFormat="1" x14ac:dyDescent="0.25">
      <c r="A217" s="1"/>
      <c r="B217">
        <f>'[4]BP-Men'!B43</f>
        <v>0</v>
      </c>
      <c r="C217">
        <f>'[4]BP-Men'!C43</f>
        <v>0</v>
      </c>
      <c r="D217" t="str">
        <f t="shared" ref="D217" si="9">RIGHT(C217,2)</f>
        <v>0</v>
      </c>
      <c r="E217">
        <f>'[4]BP-Men'!D43</f>
        <v>0</v>
      </c>
      <c r="F217" s="8">
        <f>'[4]BP-Men'!E43</f>
        <v>0</v>
      </c>
      <c r="G217">
        <f>'[4]BP-Men'!F43</f>
        <v>0</v>
      </c>
    </row>
    <row r="218" spans="1:7" s="11" customFormat="1" x14ac:dyDescent="0.25">
      <c r="A218" s="22" t="s">
        <v>0</v>
      </c>
      <c r="B218" s="11">
        <v>1</v>
      </c>
      <c r="C218" s="11">
        <v>20</v>
      </c>
      <c r="D218" s="11" t="str">
        <f>'[4]BP-Men'!B44</f>
        <v>Junior  (20 - 23)</v>
      </c>
      <c r="F218" s="12"/>
      <c r="G218" s="11">
        <f>'[4]BP-Men'!F44</f>
        <v>0</v>
      </c>
    </row>
    <row r="219" spans="1:7" x14ac:dyDescent="0.25">
      <c r="A219" s="1">
        <f>'[4]BP-Men'!A45</f>
        <v>52</v>
      </c>
      <c r="B219">
        <f>'[4]BP-Men'!B45</f>
        <v>110</v>
      </c>
      <c r="C219" t="str">
        <f>'[4]BP-Men'!C45</f>
        <v>Roslyakov Roman/88</v>
      </c>
      <c r="D219" t="str">
        <f t="shared" si="7"/>
        <v>88</v>
      </c>
      <c r="E219" t="str">
        <f>'[4]BP-Men'!D45</f>
        <v>RUS</v>
      </c>
      <c r="F219" s="8">
        <f>'[4]BP-Men'!E45</f>
        <v>40640</v>
      </c>
      <c r="G219" t="str">
        <f>'[4]BP-Men'!F45</f>
        <v>Chelyabinsk</v>
      </c>
    </row>
    <row r="220" spans="1:7" x14ac:dyDescent="0.25">
      <c r="A220" s="1">
        <f>'[4]BP-Men'!A46</f>
        <v>56</v>
      </c>
      <c r="B220">
        <f>'[4]BP-Men'!B46</f>
        <v>130</v>
      </c>
      <c r="C220" t="str">
        <f>'[4]BP-Men'!C46</f>
        <v>Karaziya Sergei/87</v>
      </c>
      <c r="D220" t="str">
        <f t="shared" si="7"/>
        <v>87</v>
      </c>
      <c r="E220" t="str">
        <f>'[4]BP-Men'!D46</f>
        <v>RUS</v>
      </c>
      <c r="F220" s="8">
        <f>'[4]BP-Men'!E46</f>
        <v>40409</v>
      </c>
      <c r="G220" t="str">
        <f>'[4]BP-Men'!F46</f>
        <v>Moscow</v>
      </c>
    </row>
    <row r="221" spans="1:7" x14ac:dyDescent="0.25">
      <c r="A221" s="1">
        <f>'[4]BP-Men'!A47</f>
        <v>60</v>
      </c>
      <c r="B221">
        <f>'[4]BP-Men'!B47</f>
        <v>135</v>
      </c>
      <c r="C221" t="str">
        <f>'[4]BP-Men'!C47</f>
        <v>Kirilov Anton/86</v>
      </c>
      <c r="D221" t="str">
        <f t="shared" si="7"/>
        <v>86</v>
      </c>
      <c r="E221" t="str">
        <f>'[4]BP-Men'!D47</f>
        <v>RUS</v>
      </c>
      <c r="F221" s="8">
        <f>'[4]BP-Men'!E47</f>
        <v>40409</v>
      </c>
      <c r="G221" t="str">
        <f>'[4]BP-Men'!F47</f>
        <v>Moscow</v>
      </c>
    </row>
    <row r="222" spans="1:7" x14ac:dyDescent="0.25">
      <c r="A222" s="1" t="str">
        <f>'[4]BP-Men'!A48</f>
        <v>67.5</v>
      </c>
      <c r="B222">
        <f>'[4]BP-Men'!B48</f>
        <v>160</v>
      </c>
      <c r="C222" t="str">
        <f>'[4]BP-Men'!C48</f>
        <v>Maklakov Alexei/92</v>
      </c>
      <c r="D222" t="str">
        <f t="shared" si="7"/>
        <v>92</v>
      </c>
      <c r="E222" t="str">
        <f>'[4]BP-Men'!D48</f>
        <v>RUS</v>
      </c>
      <c r="F222" s="8" t="str">
        <f>'[4]BP-Men'!E48</f>
        <v>08.02.2014</v>
      </c>
      <c r="G222" t="str">
        <f>'[4]BP-Men'!F48</f>
        <v>Yekaterinburg</v>
      </c>
    </row>
    <row r="223" spans="1:7" x14ac:dyDescent="0.25">
      <c r="A223" s="1">
        <f>'[4]BP-Men'!A49</f>
        <v>75</v>
      </c>
      <c r="B223">
        <f>'[4]BP-Men'!B49</f>
        <v>182.5</v>
      </c>
      <c r="C223" t="str">
        <f>'[4]BP-Men'!C49</f>
        <v>Bogdanov Maxim/92</v>
      </c>
      <c r="D223" t="str">
        <f t="shared" si="7"/>
        <v>92</v>
      </c>
      <c r="E223" t="str">
        <f>'[4]BP-Men'!D49</f>
        <v>RUS</v>
      </c>
      <c r="F223" s="8" t="str">
        <f>'[4]BP-Men'!E49</f>
        <v>23.08.2014</v>
      </c>
      <c r="G223" t="str">
        <f>'[4]BP-Men'!F49</f>
        <v>Krasnodar</v>
      </c>
    </row>
    <row r="224" spans="1:7" x14ac:dyDescent="0.25">
      <c r="A224" s="1" t="str">
        <f>'[4]BP-Men'!A50</f>
        <v>82.5</v>
      </c>
      <c r="B224">
        <f>'[4]BP-Men'!B50</f>
        <v>178</v>
      </c>
      <c r="C224" t="str">
        <f>'[4]BP-Men'!C50</f>
        <v>Zhitomirskiy Yevgeniy/92</v>
      </c>
      <c r="D224" t="str">
        <f t="shared" si="7"/>
        <v>92</v>
      </c>
      <c r="E224" t="str">
        <f>'[4]BP-Men'!D50</f>
        <v>RUS</v>
      </c>
      <c r="F224" s="8" t="str">
        <f>'[4]BP-Men'!E50</f>
        <v>23.08.2014</v>
      </c>
      <c r="G224" t="str">
        <f>'[4]BP-Men'!F50</f>
        <v>Moscow</v>
      </c>
    </row>
    <row r="225" spans="1:7" x14ac:dyDescent="0.25">
      <c r="A225" s="1">
        <f>'[4]BP-Men'!A51</f>
        <v>90</v>
      </c>
      <c r="B225">
        <f>'[4]BP-Men'!B51</f>
        <v>202.5</v>
      </c>
      <c r="C225" t="str">
        <f>'[4]BP-Men'!C51</f>
        <v>Yusupov Khasan/89</v>
      </c>
      <c r="D225" t="str">
        <f t="shared" si="7"/>
        <v>89</v>
      </c>
      <c r="E225" t="str">
        <f>'[4]BP-Men'!D51</f>
        <v>RUS</v>
      </c>
      <c r="F225" s="8">
        <f>'[4]BP-Men'!E51</f>
        <v>41439</v>
      </c>
      <c r="G225" t="str">
        <f>'[4]BP-Men'!F51</f>
        <v>Moscow</v>
      </c>
    </row>
    <row r="226" spans="1:7" x14ac:dyDescent="0.25">
      <c r="A226" s="1">
        <f>'[4]BP-Men'!A52</f>
        <v>100</v>
      </c>
      <c r="B226">
        <f>'[4]BP-Men'!B52</f>
        <v>197.5</v>
      </c>
      <c r="C226" t="str">
        <f>'[4]BP-Men'!C52</f>
        <v>Lytvynenko Dmytro/89</v>
      </c>
      <c r="D226" t="str">
        <f t="shared" si="7"/>
        <v>89</v>
      </c>
      <c r="E226" t="str">
        <f>'[4]BP-Men'!D52</f>
        <v>UKR</v>
      </c>
      <c r="F226" s="8">
        <f>'[4]BP-Men'!E52</f>
        <v>41370</v>
      </c>
      <c r="G226" t="str">
        <f>'[4]BP-Men'!F52</f>
        <v>Kryvyi Rig</v>
      </c>
    </row>
    <row r="227" spans="1:7" x14ac:dyDescent="0.25">
      <c r="A227" s="1">
        <f>'[4]BP-Men'!A53</f>
        <v>110</v>
      </c>
      <c r="B227">
        <f>'[4]BP-Men'!B53</f>
        <v>220</v>
      </c>
      <c r="C227" t="str">
        <f>'[4]BP-Men'!C53</f>
        <v>Darsht Alexander/87</v>
      </c>
      <c r="D227" t="str">
        <f t="shared" si="7"/>
        <v>87</v>
      </c>
      <c r="E227" t="str">
        <f>'[4]BP-Men'!D53</f>
        <v>RUS</v>
      </c>
      <c r="F227" s="8">
        <f>'[4]BP-Men'!E53</f>
        <v>39871</v>
      </c>
      <c r="G227" t="str">
        <f>'[4]BP-Men'!F53</f>
        <v>Chelyabinsk</v>
      </c>
    </row>
    <row r="228" spans="1:7" x14ac:dyDescent="0.25">
      <c r="A228" s="1">
        <f>'[4]BP-Men'!A54</f>
        <v>125</v>
      </c>
      <c r="B228">
        <f>'[4]BP-Men'!B54</f>
        <v>215</v>
      </c>
      <c r="C228" t="str">
        <f>'[4]BP-Men'!C54</f>
        <v>Serbin Anatoliy/90</v>
      </c>
      <c r="D228" t="str">
        <f t="shared" si="7"/>
        <v>90</v>
      </c>
      <c r="E228" t="str">
        <f>'[4]BP-Men'!D54</f>
        <v>RUS</v>
      </c>
      <c r="F228" s="8">
        <f>'[4]BP-Men'!E54</f>
        <v>41201</v>
      </c>
      <c r="G228" t="str">
        <f>'[4]BP-Men'!F54</f>
        <v>Krasnodar</v>
      </c>
    </row>
    <row r="229" spans="1:7" x14ac:dyDescent="0.25">
      <c r="A229" s="1">
        <f>'[4]BP-Men'!A55</f>
        <v>140</v>
      </c>
      <c r="B229">
        <f>'[4]BP-Men'!B55</f>
        <v>205</v>
      </c>
      <c r="C229" t="str">
        <f>'[4]BP-Men'!C55</f>
        <v>Pavlenko Andriy/89</v>
      </c>
      <c r="D229" t="str">
        <f t="shared" si="7"/>
        <v>89</v>
      </c>
      <c r="E229" t="str">
        <f>'[4]BP-Men'!D55</f>
        <v>UKR</v>
      </c>
      <c r="F229" s="8">
        <f>'[4]BP-Men'!E55</f>
        <v>41129</v>
      </c>
      <c r="G229" t="str">
        <f>'[4]BP-Men'!F55</f>
        <v>Kryvyi Rig</v>
      </c>
    </row>
    <row r="230" spans="1:7" x14ac:dyDescent="0.25">
      <c r="A230" s="1" t="str">
        <f>'[4]BP-Men'!A56</f>
        <v>140+</v>
      </c>
      <c r="B230">
        <f>'[4]BP-Men'!B56</f>
        <v>0</v>
      </c>
      <c r="C230">
        <f>'[4]BP-Men'!C56</f>
        <v>0</v>
      </c>
      <c r="D230" t="str">
        <f t="shared" ref="D230" si="10">RIGHT(C230,2)</f>
        <v>0</v>
      </c>
      <c r="E230">
        <f>'[4]BP-Men'!D56</f>
        <v>0</v>
      </c>
      <c r="F230" s="8">
        <f>'[4]BP-Men'!E56</f>
        <v>0</v>
      </c>
      <c r="G230">
        <f>'[4]BP-Men'!F56</f>
        <v>0</v>
      </c>
    </row>
    <row r="231" spans="1:7" s="16" customFormat="1" x14ac:dyDescent="0.25">
      <c r="A231" s="1"/>
      <c r="B231">
        <f>'[4]BP-Men'!B57</f>
        <v>0</v>
      </c>
      <c r="C231">
        <f>'[4]BP-Men'!C57</f>
        <v>0</v>
      </c>
      <c r="D231" t="str">
        <f t="shared" ref="D231" si="11">RIGHT(C231,2)</f>
        <v>0</v>
      </c>
      <c r="E231">
        <f>'[4]BP-Men'!D57</f>
        <v>0</v>
      </c>
      <c r="F231" s="8">
        <f>'[4]BP-Men'!E57</f>
        <v>0</v>
      </c>
      <c r="G231">
        <f>'[4]BP-Men'!F57</f>
        <v>0</v>
      </c>
    </row>
    <row r="232" spans="1:7" s="11" customFormat="1" x14ac:dyDescent="0.25">
      <c r="A232" s="22" t="s">
        <v>0</v>
      </c>
      <c r="B232" s="11">
        <v>1</v>
      </c>
      <c r="C232" s="11">
        <v>-2</v>
      </c>
      <c r="D232" s="11" t="str">
        <f>'[4]BP-Men'!B58</f>
        <v>MEN OPEN</v>
      </c>
      <c r="F232" s="12"/>
      <c r="G232" s="11">
        <f>'[4]BP-Men'!F58</f>
        <v>0</v>
      </c>
    </row>
    <row r="233" spans="1:7" x14ac:dyDescent="0.25">
      <c r="A233" s="1">
        <f>'[4]BP-Men'!A59</f>
        <v>52</v>
      </c>
      <c r="B233">
        <f>'[4]BP-Men'!B59</f>
        <v>117.5</v>
      </c>
      <c r="C233" t="str">
        <f>'[4]BP-Men'!C59</f>
        <v>Artemyev Igor/71</v>
      </c>
      <c r="D233" t="str">
        <f t="shared" si="7"/>
        <v>71</v>
      </c>
      <c r="E233" t="str">
        <f>'[4]BP-Men'!D59</f>
        <v>RUS</v>
      </c>
      <c r="F233" s="8">
        <f>'[4]BP-Men'!E59</f>
        <v>40088</v>
      </c>
      <c r="G233" t="str">
        <f>'[4]BP-Men'!F59</f>
        <v>Rostov</v>
      </c>
    </row>
    <row r="234" spans="1:7" x14ac:dyDescent="0.25">
      <c r="A234" s="1">
        <f>'[4]BP-Men'!A60</f>
        <v>56</v>
      </c>
      <c r="B234">
        <f>'[4]BP-Men'!B60</f>
        <v>155</v>
      </c>
      <c r="C234" t="str">
        <f>'[4]BP-Men'!C60</f>
        <v>Karaziya Sergei/87</v>
      </c>
      <c r="D234" t="str">
        <f t="shared" si="7"/>
        <v>87</v>
      </c>
      <c r="E234" t="str">
        <f>'[4]BP-Men'!D60</f>
        <v>RUS</v>
      </c>
      <c r="F234" s="8" t="str">
        <f>'[4]BP-Men'!E60</f>
        <v>22.08.2014</v>
      </c>
      <c r="G234" t="str">
        <f>'[4]BP-Men'!F60</f>
        <v>Moscow</v>
      </c>
    </row>
    <row r="235" spans="1:7" x14ac:dyDescent="0.25">
      <c r="A235" s="1">
        <f>'[4]BP-Men'!A61</f>
        <v>60</v>
      </c>
      <c r="B235">
        <f>'[4]BP-Men'!B61</f>
        <v>170</v>
      </c>
      <c r="C235" t="str">
        <f>'[4]BP-Men'!C61</f>
        <v>Kalaychev Yanis/85</v>
      </c>
      <c r="D235" t="str">
        <f t="shared" si="7"/>
        <v>85</v>
      </c>
      <c r="E235" t="str">
        <f>'[4]BP-Men'!D61</f>
        <v>RUS</v>
      </c>
      <c r="F235" s="8">
        <f>'[4]BP-Men'!E61</f>
        <v>41321</v>
      </c>
      <c r="G235" t="str">
        <f>'[4]BP-Men'!F61</f>
        <v>Yekaterinburg</v>
      </c>
    </row>
    <row r="236" spans="1:7" x14ac:dyDescent="0.25">
      <c r="A236" s="1" t="str">
        <f>'[4]BP-Men'!A62</f>
        <v>67.5</v>
      </c>
      <c r="B236">
        <f>'[4]BP-Men'!B62</f>
        <v>175</v>
      </c>
      <c r="C236" t="str">
        <f>'[4]BP-Men'!C62</f>
        <v>Bezhashvili Tsotne/85</v>
      </c>
      <c r="D236" t="str">
        <f t="shared" si="7"/>
        <v>85</v>
      </c>
      <c r="E236" t="str">
        <f>'[4]BP-Men'!D62</f>
        <v>RUS</v>
      </c>
      <c r="F236" s="8">
        <f>'[4]BP-Men'!E62</f>
        <v>41128</v>
      </c>
      <c r="G236" t="str">
        <f>'[4]BP-Men'!F62</f>
        <v>Kryvyi Rig</v>
      </c>
    </row>
    <row r="237" spans="1:7" x14ac:dyDescent="0.25">
      <c r="A237" s="1">
        <f>'[4]BP-Men'!A63</f>
        <v>75</v>
      </c>
      <c r="B237">
        <f>'[4]BP-Men'!B63</f>
        <v>195.5</v>
      </c>
      <c r="C237" t="str">
        <f>'[4]BP-Men'!C63</f>
        <v>Milostnoy Stanislav/78</v>
      </c>
      <c r="D237" t="str">
        <f t="shared" si="7"/>
        <v>78</v>
      </c>
      <c r="E237" t="str">
        <f>'[4]BP-Men'!D63</f>
        <v>RUS</v>
      </c>
      <c r="F237" s="8">
        <f>'[4]BP-Men'!E63</f>
        <v>40814</v>
      </c>
      <c r="G237" t="str">
        <f>'[4]BP-Men'!F63</f>
        <v>Yekaterinburg</v>
      </c>
    </row>
    <row r="238" spans="1:7" x14ac:dyDescent="0.25">
      <c r="A238" s="1" t="str">
        <f>'[4]BP-Men'!A64</f>
        <v>82.5</v>
      </c>
      <c r="B238">
        <f>'[4]BP-Men'!B64</f>
        <v>212.5</v>
      </c>
      <c r="C238" t="str">
        <f>'[4]BP-Men'!C64</f>
        <v>Sapozhonkov Andrei/87</v>
      </c>
      <c r="D238" t="str">
        <f t="shared" si="7"/>
        <v>87</v>
      </c>
      <c r="E238" t="str">
        <f>'[4]BP-Men'!D64</f>
        <v>RUS</v>
      </c>
      <c r="F238" s="8" t="str">
        <f>'[4]BP-Men'!E64</f>
        <v>23.08.2014</v>
      </c>
      <c r="G238" t="str">
        <f>'[4]BP-Men'!F64</f>
        <v>Moscow</v>
      </c>
    </row>
    <row r="239" spans="1:7" x14ac:dyDescent="0.25">
      <c r="A239" s="1">
        <f>'[4]BP-Men'!A65</f>
        <v>90</v>
      </c>
      <c r="B239">
        <f>'[4]BP-Men'!B65</f>
        <v>208</v>
      </c>
      <c r="C239" t="str">
        <f>'[4]BP-Men'!C65</f>
        <v>Revyako Alexander/85</v>
      </c>
      <c r="D239" t="str">
        <f t="shared" si="7"/>
        <v>85</v>
      </c>
      <c r="E239" t="str">
        <f>'[4]BP-Men'!D65</f>
        <v>RUS</v>
      </c>
      <c r="F239" s="8">
        <f>'[4]BP-Men'!E65</f>
        <v>41439</v>
      </c>
      <c r="G239" t="str">
        <f>'[4]BP-Men'!F65</f>
        <v>Moscow</v>
      </c>
    </row>
    <row r="240" spans="1:7" x14ac:dyDescent="0.25">
      <c r="A240" s="1">
        <f>'[4]BP-Men'!A66</f>
        <v>100</v>
      </c>
      <c r="B240">
        <f>'[4]BP-Men'!B66</f>
        <v>232.5</v>
      </c>
      <c r="C240" t="str">
        <f>'[4]BP-Men'!C66</f>
        <v>Filimonov Oleg/87</v>
      </c>
      <c r="D240" t="str">
        <f t="shared" si="7"/>
        <v>87</v>
      </c>
      <c r="E240" t="str">
        <f>'[4]BP-Men'!D66</f>
        <v>RUS</v>
      </c>
      <c r="F240" s="8" t="str">
        <f>'[4]BP-Men'!E66</f>
        <v>23.08.2014</v>
      </c>
      <c r="G240" t="str">
        <f>'[4]BP-Men'!F66</f>
        <v>Moscow</v>
      </c>
    </row>
    <row r="241" spans="1:7" x14ac:dyDescent="0.25">
      <c r="A241" s="1">
        <f>'[4]BP-Men'!A67</f>
        <v>110</v>
      </c>
      <c r="B241">
        <f>'[4]BP-Men'!B67</f>
        <v>232.5</v>
      </c>
      <c r="C241" t="str">
        <f>'[4]BP-Men'!C67</f>
        <v>Tenetko Dmitriy/75</v>
      </c>
      <c r="D241" t="str">
        <f t="shared" si="7"/>
        <v>75</v>
      </c>
      <c r="E241" t="str">
        <f>'[4]BP-Men'!D67</f>
        <v>RUS</v>
      </c>
      <c r="F241" s="8" t="str">
        <f>'[4]BP-Men'!E67</f>
        <v>23.08.2014</v>
      </c>
      <c r="G241" t="str">
        <f>'[4]BP-Men'!F67</f>
        <v>Moscow</v>
      </c>
    </row>
    <row r="242" spans="1:7" x14ac:dyDescent="0.25">
      <c r="A242" s="1">
        <f>'[4]BP-Men'!A68</f>
        <v>125</v>
      </c>
      <c r="B242">
        <f>'[4]BP-Men'!B68</f>
        <v>250</v>
      </c>
      <c r="C242" t="str">
        <f>'[4]BP-Men'!C68</f>
        <v>Zavgorodny Andrei/81</v>
      </c>
      <c r="D242" t="str">
        <f t="shared" si="7"/>
        <v>81</v>
      </c>
      <c r="E242" t="str">
        <f>'[4]BP-Men'!D68</f>
        <v>RUS</v>
      </c>
      <c r="F242" s="8">
        <f>'[4]BP-Men'!E68</f>
        <v>41020</v>
      </c>
      <c r="G242" t="str">
        <f>'[4]BP-Men'!F68</f>
        <v>Rostov</v>
      </c>
    </row>
    <row r="243" spans="1:7" x14ac:dyDescent="0.25">
      <c r="A243" s="1">
        <f>'[4]BP-Men'!A69</f>
        <v>140</v>
      </c>
      <c r="B243">
        <f>'[4]BP-Men'!B69</f>
        <v>250</v>
      </c>
      <c r="C243" t="str">
        <f>'[4]BP-Men'!C69</f>
        <v>Gulyan Artur/82</v>
      </c>
      <c r="D243" t="str">
        <f t="shared" si="7"/>
        <v>82</v>
      </c>
      <c r="E243" t="str">
        <f>'[4]BP-Men'!D69</f>
        <v>RUS</v>
      </c>
      <c r="F243" s="8" t="str">
        <f>'[4]BP-Men'!E69</f>
        <v>30.05.2014</v>
      </c>
      <c r="G243" t="str">
        <f>'[4]BP-Men'!F69</f>
        <v>Kursk</v>
      </c>
    </row>
    <row r="244" spans="1:7" x14ac:dyDescent="0.25">
      <c r="A244" s="1" t="str">
        <f>'[4]BP-Men'!A70</f>
        <v>140+</v>
      </c>
      <c r="B244">
        <f>'[4]BP-Men'!B70</f>
        <v>220</v>
      </c>
      <c r="C244" t="str">
        <f>'[4]BP-Men'!C70</f>
        <v>Smirnov Yuri/71</v>
      </c>
      <c r="D244" t="str">
        <f t="shared" ref="D244:D245" si="12">RIGHT(C244,2)</f>
        <v>71</v>
      </c>
      <c r="E244" t="str">
        <f>'[4]BP-Men'!D70</f>
        <v>RUS</v>
      </c>
      <c r="F244" s="8">
        <f>'[4]BP-Men'!E70</f>
        <v>40088</v>
      </c>
      <c r="G244" t="str">
        <f>'[4]BP-Men'!F70</f>
        <v>Rostov</v>
      </c>
    </row>
    <row r="245" spans="1:7" x14ac:dyDescent="0.25">
      <c r="B245">
        <f>'[4]BP-Men'!B71</f>
        <v>0</v>
      </c>
      <c r="C245">
        <f>'[4]BP-Men'!C71</f>
        <v>0</v>
      </c>
      <c r="D245" t="str">
        <f t="shared" si="12"/>
        <v>0</v>
      </c>
      <c r="E245">
        <f>'[4]BP-Men'!D71</f>
        <v>0</v>
      </c>
      <c r="F245" s="8">
        <f>'[4]BP-Men'!E71</f>
        <v>0</v>
      </c>
      <c r="G245">
        <f>'[4]BP-Men'!F71</f>
        <v>0</v>
      </c>
    </row>
    <row r="246" spans="1:7" s="11" customFormat="1" x14ac:dyDescent="0.25">
      <c r="A246" s="22" t="s">
        <v>0</v>
      </c>
      <c r="B246" s="11">
        <v>1</v>
      </c>
      <c r="C246" s="11">
        <v>-4</v>
      </c>
      <c r="D246" s="11" t="str">
        <f>'[4]BP-Men'!B72</f>
        <v>Men's SM 33-39</v>
      </c>
      <c r="F246" s="12"/>
    </row>
    <row r="247" spans="1:7" x14ac:dyDescent="0.25">
      <c r="A247" s="1">
        <f>'[4]BP-Men'!A73</f>
        <v>52</v>
      </c>
      <c r="B247">
        <f>'[4]BP-Men'!B73</f>
        <v>117.5</v>
      </c>
      <c r="C247" t="str">
        <f>'[4]BP-Men'!C73</f>
        <v>Artemyev Igor/71</v>
      </c>
      <c r="D247" t="str">
        <f t="shared" si="7"/>
        <v>71</v>
      </c>
      <c r="E247" t="str">
        <f>'[4]BP-Men'!D73</f>
        <v>RUS</v>
      </c>
      <c r="F247" s="8">
        <f>'[4]BP-Men'!E73</f>
        <v>40088</v>
      </c>
      <c r="G247" t="str">
        <f>'[4]BP-Men'!F73</f>
        <v>Rostov</v>
      </c>
    </row>
    <row r="248" spans="1:7" x14ac:dyDescent="0.25">
      <c r="A248" s="1">
        <f>'[4]BP-Men'!A74</f>
        <v>56</v>
      </c>
      <c r="B248">
        <f>'[4]BP-Men'!B74</f>
        <v>127.5</v>
      </c>
      <c r="C248" t="str">
        <f>'[4]BP-Men'!C74</f>
        <v>Artemyev Oleg/71</v>
      </c>
      <c r="D248" t="str">
        <f t="shared" si="7"/>
        <v>71</v>
      </c>
      <c r="E248" t="str">
        <f>'[4]BP-Men'!D74</f>
        <v>RUS</v>
      </c>
      <c r="F248" s="8">
        <f>'[4]BP-Men'!E74</f>
        <v>40088</v>
      </c>
      <c r="G248" t="str">
        <f>'[4]BP-Men'!F74</f>
        <v>Rostov</v>
      </c>
    </row>
    <row r="249" spans="1:7" x14ac:dyDescent="0.25">
      <c r="A249" s="1">
        <f>'[4]BP-Men'!A75</f>
        <v>60</v>
      </c>
      <c r="B249">
        <f>'[4]BP-Men'!B75</f>
        <v>126</v>
      </c>
      <c r="C249" t="str">
        <f>'[4]BP-Men'!C75</f>
        <v>Artemyev Oleg/71</v>
      </c>
      <c r="D249" t="str">
        <f t="shared" si="7"/>
        <v>71</v>
      </c>
      <c r="E249" t="str">
        <f>'[4]BP-Men'!D75</f>
        <v>RUS</v>
      </c>
      <c r="F249" s="8" t="str">
        <f>'[4]BP-Men'!E75</f>
        <v>23.08.2014</v>
      </c>
      <c r="G249" t="str">
        <f>'[4]BP-Men'!F75</f>
        <v>Moscow</v>
      </c>
    </row>
    <row r="250" spans="1:7" x14ac:dyDescent="0.25">
      <c r="A250" s="1" t="str">
        <f>'[4]BP-Men'!A76</f>
        <v>67.5</v>
      </c>
      <c r="B250">
        <f>'[4]BP-Men'!B76</f>
        <v>162.5</v>
      </c>
      <c r="C250" t="str">
        <f>'[4]BP-Men'!C76</f>
        <v>Alexandrov Alexandr/79</v>
      </c>
      <c r="D250" t="str">
        <f t="shared" si="7"/>
        <v>79</v>
      </c>
      <c r="E250" t="str">
        <f>'[4]BP-Men'!D76</f>
        <v>RUS</v>
      </c>
      <c r="F250" s="8">
        <f>'[4]BP-Men'!E76</f>
        <v>41137</v>
      </c>
      <c r="G250" t="str">
        <f>'[4]BP-Men'!F76</f>
        <v>Novosibirsk</v>
      </c>
    </row>
    <row r="251" spans="1:7" x14ac:dyDescent="0.25">
      <c r="A251" s="1">
        <f>'[4]BP-Men'!A77</f>
        <v>75</v>
      </c>
      <c r="B251">
        <f>'[4]BP-Men'!B77</f>
        <v>180</v>
      </c>
      <c r="C251" t="str">
        <f>'[4]BP-Men'!C77</f>
        <v>Babin Ilya/80</v>
      </c>
      <c r="D251" t="str">
        <f t="shared" si="7"/>
        <v>80</v>
      </c>
      <c r="E251" t="str">
        <f>'[4]BP-Men'!D77</f>
        <v>RUS</v>
      </c>
      <c r="F251" s="8">
        <f>'[4]BP-Men'!E77</f>
        <v>41619</v>
      </c>
      <c r="G251" t="str">
        <f>'[4]BP-Men'!F77</f>
        <v>Kursk</v>
      </c>
    </row>
    <row r="252" spans="1:7" x14ac:dyDescent="0.25">
      <c r="A252" s="1" t="str">
        <f>'[4]BP-Men'!A78</f>
        <v>82.5</v>
      </c>
      <c r="B252">
        <f>'[4]BP-Men'!B78</f>
        <v>186</v>
      </c>
      <c r="C252" t="str">
        <f>'[4]BP-Men'!C78</f>
        <v>Veber Mikhail/71</v>
      </c>
      <c r="D252" t="str">
        <f t="shared" si="7"/>
        <v>71</v>
      </c>
      <c r="E252" t="str">
        <f>'[4]BP-Men'!D78</f>
        <v>RUS</v>
      </c>
      <c r="F252" s="8">
        <f>'[4]BP-Men'!E78</f>
        <v>39528</v>
      </c>
      <c r="G252" t="str">
        <f>'[4]BP-Men'!F78</f>
        <v>Rostov</v>
      </c>
    </row>
    <row r="253" spans="1:7" x14ac:dyDescent="0.25">
      <c r="A253" s="1">
        <f>'[4]BP-Men'!A79</f>
        <v>90</v>
      </c>
      <c r="B253">
        <f>'[4]BP-Men'!B79</f>
        <v>205</v>
      </c>
      <c r="C253" t="str">
        <f>'[4]BP-Men'!C79</f>
        <v>Kharauzov Alexei/73</v>
      </c>
      <c r="D253" t="str">
        <f t="shared" si="7"/>
        <v>73</v>
      </c>
      <c r="E253" t="str">
        <f>'[4]BP-Men'!D79</f>
        <v>RUS</v>
      </c>
      <c r="F253" s="8">
        <f>'[4]BP-Men'!E79</f>
        <v>39528</v>
      </c>
      <c r="G253" t="str">
        <f>'[4]BP-Men'!F79</f>
        <v>Rostov</v>
      </c>
    </row>
    <row r="254" spans="1:7" x14ac:dyDescent="0.25">
      <c r="A254" s="1">
        <f>'[4]BP-Men'!A80</f>
        <v>100</v>
      </c>
      <c r="B254">
        <f>'[4]BP-Men'!B80</f>
        <v>225</v>
      </c>
      <c r="C254" t="str">
        <f>'[4]BP-Men'!C80</f>
        <v>Kysil Andriy/75</v>
      </c>
      <c r="D254" t="str">
        <f t="shared" si="7"/>
        <v>75</v>
      </c>
      <c r="E254" t="str">
        <f>'[4]BP-Men'!D80</f>
        <v>UKR</v>
      </c>
      <c r="F254" s="8">
        <f>'[4]BP-Men'!E80</f>
        <v>39726</v>
      </c>
      <c r="G254" t="str">
        <f>'[4]BP-Men'!F80</f>
        <v>Ternopil'</v>
      </c>
    </row>
    <row r="255" spans="1:7" x14ac:dyDescent="0.25">
      <c r="A255" s="1">
        <f>'[4]BP-Men'!A81</f>
        <v>110</v>
      </c>
      <c r="B255">
        <f>'[4]BP-Men'!B81</f>
        <v>232.5</v>
      </c>
      <c r="C255" t="str">
        <f>'[4]BP-Men'!C81</f>
        <v>Tenetko Dmitriy/75</v>
      </c>
      <c r="D255" t="str">
        <f t="shared" si="7"/>
        <v>75</v>
      </c>
      <c r="E255" t="str">
        <f>'[4]BP-Men'!D81</f>
        <v>RUS</v>
      </c>
      <c r="F255" s="8" t="str">
        <f>'[4]BP-Men'!E81</f>
        <v>23.08.2014</v>
      </c>
      <c r="G255" t="str">
        <f>'[4]BP-Men'!F81</f>
        <v>Moscow</v>
      </c>
    </row>
    <row r="256" spans="1:7" s="16" customFormat="1" x14ac:dyDescent="0.25">
      <c r="A256" s="28">
        <f>'[4]BP-Men'!A82</f>
        <v>125</v>
      </c>
      <c r="B256" s="16">
        <f>'[4]BP-Men'!B82</f>
        <v>230</v>
      </c>
      <c r="C256" s="16" t="str">
        <f>'[4]BP-Men'!C82</f>
        <v>Grydyakin Oleg/74</v>
      </c>
      <c r="D256" s="16" t="str">
        <f t="shared" si="7"/>
        <v>74</v>
      </c>
      <c r="E256" s="16" t="str">
        <f>'[4]BP-Men'!D82</f>
        <v>UKR</v>
      </c>
      <c r="F256" s="18">
        <f>'[4]BP-Men'!E82</f>
        <v>40985</v>
      </c>
      <c r="G256" s="16" t="str">
        <f>'[4]BP-Men'!F82</f>
        <v>Kryvyi Rig</v>
      </c>
    </row>
    <row r="257" spans="1:7" s="16" customFormat="1" x14ac:dyDescent="0.25">
      <c r="A257" s="28">
        <f>'[4]BP-Men'!A83</f>
        <v>140</v>
      </c>
      <c r="B257" s="16">
        <f>'[4]BP-Men'!B83</f>
        <v>240</v>
      </c>
      <c r="C257" s="16" t="str">
        <f>'[4]BP-Men'!C83</f>
        <v>Khudyakov Sergei/75</v>
      </c>
      <c r="D257" s="16" t="str">
        <f t="shared" ref="D257:D259" si="13">RIGHT(C257,2)</f>
        <v>75</v>
      </c>
      <c r="E257" s="16" t="str">
        <f>'[4]BP-Men'!D83</f>
        <v>RUS</v>
      </c>
      <c r="F257" s="18">
        <f>'[4]BP-Men'!E83</f>
        <v>41321</v>
      </c>
      <c r="G257" s="16" t="str">
        <f>'[4]BP-Men'!F83</f>
        <v>Yekaterinburg</v>
      </c>
    </row>
    <row r="258" spans="1:7" x14ac:dyDescent="0.25">
      <c r="A258" s="1" t="str">
        <f>'[4]BP-Men'!A84</f>
        <v>140+</v>
      </c>
      <c r="B258">
        <f>'[4]BP-Men'!B84</f>
        <v>222.5</v>
      </c>
      <c r="C258" t="str">
        <f>'[4]BP-Men'!C84</f>
        <v>Kozyrev Oleg/75</v>
      </c>
      <c r="D258" t="str">
        <f t="shared" si="13"/>
        <v>75</v>
      </c>
      <c r="E258" t="str">
        <f>'[4]BP-Men'!D84</f>
        <v>RUS</v>
      </c>
      <c r="F258" s="8">
        <f>'[4]BP-Men'!E84</f>
        <v>41020</v>
      </c>
      <c r="G258" t="str">
        <f>'[4]BP-Men'!F84</f>
        <v>Rostov</v>
      </c>
    </row>
    <row r="259" spans="1:7" x14ac:dyDescent="0.25">
      <c r="B259">
        <f>'[4]BP-Men'!B85</f>
        <v>0</v>
      </c>
      <c r="C259">
        <f>'[4]BP-Men'!C85</f>
        <v>0</v>
      </c>
      <c r="D259" t="str">
        <f t="shared" si="13"/>
        <v>0</v>
      </c>
      <c r="E259">
        <f>'[4]BP-Men'!D85</f>
        <v>0</v>
      </c>
      <c r="F259" s="8">
        <f>'[4]BP-Men'!E85</f>
        <v>0</v>
      </c>
      <c r="G259">
        <f>'[4]BP-Men'!F85</f>
        <v>0</v>
      </c>
    </row>
    <row r="260" spans="1:7" s="11" customFormat="1" x14ac:dyDescent="0.25">
      <c r="A260" s="22" t="s">
        <v>0</v>
      </c>
      <c r="B260" s="11">
        <v>1</v>
      </c>
      <c r="C260" s="11">
        <v>40</v>
      </c>
      <c r="D260" s="11" t="str">
        <f>'[4]BP-Men'!B86</f>
        <v>Men's M1  (40 - 44)</v>
      </c>
      <c r="F260" s="12"/>
    </row>
    <row r="261" spans="1:7" x14ac:dyDescent="0.25">
      <c r="A261" s="1">
        <f>'[4]BP-Men'!A87</f>
        <v>52</v>
      </c>
      <c r="B261">
        <f>'[4]BP-Men'!B87</f>
        <v>0</v>
      </c>
      <c r="C261">
        <f>'[4]BP-Men'!C87</f>
        <v>0</v>
      </c>
      <c r="D261" t="str">
        <f t="shared" ref="D261:D325" si="14">RIGHT(C261,2)</f>
        <v>0</v>
      </c>
      <c r="E261">
        <f>'[4]BP-Men'!D87</f>
        <v>0</v>
      </c>
      <c r="F261" s="8">
        <f>'[4]BP-Men'!E87</f>
        <v>0</v>
      </c>
      <c r="G261">
        <f>'[4]BP-Men'!F87</f>
        <v>0</v>
      </c>
    </row>
    <row r="262" spans="1:7" x14ac:dyDescent="0.25">
      <c r="A262" s="1">
        <f>'[4]BP-Men'!A88</f>
        <v>56</v>
      </c>
      <c r="B262">
        <f>'[4]BP-Men'!B88</f>
        <v>117.5</v>
      </c>
      <c r="C262" t="str">
        <f>'[4]BP-Men'!C88</f>
        <v>Artemyev,Igor/71</v>
      </c>
      <c r="D262" t="str">
        <f t="shared" si="14"/>
        <v>71</v>
      </c>
      <c r="E262" t="str">
        <f>'[4]BP-Men'!D88</f>
        <v>RUS</v>
      </c>
      <c r="F262" s="8">
        <f>'[4]BP-Men'!E88</f>
        <v>41128</v>
      </c>
      <c r="G262" t="str">
        <f>'[4]BP-Men'!F88</f>
        <v>Kryvyi Rig</v>
      </c>
    </row>
    <row r="263" spans="1:7" x14ac:dyDescent="0.25">
      <c r="A263" s="1">
        <f>'[4]BP-Men'!A89</f>
        <v>60</v>
      </c>
      <c r="B263">
        <f>'[4]BP-Men'!B89</f>
        <v>125</v>
      </c>
      <c r="C263" t="str">
        <f>'[4]BP-Men'!C89</f>
        <v>Artemyev,Oleg/71</v>
      </c>
      <c r="D263" t="str">
        <f t="shared" si="14"/>
        <v>71</v>
      </c>
      <c r="E263" t="str">
        <f>'[4]BP-Men'!D89</f>
        <v>RUS</v>
      </c>
      <c r="F263" s="8">
        <f>'[4]BP-Men'!E89</f>
        <v>41128</v>
      </c>
      <c r="G263" t="str">
        <f>'[4]BP-Men'!F89</f>
        <v>Kryvyi Rig</v>
      </c>
    </row>
    <row r="264" spans="1:7" x14ac:dyDescent="0.25">
      <c r="A264" s="1" t="str">
        <f>'[4]BP-Men'!A90</f>
        <v>67.5</v>
      </c>
      <c r="B264">
        <f>'[4]BP-Men'!B90</f>
        <v>155</v>
      </c>
      <c r="C264" t="str">
        <f>'[4]BP-Men'!C90</f>
        <v>Zabolotnev Vladimir/68</v>
      </c>
      <c r="D264" t="str">
        <f t="shared" si="14"/>
        <v>68</v>
      </c>
      <c r="E264" t="str">
        <f>'[4]BP-Men'!D90</f>
        <v>RUS</v>
      </c>
      <c r="F264" s="8">
        <f>'[4]BP-Men'!E90</f>
        <v>41128</v>
      </c>
      <c r="G264" t="str">
        <f>'[4]BP-Men'!F90</f>
        <v>Kryvyi Rig</v>
      </c>
    </row>
    <row r="265" spans="1:7" x14ac:dyDescent="0.25">
      <c r="A265" s="1">
        <f>'[4]BP-Men'!A91</f>
        <v>75</v>
      </c>
      <c r="B265">
        <f>'[4]BP-Men'!B91</f>
        <v>170</v>
      </c>
      <c r="C265" t="str">
        <f>'[4]BP-Men'!C91</f>
        <v>Schegolkov Vladimir/73</v>
      </c>
      <c r="D265" t="str">
        <f t="shared" si="14"/>
        <v>73</v>
      </c>
      <c r="E265" t="str">
        <f>'[4]BP-Men'!D91</f>
        <v>RUS</v>
      </c>
      <c r="F265" s="8">
        <f>'[4]BP-Men'!E91</f>
        <v>41496</v>
      </c>
      <c r="G265" t="str">
        <f>'[4]BP-Men'!F91</f>
        <v>Kursk</v>
      </c>
    </row>
    <row r="266" spans="1:7" x14ac:dyDescent="0.25">
      <c r="A266" s="1" t="str">
        <f>'[4]BP-Men'!A92</f>
        <v>82.5</v>
      </c>
      <c r="B266">
        <f>'[4]BP-Men'!B92</f>
        <v>205</v>
      </c>
      <c r="C266" t="str">
        <f>'[4]BP-Men'!C92</f>
        <v>Melyaev Eduard/70</v>
      </c>
      <c r="D266" t="str">
        <f t="shared" si="14"/>
        <v>70</v>
      </c>
      <c r="E266" t="str">
        <f>'[4]BP-Men'!D92</f>
        <v>RUS</v>
      </c>
      <c r="F266" s="8">
        <f>'[4]BP-Men'!E92</f>
        <v>40814</v>
      </c>
      <c r="G266" t="str">
        <f>'[4]BP-Men'!F92</f>
        <v>Yekaterinbourg</v>
      </c>
    </row>
    <row r="267" spans="1:7" x14ac:dyDescent="0.25">
      <c r="B267">
        <f>'[4]BP-Men'!B93</f>
        <v>207.5</v>
      </c>
      <c r="C267" t="str">
        <f>'[4]BP-Men'!C93</f>
        <v>Galayda Andrei/72</v>
      </c>
      <c r="D267" t="str">
        <f t="shared" si="14"/>
        <v>72</v>
      </c>
      <c r="E267" t="str">
        <f>'[4]BP-Men'!D93</f>
        <v>RUS</v>
      </c>
      <c r="F267" s="8" t="str">
        <f>'[4]BP-Men'!E93</f>
        <v>23.08.2014</v>
      </c>
      <c r="G267" t="str">
        <f>'[4]BP-Men'!F93</f>
        <v>Moscow</v>
      </c>
    </row>
    <row r="268" spans="1:7" s="16" customFormat="1" x14ac:dyDescent="0.25">
      <c r="A268" s="28">
        <f>'[4]BP-Men'!A93</f>
        <v>90</v>
      </c>
      <c r="B268" s="16">
        <f>'[4]BP-Men'!B93</f>
        <v>207.5</v>
      </c>
      <c r="C268" s="16" t="str">
        <f>'[4]BP-Men'!C93</f>
        <v>Galayda Andrei/72</v>
      </c>
      <c r="D268" s="16" t="str">
        <f t="shared" si="14"/>
        <v>72</v>
      </c>
      <c r="E268" s="16" t="str">
        <f>'[4]BP-Men'!D93</f>
        <v>RUS</v>
      </c>
      <c r="F268" s="18" t="str">
        <f>'[4]BP-Men'!E93</f>
        <v>23.08.2014</v>
      </c>
      <c r="G268" s="16" t="str">
        <f>'[4]BP-Men'!F93</f>
        <v>Moscow</v>
      </c>
    </row>
    <row r="269" spans="1:7" x14ac:dyDescent="0.25">
      <c r="A269" s="1">
        <f>'[4]BP-Men'!A95</f>
        <v>110</v>
      </c>
      <c r="B269">
        <f>'[4]BP-Men'!B95</f>
        <v>210</v>
      </c>
      <c r="C269" t="str">
        <f>'[4]BP-Men'!C95</f>
        <v>Mantserov Sergei/70</v>
      </c>
      <c r="D269" t="str">
        <f t="shared" si="14"/>
        <v>70</v>
      </c>
      <c r="E269" t="str">
        <f>'[4]BP-Men'!D95</f>
        <v>RUS</v>
      </c>
      <c r="F269" s="8" t="str">
        <f>'[4]BP-Men'!E95</f>
        <v>23.08.2014</v>
      </c>
      <c r="G269" t="str">
        <f>'[4]BP-Men'!F95</f>
        <v>Moscow</v>
      </c>
    </row>
    <row r="270" spans="1:7" x14ac:dyDescent="0.25">
      <c r="A270" s="1">
        <f>'[4]BP-Men'!A96</f>
        <v>125</v>
      </c>
      <c r="B270">
        <f>'[4]BP-Men'!B96</f>
        <v>222.5</v>
      </c>
      <c r="C270" t="str">
        <f>'[4]BP-Men'!C96</f>
        <v>Stryga Olexandr/67</v>
      </c>
      <c r="D270" t="str">
        <f t="shared" si="14"/>
        <v>67</v>
      </c>
      <c r="E270" t="str">
        <f>'[4]BP-Men'!D96</f>
        <v>UKR</v>
      </c>
      <c r="F270" s="8">
        <f>'[4]BP-Men'!E96</f>
        <v>40985</v>
      </c>
      <c r="G270" t="str">
        <f>'[4]BP-Men'!F96</f>
        <v>Kryvyi Rig</v>
      </c>
    </row>
    <row r="271" spans="1:7" x14ac:dyDescent="0.25">
      <c r="A271" s="1">
        <f>'[4]BP-Men'!A97</f>
        <v>140</v>
      </c>
      <c r="B271">
        <f>'[4]BP-Men'!B97</f>
        <v>225</v>
      </c>
      <c r="C271" t="str">
        <f>'[4]BP-Men'!C97</f>
        <v>Pober Igor/68</v>
      </c>
      <c r="D271" t="str">
        <f t="shared" si="14"/>
        <v>68</v>
      </c>
      <c r="E271" t="str">
        <f>'[4]BP-Men'!D97</f>
        <v>UKR</v>
      </c>
      <c r="F271" s="8">
        <f>'[4]BP-Men'!E97</f>
        <v>41370</v>
      </c>
      <c r="G271" t="str">
        <f>'[4]BP-Men'!F97</f>
        <v>Kryvyi Rig</v>
      </c>
    </row>
    <row r="272" spans="1:7" x14ac:dyDescent="0.25">
      <c r="A272" s="1" t="str">
        <f>'[4]BP-Men'!A98</f>
        <v>140+</v>
      </c>
      <c r="B272">
        <f>'[4]BP-Men'!B98</f>
        <v>220</v>
      </c>
      <c r="C272" t="str">
        <f>'[4]BP-Men'!C98</f>
        <v>Karpov Stanislav/71</v>
      </c>
      <c r="D272" t="str">
        <f t="shared" si="14"/>
        <v>71</v>
      </c>
      <c r="E272" t="str">
        <f>'[4]BP-Men'!D98</f>
        <v>RUS</v>
      </c>
      <c r="F272" s="8" t="str">
        <f>'[4]BP-Men'!E98</f>
        <v>23.08.2014</v>
      </c>
      <c r="G272" t="str">
        <f>'[4]BP-Men'!F98</f>
        <v>Moscow</v>
      </c>
    </row>
    <row r="274" spans="1:7" s="11" customFormat="1" x14ac:dyDescent="0.25">
      <c r="A274" s="22" t="s">
        <v>0</v>
      </c>
      <c r="B274" s="11">
        <v>1</v>
      </c>
      <c r="C274" s="11">
        <v>45</v>
      </c>
      <c r="D274" s="11" t="str">
        <f>'[4]BP-Men'!B99</f>
        <v>Men's M2  (45 - 49)</v>
      </c>
      <c r="F274" s="12"/>
    </row>
    <row r="275" spans="1:7" x14ac:dyDescent="0.25">
      <c r="A275" s="1">
        <f>'[4]BP-Men'!A100</f>
        <v>52</v>
      </c>
      <c r="B275">
        <f>'[4]BP-Men'!B100</f>
        <v>0</v>
      </c>
      <c r="C275">
        <f>'[4]BP-Men'!C100</f>
        <v>0</v>
      </c>
      <c r="D275" t="str">
        <f t="shared" si="14"/>
        <v>0</v>
      </c>
      <c r="E275">
        <f>'[4]BP-Men'!D100</f>
        <v>0</v>
      </c>
      <c r="F275" s="8">
        <f>'[4]BP-Men'!E100</f>
        <v>0</v>
      </c>
      <c r="G275">
        <f>'[4]BP-Men'!F100</f>
        <v>0</v>
      </c>
    </row>
    <row r="276" spans="1:7" x14ac:dyDescent="0.25">
      <c r="A276" s="1">
        <f>'[4]BP-Men'!A101</f>
        <v>56</v>
      </c>
      <c r="B276">
        <f>'[4]BP-Men'!B101</f>
        <v>90</v>
      </c>
      <c r="C276" t="str">
        <f>'[4]BP-Men'!C101</f>
        <v>Kovalenko,Volodymyr/65</v>
      </c>
      <c r="D276" t="str">
        <f t="shared" si="14"/>
        <v>65</v>
      </c>
      <c r="E276" t="str">
        <f>'[4]BP-Men'!D101</f>
        <v>UKR</v>
      </c>
      <c r="F276" s="8">
        <f>'[4]BP-Men'!E101</f>
        <v>41128</v>
      </c>
      <c r="G276" t="str">
        <f>'[4]BP-Men'!F101</f>
        <v>Kryvyi Rig</v>
      </c>
    </row>
    <row r="277" spans="1:7" x14ac:dyDescent="0.25">
      <c r="A277" s="1">
        <f>'[4]BP-Men'!A102</f>
        <v>60</v>
      </c>
      <c r="B277">
        <f>'[4]BP-Men'!B102</f>
        <v>102.5</v>
      </c>
      <c r="C277" t="str">
        <f>'[4]BP-Men'!C102</f>
        <v>Dvoinikov Oleg/61</v>
      </c>
      <c r="D277" t="str">
        <f t="shared" si="14"/>
        <v>61</v>
      </c>
      <c r="E277" t="str">
        <f>'[4]BP-Men'!D102</f>
        <v>RUS</v>
      </c>
      <c r="F277" s="8">
        <f>'[4]BP-Men'!E102</f>
        <v>39871</v>
      </c>
      <c r="G277" t="str">
        <f>'[4]BP-Men'!F102</f>
        <v>Chelyabinsk</v>
      </c>
    </row>
    <row r="278" spans="1:7" x14ac:dyDescent="0.25">
      <c r="A278" s="1">
        <f>'[4]BP-Men'!A103</f>
        <v>67.5</v>
      </c>
      <c r="B278">
        <f>'[4]BP-Men'!B103</f>
        <v>130</v>
      </c>
      <c r="C278" t="str">
        <f>'[4]BP-Men'!C103</f>
        <v>Kireev,Nikolai/63</v>
      </c>
      <c r="D278" t="str">
        <f t="shared" si="14"/>
        <v>63</v>
      </c>
      <c r="E278" t="str">
        <f>'[4]BP-Men'!D103</f>
        <v>RUS</v>
      </c>
      <c r="F278" s="8">
        <f>'[4]BP-Men'!E103</f>
        <v>40088</v>
      </c>
      <c r="G278" t="str">
        <f>'[4]BP-Men'!F103</f>
        <v>Rostov</v>
      </c>
    </row>
    <row r="279" spans="1:7" x14ac:dyDescent="0.25">
      <c r="A279" s="1">
        <f>'[4]BP-Men'!A104</f>
        <v>75</v>
      </c>
      <c r="B279" t="str">
        <f>'[4]BP-Men'!B104</f>
        <v>162.5</v>
      </c>
      <c r="C279" t="str">
        <f>'[4]BP-Men'!C104</f>
        <v>Reshetnikov Vladimir/60</v>
      </c>
      <c r="D279" t="str">
        <f t="shared" si="14"/>
        <v>60</v>
      </c>
      <c r="E279" t="str">
        <f>'[4]BP-Men'!D104</f>
        <v>RUS</v>
      </c>
      <c r="F279" s="8">
        <f>'[4]BP-Men'!E104</f>
        <v>39528</v>
      </c>
      <c r="G279" t="str">
        <f>'[4]BP-Men'!F104</f>
        <v>Rostov</v>
      </c>
    </row>
    <row r="280" spans="1:7" x14ac:dyDescent="0.25">
      <c r="A280" s="1" t="str">
        <f>'[4]BP-Men'!A105</f>
        <v>82.5</v>
      </c>
      <c r="B280">
        <f>'[4]BP-Men'!B105</f>
        <v>190.5</v>
      </c>
      <c r="C280" t="str">
        <f>'[4]BP-Men'!C105</f>
        <v>Reshetnikov Vladimir/60</v>
      </c>
      <c r="D280" t="str">
        <f t="shared" ref="D280:D286" si="15">RIGHT(C280,2)</f>
        <v>60</v>
      </c>
      <c r="E280" t="str">
        <f>'[4]BP-Men'!D105</f>
        <v>RUS</v>
      </c>
      <c r="F280" s="8">
        <f>'[4]BP-Men'!E105</f>
        <v>40088</v>
      </c>
      <c r="G280" t="str">
        <f>'[4]BP-Men'!F105</f>
        <v>Rostov</v>
      </c>
    </row>
    <row r="281" spans="1:7" x14ac:dyDescent="0.25">
      <c r="A281" s="1">
        <f>'[4]BP-Men'!A106</f>
        <v>90</v>
      </c>
      <c r="B281">
        <f>'[4]BP-Men'!B106</f>
        <v>180</v>
      </c>
      <c r="C281" t="str">
        <f>'[4]BP-Men'!C106</f>
        <v>Sender Alexei/65</v>
      </c>
      <c r="D281" t="str">
        <f t="shared" si="15"/>
        <v>65</v>
      </c>
      <c r="E281" t="str">
        <f>'[4]BP-Men'!D106</f>
        <v>BLR</v>
      </c>
      <c r="F281" s="8" t="str">
        <f>'[4]BP-Men'!E106</f>
        <v>23.08.2014</v>
      </c>
      <c r="G281" t="str">
        <f>'[4]BP-Men'!F106</f>
        <v>Moscow</v>
      </c>
    </row>
    <row r="282" spans="1:7" x14ac:dyDescent="0.25">
      <c r="A282" s="1">
        <f>'[4]BP-Men'!A107</f>
        <v>100</v>
      </c>
      <c r="B282">
        <f>'[4]BP-Men'!B107</f>
        <v>180</v>
      </c>
      <c r="C282" t="str">
        <f>'[4]BP-Men'!C107</f>
        <v>Verzhanovskiy Sergei/67</v>
      </c>
      <c r="D282" t="str">
        <f t="shared" si="15"/>
        <v>67</v>
      </c>
      <c r="E282" t="str">
        <f>'[4]BP-Men'!D107</f>
        <v>RUS</v>
      </c>
      <c r="F282" s="8" t="str">
        <f>'[4]BP-Men'!E107</f>
        <v>23.08.2014</v>
      </c>
      <c r="G282" t="str">
        <f>'[4]BP-Men'!F107</f>
        <v>Moscow</v>
      </c>
    </row>
    <row r="283" spans="1:7" s="16" customFormat="1" x14ac:dyDescent="0.25">
      <c r="A283" s="28">
        <f>'[4]BP-Men'!A108</f>
        <v>110</v>
      </c>
      <c r="B283" s="16">
        <f>'[4]BP-Men'!B108</f>
        <v>192.5</v>
      </c>
      <c r="C283" s="16" t="str">
        <f>'[4]BP-Men'!C108</f>
        <v>Veles Yevgeniy/68</v>
      </c>
      <c r="D283" s="16" t="str">
        <f t="shared" si="15"/>
        <v>68</v>
      </c>
      <c r="E283" s="16" t="str">
        <f>'[4]BP-Men'!D108</f>
        <v>RUS</v>
      </c>
      <c r="F283" s="18" t="str">
        <f>'[4]BP-Men'!E108</f>
        <v>23.08.2014</v>
      </c>
      <c r="G283" s="16" t="str">
        <f>'[4]BP-Men'!F108</f>
        <v>Moscow</v>
      </c>
    </row>
    <row r="284" spans="1:7" x14ac:dyDescent="0.25">
      <c r="A284" s="1">
        <f>'[4]BP-Men'!A109</f>
        <v>125</v>
      </c>
      <c r="B284">
        <f>'[4]BP-Men'!B109</f>
        <v>227.5</v>
      </c>
      <c r="C284" t="str">
        <f>'[4]BP-Men'!C109</f>
        <v>Stryga Olexandr/67</v>
      </c>
      <c r="D284" t="str">
        <f t="shared" si="15"/>
        <v>67</v>
      </c>
      <c r="E284" t="str">
        <f>'[4]BP-Men'!D109</f>
        <v>UKR</v>
      </c>
      <c r="F284" s="8">
        <f>'[4]BP-Men'!E109</f>
        <v>41552</v>
      </c>
      <c r="G284" t="str">
        <f>'[4]BP-Men'!F109</f>
        <v>Kryvyi Rig</v>
      </c>
    </row>
    <row r="285" spans="1:7" x14ac:dyDescent="0.25">
      <c r="A285" s="1">
        <f>'[4]BP-Men'!A110</f>
        <v>140</v>
      </c>
      <c r="B285">
        <f>'[4]BP-Men'!B110</f>
        <v>205</v>
      </c>
      <c r="C285" t="str">
        <f>'[4]BP-Men'!C110</f>
        <v>Khutorov Igor/63</v>
      </c>
      <c r="D285" t="str">
        <f t="shared" si="15"/>
        <v>63</v>
      </c>
      <c r="E285" t="str">
        <f>'[4]BP-Men'!D110</f>
        <v>RUS</v>
      </c>
      <c r="F285" s="8">
        <f>'[4]BP-Men'!E110</f>
        <v>41201</v>
      </c>
      <c r="G285" t="str">
        <f>'[4]BP-Men'!F110</f>
        <v>Krasnodar</v>
      </c>
    </row>
    <row r="286" spans="1:7" x14ac:dyDescent="0.25">
      <c r="A286" s="1" t="str">
        <f>'[4]BP-Men'!A111</f>
        <v>140+</v>
      </c>
      <c r="B286">
        <f>'[4]BP-Men'!B111</f>
        <v>200</v>
      </c>
      <c r="C286" t="str">
        <f>'[4]BP-Men'!C111</f>
        <v>Nasteka Igor/64</v>
      </c>
      <c r="D286" t="str">
        <f t="shared" si="15"/>
        <v>64</v>
      </c>
      <c r="E286" t="str">
        <f>'[4]BP-Men'!D111</f>
        <v>RUS</v>
      </c>
      <c r="F286" s="8">
        <f>'[4]BP-Men'!E111</f>
        <v>40814</v>
      </c>
      <c r="G286" t="str">
        <f>'[4]BP-Men'!F111</f>
        <v>Yekaterinbourg</v>
      </c>
    </row>
    <row r="287" spans="1:7" x14ac:dyDescent="0.25">
      <c r="B287">
        <f>'[4]BP-Men'!B112</f>
        <v>0</v>
      </c>
      <c r="C287">
        <f>'[4]BP-Men'!C112</f>
        <v>0</v>
      </c>
      <c r="D287" t="str">
        <f t="shared" si="14"/>
        <v>0</v>
      </c>
      <c r="E287">
        <f>'[4]BP-Men'!D112</f>
        <v>0</v>
      </c>
      <c r="F287" s="8">
        <f>'[4]BP-Men'!E112</f>
        <v>0</v>
      </c>
      <c r="G287">
        <f>'[4]BP-Men'!F112</f>
        <v>0</v>
      </c>
    </row>
    <row r="288" spans="1:7" s="11" customFormat="1" x14ac:dyDescent="0.25">
      <c r="A288" s="22" t="s">
        <v>0</v>
      </c>
      <c r="B288" s="11">
        <v>1</v>
      </c>
      <c r="C288" s="11">
        <v>50</v>
      </c>
      <c r="D288" s="11" t="str">
        <f>'[4]BP-Men'!B113</f>
        <v>Men's M3  (50 - 54)</v>
      </c>
      <c r="F288" s="12"/>
    </row>
    <row r="289" spans="1:7" x14ac:dyDescent="0.25">
      <c r="A289" s="1">
        <f>'[4]BP-Men'!A114</f>
        <v>52</v>
      </c>
      <c r="B289">
        <f>'[4]BP-Men'!B114</f>
        <v>0</v>
      </c>
      <c r="C289">
        <f>'[4]BP-Men'!C114</f>
        <v>0</v>
      </c>
      <c r="D289" t="str">
        <f t="shared" si="14"/>
        <v>0</v>
      </c>
      <c r="E289">
        <f>'[4]BP-Men'!D114</f>
        <v>0</v>
      </c>
      <c r="F289" s="8">
        <f>'[4]BP-Men'!E114</f>
        <v>0</v>
      </c>
      <c r="G289">
        <f>'[4]BP-Men'!F114</f>
        <v>0</v>
      </c>
    </row>
    <row r="290" spans="1:7" s="16" customFormat="1" x14ac:dyDescent="0.25">
      <c r="A290" s="28">
        <f>'[4]BP-Men'!A115</f>
        <v>56</v>
      </c>
      <c r="B290" s="16">
        <f>'[4]BP-Men'!B115</f>
        <v>102.5</v>
      </c>
      <c r="C290" s="16" t="str">
        <f>'[4]BP-Men'!C115</f>
        <v>Yershov Viktor/60</v>
      </c>
      <c r="D290" s="16" t="str">
        <f t="shared" ref="D290:D300" si="16">RIGHT(C290,2)</f>
        <v>60</v>
      </c>
      <c r="E290" s="16" t="str">
        <f>'[4]BP-Men'!D115</f>
        <v>RUS</v>
      </c>
      <c r="F290" s="18">
        <f>'[4]BP-Men'!E115</f>
        <v>41586</v>
      </c>
      <c r="G290" s="16" t="str">
        <f>'[4]BP-Men'!F115</f>
        <v>Vologda</v>
      </c>
    </row>
    <row r="291" spans="1:7" s="16" customFormat="1" x14ac:dyDescent="0.25">
      <c r="A291" s="28">
        <f>'[4]BP-Men'!A116</f>
        <v>60</v>
      </c>
      <c r="B291" s="16">
        <f>'[4]BP-Men'!B116</f>
        <v>100</v>
      </c>
      <c r="C291" s="16" t="str">
        <f>'[4]BP-Men'!C116</f>
        <v>Dvoynikov Oleg/60</v>
      </c>
      <c r="D291" s="16" t="str">
        <f t="shared" si="16"/>
        <v>60</v>
      </c>
      <c r="E291" s="16" t="str">
        <f>'[4]BP-Men'!D116</f>
        <v>RUS</v>
      </c>
      <c r="F291" s="18">
        <f>'[4]BP-Men'!E116</f>
        <v>41720</v>
      </c>
      <c r="G291" s="16" t="str">
        <f>'[4]BP-Men'!F116</f>
        <v>Vologda</v>
      </c>
    </row>
    <row r="292" spans="1:7" s="16" customFormat="1" x14ac:dyDescent="0.25">
      <c r="A292" s="28" t="str">
        <f>'[4]BP-Men'!A117</f>
        <v>67.5</v>
      </c>
      <c r="B292" s="16">
        <f>'[4]BP-Men'!B117</f>
        <v>117.5</v>
      </c>
      <c r="C292" s="16" t="str">
        <f>'[4]BP-Men'!C117</f>
        <v>Kim Sergei/57</v>
      </c>
      <c r="D292" s="16" t="str">
        <f t="shared" si="16"/>
        <v>57</v>
      </c>
      <c r="E292" s="16" t="str">
        <f>'[4]BP-Men'!D117</f>
        <v>RUS</v>
      </c>
      <c r="F292" s="18">
        <f>'[4]BP-Men'!E117</f>
        <v>40088</v>
      </c>
      <c r="G292" s="16" t="str">
        <f>'[4]BP-Men'!F117</f>
        <v>Rostov</v>
      </c>
    </row>
    <row r="293" spans="1:7" s="16" customFormat="1" x14ac:dyDescent="0.25">
      <c r="A293" s="28">
        <f>'[4]BP-Men'!A118</f>
        <v>75</v>
      </c>
      <c r="B293" s="16">
        <f>'[4]BP-Men'!B118</f>
        <v>151</v>
      </c>
      <c r="C293" s="16" t="str">
        <f>'[4]BP-Men'!C118</f>
        <v>Tatarkin Alexander/55</v>
      </c>
      <c r="D293" s="16" t="str">
        <f t="shared" si="16"/>
        <v>55</v>
      </c>
      <c r="E293" s="16" t="str">
        <f>'[4]BP-Men'!D118</f>
        <v>RUS</v>
      </c>
      <c r="F293" s="18">
        <f>'[4]BP-Men'!E118</f>
        <v>40088</v>
      </c>
      <c r="G293" s="16" t="str">
        <f>'[4]BP-Men'!F118</f>
        <v>Rostov</v>
      </c>
    </row>
    <row r="294" spans="1:7" x14ac:dyDescent="0.25">
      <c r="A294" s="1" t="str">
        <f>'[4]BP-Men'!A119</f>
        <v>82.5</v>
      </c>
      <c r="B294">
        <f>'[4]BP-Men'!B119</f>
        <v>182.5</v>
      </c>
      <c r="C294" t="str">
        <f>'[4]BP-Men'!C119</f>
        <v>Reshetnikov Vladimir/60</v>
      </c>
      <c r="D294" t="str">
        <f t="shared" si="16"/>
        <v>60</v>
      </c>
      <c r="E294" t="str">
        <f>'[4]BP-Men'!D119</f>
        <v>RUS</v>
      </c>
      <c r="F294" s="8">
        <f>'[4]BP-Men'!E119</f>
        <v>40409</v>
      </c>
      <c r="G294" t="str">
        <f>'[4]BP-Men'!F119</f>
        <v>Moscow</v>
      </c>
    </row>
    <row r="295" spans="1:7" x14ac:dyDescent="0.25">
      <c r="A295" s="1">
        <f>'[4]BP-Men'!A120</f>
        <v>90</v>
      </c>
      <c r="B295">
        <f>'[4]BP-Men'!B120</f>
        <v>172.5</v>
      </c>
      <c r="C295" t="str">
        <f>'[4]BP-Men'!C120</f>
        <v>Skvortsov Leonid/62</v>
      </c>
      <c r="D295" t="str">
        <f t="shared" si="16"/>
        <v>62</v>
      </c>
      <c r="E295" t="str">
        <f>'[4]BP-Men'!D120</f>
        <v>RUS</v>
      </c>
      <c r="F295" s="8" t="str">
        <f>'[4]BP-Men'!E120</f>
        <v>23.08.2014</v>
      </c>
      <c r="G295" t="str">
        <f>'[4]BP-Men'!F120</f>
        <v>Moscow</v>
      </c>
    </row>
    <row r="296" spans="1:7" x14ac:dyDescent="0.25">
      <c r="A296" s="1">
        <f>'[4]BP-Men'!A121</f>
        <v>100</v>
      </c>
      <c r="B296">
        <f>'[4]BP-Men'!B121</f>
        <v>200</v>
      </c>
      <c r="C296" t="str">
        <f>'[4]BP-Men'!C121</f>
        <v>Lebedev Igor/62</v>
      </c>
      <c r="D296" t="str">
        <f t="shared" si="16"/>
        <v>62</v>
      </c>
      <c r="E296" t="str">
        <f>'[4]BP-Men'!D121</f>
        <v>RUS</v>
      </c>
      <c r="F296" s="8">
        <f>'[4]BP-Men'!E121</f>
        <v>41619</v>
      </c>
      <c r="G296" t="str">
        <f>'[4]BP-Men'!F121</f>
        <v>Kursk</v>
      </c>
    </row>
    <row r="297" spans="1:7" x14ac:dyDescent="0.25">
      <c r="A297" s="1">
        <f>'[4]BP-Men'!A122</f>
        <v>110</v>
      </c>
      <c r="B297">
        <f>'[4]BP-Men'!B122</f>
        <v>210</v>
      </c>
      <c r="C297" t="str">
        <f>'[4]BP-Men'!C122</f>
        <v>Lebedev Igor/62</v>
      </c>
      <c r="D297" t="str">
        <f t="shared" si="16"/>
        <v>62</v>
      </c>
      <c r="E297" t="str">
        <f>'[4]BP-Men'!D122</f>
        <v>RUS</v>
      </c>
      <c r="F297" s="8" t="str">
        <f>'[4]BP-Men'!E122</f>
        <v>23.08.2014</v>
      </c>
      <c r="G297" t="str">
        <f>'[4]BP-Men'!F122</f>
        <v>Moscow</v>
      </c>
    </row>
    <row r="298" spans="1:7" x14ac:dyDescent="0.25">
      <c r="A298" s="1">
        <f>'[4]BP-Men'!A123</f>
        <v>125</v>
      </c>
      <c r="B298">
        <f>'[4]BP-Men'!B123</f>
        <v>192.5</v>
      </c>
      <c r="C298" t="str">
        <f>'[4]BP-Men'!C123</f>
        <v>Ziganshin Igor'/60</v>
      </c>
      <c r="D298" t="str">
        <f t="shared" si="16"/>
        <v>60</v>
      </c>
      <c r="E298" t="str">
        <f>'[4]BP-Men'!D123</f>
        <v>RUS</v>
      </c>
      <c r="F298" s="8">
        <f>'[4]BP-Men'!E123</f>
        <v>40769</v>
      </c>
      <c r="G298" t="str">
        <f>'[4]BP-Men'!F123</f>
        <v>Kursk</v>
      </c>
    </row>
    <row r="299" spans="1:7" x14ac:dyDescent="0.25">
      <c r="A299" s="1">
        <f>'[4]BP-Men'!A124</f>
        <v>140</v>
      </c>
      <c r="B299">
        <f>'[4]BP-Men'!B124</f>
        <v>207.5</v>
      </c>
      <c r="C299" t="str">
        <f>'[4]BP-Men'!C124</f>
        <v>Nevzorov Mykhaylo/61</v>
      </c>
      <c r="D299" t="str">
        <f t="shared" si="16"/>
        <v>61</v>
      </c>
      <c r="E299" t="str">
        <f>'[4]BP-Men'!D124</f>
        <v>UKR</v>
      </c>
      <c r="F299" s="8">
        <f>'[4]BP-Men'!E124</f>
        <v>41129</v>
      </c>
      <c r="G299" t="str">
        <f>'[4]BP-Men'!F124</f>
        <v>Kryvyi Rig</v>
      </c>
    </row>
    <row r="300" spans="1:7" x14ac:dyDescent="0.25">
      <c r="A300" s="1" t="str">
        <f>'[4]BP-Men'!A125</f>
        <v>140+</v>
      </c>
      <c r="B300">
        <f>'[4]BP-Men'!B125</f>
        <v>185</v>
      </c>
      <c r="C300" t="str">
        <f>'[4]BP-Men'!C125</f>
        <v>Nasteka Igor/64</v>
      </c>
      <c r="D300" t="str">
        <f t="shared" si="16"/>
        <v>64</v>
      </c>
      <c r="E300" t="str">
        <f>'[4]BP-Men'!D125</f>
        <v>RUS</v>
      </c>
      <c r="F300" s="8" t="str">
        <f>'[4]BP-Men'!E125</f>
        <v>23.08.2014</v>
      </c>
      <c r="G300" t="str">
        <f>'[4]BP-Men'!F125</f>
        <v>Moscow</v>
      </c>
    </row>
    <row r="302" spans="1:7" s="11" customFormat="1" x14ac:dyDescent="0.25">
      <c r="A302" s="22" t="s">
        <v>0</v>
      </c>
      <c r="B302" s="11">
        <v>1</v>
      </c>
      <c r="C302" s="11">
        <v>55</v>
      </c>
      <c r="D302" s="11" t="str">
        <f>'[4]BP-Men'!B126</f>
        <v>Men's M4  (55 - 59)</v>
      </c>
      <c r="F302" s="12"/>
    </row>
    <row r="303" spans="1:7" x14ac:dyDescent="0.25">
      <c r="A303" s="1">
        <f>'[4]BP-Men'!A127</f>
        <v>52</v>
      </c>
      <c r="B303">
        <f>'[4]BP-Men'!B127</f>
        <v>67.5</v>
      </c>
      <c r="C303" t="str">
        <f>'[4]BP-Men'!C127</f>
        <v>Grachev Nikolai/56</v>
      </c>
      <c r="D303" t="str">
        <f t="shared" si="14"/>
        <v>56</v>
      </c>
      <c r="E303" t="str">
        <f>'[4]BP-Men'!D127</f>
        <v>RUS</v>
      </c>
      <c r="F303" s="8">
        <f>'[4]BP-Men'!E127</f>
        <v>41201</v>
      </c>
      <c r="G303" t="str">
        <f>'[4]BP-Men'!F127</f>
        <v>Krasnodar</v>
      </c>
    </row>
    <row r="304" spans="1:7" x14ac:dyDescent="0.25">
      <c r="A304" s="1">
        <f>'[4]BP-Men'!A128</f>
        <v>56</v>
      </c>
      <c r="B304">
        <f>'[4]BP-Men'!B128</f>
        <v>0</v>
      </c>
      <c r="C304">
        <f>'[4]BP-Men'!C128</f>
        <v>0</v>
      </c>
      <c r="D304" t="str">
        <f t="shared" si="14"/>
        <v>0</v>
      </c>
      <c r="E304">
        <f>'[4]BP-Men'!D128</f>
        <v>0</v>
      </c>
      <c r="F304" s="8">
        <f>'[4]BP-Men'!E128</f>
        <v>0</v>
      </c>
      <c r="G304">
        <f>'[4]BP-Men'!F128</f>
        <v>0</v>
      </c>
    </row>
    <row r="305" spans="1:7" s="16" customFormat="1" x14ac:dyDescent="0.25">
      <c r="A305" s="28">
        <f>'[4]BP-Men'!A129</f>
        <v>60</v>
      </c>
      <c r="B305" s="16">
        <f>'[4]BP-Men'!B129</f>
        <v>0</v>
      </c>
      <c r="C305" s="16">
        <f>'[4]BP-Men'!C129</f>
        <v>0</v>
      </c>
      <c r="D305" s="16" t="str">
        <f t="shared" si="14"/>
        <v>0</v>
      </c>
      <c r="E305" s="16">
        <f>'[4]BP-Men'!D129</f>
        <v>0</v>
      </c>
      <c r="F305" s="18">
        <f>'[4]BP-Men'!E129</f>
        <v>0</v>
      </c>
      <c r="G305" s="16">
        <f>'[4]BP-Men'!F129</f>
        <v>0</v>
      </c>
    </row>
    <row r="306" spans="1:7" s="16" customFormat="1" x14ac:dyDescent="0.25">
      <c r="A306" s="28">
        <f>'[4]BP-Men'!A130</f>
        <v>67.5</v>
      </c>
      <c r="B306" s="16">
        <f>'[4]BP-Men'!B130</f>
        <v>92.5</v>
      </c>
      <c r="C306" s="16" t="str">
        <f>'[4]BP-Men'!C130</f>
        <v>Bochkovskyy Anatoliy/54</v>
      </c>
      <c r="D306" s="16" t="str">
        <f t="shared" si="14"/>
        <v>54</v>
      </c>
      <c r="E306" s="16" t="str">
        <f>'[4]BP-Men'!D130</f>
        <v>UKR</v>
      </c>
      <c r="F306" s="18">
        <f>'[4]BP-Men'!E130</f>
        <v>41552</v>
      </c>
      <c r="G306" s="16" t="str">
        <f>'[4]BP-Men'!F130</f>
        <v>Kryvyi Rig</v>
      </c>
    </row>
    <row r="307" spans="1:7" x14ac:dyDescent="0.25">
      <c r="A307" s="1">
        <f>'[4]BP-Men'!A131</f>
        <v>75</v>
      </c>
      <c r="B307">
        <f>'[4]BP-Men'!B131</f>
        <v>142.5</v>
      </c>
      <c r="C307" t="str">
        <f>'[4]BP-Men'!C131</f>
        <v>Tatarkin Alexandr/55</v>
      </c>
      <c r="D307" t="str">
        <f t="shared" si="14"/>
        <v>55</v>
      </c>
      <c r="E307" t="str">
        <f>'[4]BP-Men'!D131</f>
        <v>RUS</v>
      </c>
      <c r="F307" s="8">
        <f>'[4]BP-Men'!E131</f>
        <v>40522</v>
      </c>
      <c r="G307" t="str">
        <f>'[4]BP-Men'!F131</f>
        <v>Kursk</v>
      </c>
    </row>
    <row r="308" spans="1:7" x14ac:dyDescent="0.25">
      <c r="A308" s="1" t="str">
        <f>'[4]BP-Men'!A132</f>
        <v>82.5</v>
      </c>
      <c r="B308">
        <f>'[4]BP-Men'!B132</f>
        <v>152.5</v>
      </c>
      <c r="C308" t="str">
        <f>'[4]BP-Men'!C132</f>
        <v>Kovalev Igor/57</v>
      </c>
      <c r="D308" t="str">
        <f t="shared" si="14"/>
        <v>57</v>
      </c>
      <c r="E308" t="str">
        <f>'[4]BP-Men'!D132</f>
        <v>RUS</v>
      </c>
      <c r="F308" s="8">
        <f>'[4]BP-Men'!E132</f>
        <v>41439</v>
      </c>
      <c r="G308" t="str">
        <f>'[4]BP-Men'!F132</f>
        <v>Moscow</v>
      </c>
    </row>
    <row r="309" spans="1:7" x14ac:dyDescent="0.25">
      <c r="A309" s="1">
        <f>'[4]BP-Men'!A133</f>
        <v>90</v>
      </c>
      <c r="B309">
        <f>'[4]BP-Men'!B133</f>
        <v>155</v>
      </c>
      <c r="C309" t="str">
        <f>'[4]BP-Men'!C133</f>
        <v>Zverev Nikolai/56</v>
      </c>
      <c r="D309" t="str">
        <f t="shared" si="14"/>
        <v>56</v>
      </c>
      <c r="E309" t="str">
        <f>'[4]BP-Men'!D133</f>
        <v>RUS</v>
      </c>
      <c r="F309" s="8">
        <f>'[4]BP-Men'!E133</f>
        <v>40814</v>
      </c>
      <c r="G309" t="str">
        <f>'[4]BP-Men'!F133</f>
        <v>Yekaterinburg</v>
      </c>
    </row>
    <row r="310" spans="1:7" x14ac:dyDescent="0.25">
      <c r="A310" s="1">
        <f>'[4]BP-Men'!A134</f>
        <v>100</v>
      </c>
      <c r="B310">
        <f>'[4]BP-Men'!B134</f>
        <v>172.5</v>
      </c>
      <c r="C310" t="str">
        <f>'[4]BP-Men'!C134</f>
        <v>Kuzeyev Damir/52</v>
      </c>
      <c r="D310" t="str">
        <f t="shared" si="14"/>
        <v>52</v>
      </c>
      <c r="E310" t="str">
        <f>'[4]BP-Men'!D134</f>
        <v>RUS</v>
      </c>
      <c r="F310" s="8">
        <f>'[4]BP-Men'!E134</f>
        <v>40088</v>
      </c>
      <c r="G310" t="str">
        <f>'[4]BP-Men'!F134</f>
        <v>Rostov</v>
      </c>
    </row>
    <row r="311" spans="1:7" x14ac:dyDescent="0.25">
      <c r="A311" s="1">
        <f>'[4]BP-Men'!A135</f>
        <v>110</v>
      </c>
      <c r="B311">
        <f>'[4]BP-Men'!B135</f>
        <v>180</v>
      </c>
      <c r="C311" t="str">
        <f>'[4]BP-Men'!C135</f>
        <v>Egozaryan Grachik/52</v>
      </c>
      <c r="D311" t="str">
        <f t="shared" si="14"/>
        <v>52</v>
      </c>
      <c r="E311" t="str">
        <f>'[4]BP-Men'!D135</f>
        <v>RUS</v>
      </c>
      <c r="F311" s="8">
        <f>'[4]BP-Men'!E135</f>
        <v>40088</v>
      </c>
      <c r="G311" t="str">
        <f>'[4]BP-Men'!F135</f>
        <v>Rostov</v>
      </c>
    </row>
    <row r="312" spans="1:7" x14ac:dyDescent="0.25">
      <c r="A312" s="1">
        <f>'[4]BP-Men'!A136</f>
        <v>125</v>
      </c>
      <c r="B312">
        <f>'[4]BP-Men'!B136</f>
        <v>150</v>
      </c>
      <c r="C312" t="str">
        <f>'[4]BP-Men'!C136</f>
        <v>Kurochkin Dmytro/55</v>
      </c>
      <c r="D312" t="str">
        <f t="shared" si="14"/>
        <v>55</v>
      </c>
      <c r="E312" t="str">
        <f>'[4]BP-Men'!D136</f>
        <v>UKR</v>
      </c>
      <c r="F312" s="8">
        <f>'[4]BP-Men'!E136</f>
        <v>40628</v>
      </c>
      <c r="G312" t="str">
        <f>'[4]BP-Men'!F136</f>
        <v>Kryvyi Rig</v>
      </c>
    </row>
    <row r="313" spans="1:7" x14ac:dyDescent="0.25">
      <c r="A313" s="1">
        <f>'[4]BP-Men'!A137</f>
        <v>140</v>
      </c>
      <c r="B313">
        <f>'[4]BP-Men'!B137</f>
        <v>0</v>
      </c>
      <c r="C313">
        <f>'[4]BP-Men'!C137</f>
        <v>0</v>
      </c>
      <c r="D313" t="str">
        <f t="shared" si="14"/>
        <v>0</v>
      </c>
      <c r="E313">
        <f>'[4]BP-Men'!D137</f>
        <v>0</v>
      </c>
      <c r="F313" s="8">
        <f>'[4]BP-Men'!E137</f>
        <v>0</v>
      </c>
      <c r="G313">
        <f>'[4]BP-Men'!F137</f>
        <v>0</v>
      </c>
    </row>
    <row r="314" spans="1:7" x14ac:dyDescent="0.25">
      <c r="A314" s="1" t="str">
        <f>'[4]BP-Men'!A138</f>
        <v>140+</v>
      </c>
      <c r="B314">
        <f>'[4]BP-Men'!B138</f>
        <v>0</v>
      </c>
      <c r="C314">
        <f>'[4]BP-Men'!C138</f>
        <v>0</v>
      </c>
      <c r="D314" t="str">
        <f t="shared" si="14"/>
        <v>0</v>
      </c>
      <c r="E314">
        <f>'[4]BP-Men'!D138</f>
        <v>0</v>
      </c>
      <c r="F314" s="8">
        <f>'[4]BP-Men'!E138</f>
        <v>0</v>
      </c>
      <c r="G314">
        <f>'[4]BP-Men'!F138</f>
        <v>0</v>
      </c>
    </row>
    <row r="315" spans="1:7" x14ac:dyDescent="0.25">
      <c r="B315">
        <f>'[4]BP-Men'!B139</f>
        <v>0</v>
      </c>
      <c r="C315">
        <f>'[4]BP-Men'!C139</f>
        <v>0</v>
      </c>
      <c r="D315" t="str">
        <f t="shared" si="14"/>
        <v>0</v>
      </c>
      <c r="E315">
        <f>'[4]BP-Men'!D139</f>
        <v>0</v>
      </c>
      <c r="F315" s="8">
        <f>'[4]BP-Men'!E139</f>
        <v>0</v>
      </c>
      <c r="G315">
        <f>'[4]BP-Men'!F139</f>
        <v>0</v>
      </c>
    </row>
    <row r="316" spans="1:7" s="11" customFormat="1" x14ac:dyDescent="0.25">
      <c r="A316" s="22" t="s">
        <v>0</v>
      </c>
      <c r="B316" s="11">
        <v>1</v>
      </c>
      <c r="C316" s="11">
        <v>60</v>
      </c>
      <c r="D316" s="11" t="str">
        <f>'[4]BP-Men'!B140</f>
        <v>Men's M5  (60 - 64)</v>
      </c>
      <c r="F316" s="12"/>
    </row>
    <row r="317" spans="1:7" x14ac:dyDescent="0.25">
      <c r="A317" s="1">
        <f>'[4]BP-Men'!A141</f>
        <v>52</v>
      </c>
      <c r="B317">
        <f>'[4]BP-Men'!B141</f>
        <v>0</v>
      </c>
      <c r="C317">
        <f>'[4]BP-Men'!C141</f>
        <v>0</v>
      </c>
      <c r="D317" t="str">
        <f t="shared" si="14"/>
        <v>0</v>
      </c>
      <c r="E317">
        <f>'[4]BP-Men'!D141</f>
        <v>0</v>
      </c>
      <c r="F317" s="8">
        <f>'[4]BP-Men'!E141</f>
        <v>0</v>
      </c>
      <c r="G317">
        <f>'[4]BP-Men'!F141</f>
        <v>0</v>
      </c>
    </row>
    <row r="318" spans="1:7" x14ac:dyDescent="0.25">
      <c r="A318" s="1">
        <f>'[4]BP-Men'!A142</f>
        <v>56</v>
      </c>
      <c r="B318">
        <f>'[4]BP-Men'!B142</f>
        <v>0</v>
      </c>
      <c r="C318">
        <f>'[4]BP-Men'!C142</f>
        <v>0</v>
      </c>
      <c r="D318" t="str">
        <f t="shared" si="14"/>
        <v>0</v>
      </c>
      <c r="E318">
        <f>'[4]BP-Men'!D142</f>
        <v>0</v>
      </c>
      <c r="F318" s="8">
        <f>'[4]BP-Men'!E142</f>
        <v>0</v>
      </c>
      <c r="G318">
        <f>'[4]BP-Men'!F142</f>
        <v>0</v>
      </c>
    </row>
    <row r="319" spans="1:7" s="16" customFormat="1" x14ac:dyDescent="0.25">
      <c r="A319" s="28">
        <f>'[4]BP-Men'!A143</f>
        <v>60</v>
      </c>
      <c r="B319" s="16">
        <f>'[4]BP-Men'!B143</f>
        <v>0</v>
      </c>
      <c r="C319" s="16">
        <f>'[4]BP-Men'!C143</f>
        <v>0</v>
      </c>
      <c r="D319" s="16" t="str">
        <f t="shared" si="14"/>
        <v>0</v>
      </c>
      <c r="E319" s="16">
        <f>'[4]BP-Men'!D143</f>
        <v>0</v>
      </c>
      <c r="F319" s="18">
        <f>'[4]BP-Men'!E143</f>
        <v>0</v>
      </c>
      <c r="G319" s="16">
        <f>'[4]BP-Men'!F143</f>
        <v>0</v>
      </c>
    </row>
    <row r="320" spans="1:7" s="16" customFormat="1" x14ac:dyDescent="0.25">
      <c r="A320" s="28">
        <f>'[4]BP-Men'!A144</f>
        <v>67.5</v>
      </c>
      <c r="B320" s="16">
        <f>'[4]BP-Men'!B144</f>
        <v>100</v>
      </c>
      <c r="C320" s="16" t="str">
        <f>'[4]BP-Men'!C144</f>
        <v>Baev Valeriy/51</v>
      </c>
      <c r="D320" s="16" t="str">
        <f t="shared" si="14"/>
        <v>51</v>
      </c>
      <c r="E320" s="16" t="str">
        <f>'[4]BP-Men'!D144</f>
        <v>RUS</v>
      </c>
      <c r="F320" s="18">
        <f>'[4]BP-Men'!E144</f>
        <v>41501</v>
      </c>
      <c r="G320" s="16" t="str">
        <f>'[4]BP-Men'!F144</f>
        <v>Novosibirsk</v>
      </c>
    </row>
    <row r="321" spans="1:7" x14ac:dyDescent="0.25">
      <c r="A321" s="1">
        <f>'[4]BP-Men'!A145</f>
        <v>75</v>
      </c>
      <c r="B321">
        <f>'[4]BP-Men'!B145</f>
        <v>120</v>
      </c>
      <c r="C321" t="str">
        <f>'[4]BP-Men'!C145</f>
        <v>Kravtsov Petro/46</v>
      </c>
      <c r="D321" t="str">
        <f t="shared" si="14"/>
        <v>46</v>
      </c>
      <c r="E321" t="str">
        <f>'[4]BP-Men'!D145</f>
        <v>UKR</v>
      </c>
      <c r="F321" s="8">
        <f>'[4]BP-Men'!E145</f>
        <v>39983</v>
      </c>
      <c r="G321" t="str">
        <f>'[4]BP-Men'!F145</f>
        <v>Ternopil'</v>
      </c>
    </row>
    <row r="322" spans="1:7" x14ac:dyDescent="0.25">
      <c r="A322" s="1">
        <f>'[4]BP-Men'!A146</f>
        <v>82.5</v>
      </c>
      <c r="B322">
        <f>'[4]BP-Men'!B146</f>
        <v>140</v>
      </c>
      <c r="C322" t="str">
        <f>'[4]BP-Men'!C146</f>
        <v>Tsoriyev Eldar/46</v>
      </c>
      <c r="D322" t="str">
        <f t="shared" si="14"/>
        <v>46</v>
      </c>
      <c r="E322" t="str">
        <f>'[4]BP-Men'!D146</f>
        <v>RUS</v>
      </c>
      <c r="F322" s="8">
        <f>'[4]BP-Men'!E146</f>
        <v>40088</v>
      </c>
      <c r="G322" t="str">
        <f>'[4]BP-Men'!F146</f>
        <v>Rostov</v>
      </c>
    </row>
    <row r="323" spans="1:7" x14ac:dyDescent="0.25">
      <c r="A323" s="1">
        <f>'[4]BP-Men'!A147</f>
        <v>90</v>
      </c>
      <c r="B323">
        <f>'[4]BP-Men'!B147</f>
        <v>160</v>
      </c>
      <c r="C323" t="str">
        <f>'[4]BP-Men'!C147</f>
        <v>Stanchak Vyacheslav/52</v>
      </c>
      <c r="D323" t="str">
        <f t="shared" si="14"/>
        <v>52</v>
      </c>
      <c r="E323" t="str">
        <f>'[4]BP-Men'!D147</f>
        <v>RUS</v>
      </c>
      <c r="F323" s="8" t="str">
        <f>'[4]BP-Men'!E147</f>
        <v>23.08.2014</v>
      </c>
      <c r="G323" t="str">
        <f>'[4]BP-Men'!F147</f>
        <v>Moscow</v>
      </c>
    </row>
    <row r="324" spans="1:7" x14ac:dyDescent="0.25">
      <c r="A324" s="1">
        <f>'[4]BP-Men'!A148</f>
        <v>100</v>
      </c>
      <c r="B324">
        <f>'[4]BP-Men'!B148</f>
        <v>150</v>
      </c>
      <c r="C324" t="str">
        <f>'[4]BP-Men'!C148</f>
        <v>Kalinin Grigory/50</v>
      </c>
      <c r="D324" t="str">
        <f t="shared" si="14"/>
        <v>50</v>
      </c>
      <c r="E324" t="str">
        <f>'[4]BP-Men'!D148</f>
        <v>RUS</v>
      </c>
      <c r="F324" s="8">
        <f>'[4]BP-Men'!E148</f>
        <v>41137</v>
      </c>
      <c r="G324" t="str">
        <f>'[4]BP-Men'!F148</f>
        <v>Novosibirsk</v>
      </c>
    </row>
    <row r="325" spans="1:7" x14ac:dyDescent="0.25">
      <c r="A325" s="1">
        <f>'[4]BP-Men'!A149</f>
        <v>110</v>
      </c>
      <c r="B325">
        <f>'[4]BP-Men'!B149</f>
        <v>160</v>
      </c>
      <c r="C325" t="str">
        <f>'[4]BP-Men'!C149</f>
        <v>Pauyesov Anatoliy/53</v>
      </c>
      <c r="D325" t="str">
        <f t="shared" si="14"/>
        <v>53</v>
      </c>
      <c r="E325" t="str">
        <f>'[4]BP-Men'!D149</f>
        <v>RUS</v>
      </c>
      <c r="F325" s="8" t="str">
        <f>'[4]BP-Men'!E149</f>
        <v>23.08.2014</v>
      </c>
      <c r="G325" t="str">
        <f>'[4]BP-Men'!F149</f>
        <v>Moscow</v>
      </c>
    </row>
    <row r="326" spans="1:7" x14ac:dyDescent="0.25">
      <c r="A326" s="1">
        <f>'[4]BP-Men'!A150</f>
        <v>125</v>
      </c>
      <c r="B326">
        <f>'[4]BP-Men'!B150</f>
        <v>180</v>
      </c>
      <c r="C326" t="str">
        <f>'[4]BP-Men'!C150</f>
        <v>Egozaryan Grachik/52</v>
      </c>
      <c r="D326" t="str">
        <f t="shared" ref="D326:D389" si="17">RIGHT(C326,2)</f>
        <v>52</v>
      </c>
      <c r="E326" t="str">
        <f>'[4]BP-Men'!D150</f>
        <v>RUS</v>
      </c>
      <c r="F326" s="8" t="str">
        <f>'[4]BP-Men'!E150</f>
        <v>23.08.2014</v>
      </c>
      <c r="G326" t="str">
        <f>'[4]BP-Men'!F150</f>
        <v>Moscow</v>
      </c>
    </row>
    <row r="327" spans="1:7" x14ac:dyDescent="0.25">
      <c r="A327" s="1">
        <f>'[4]BP-Men'!A151</f>
        <v>140</v>
      </c>
      <c r="B327">
        <f>'[4]BP-Men'!B151</f>
        <v>0</v>
      </c>
      <c r="C327">
        <f>'[4]BP-Men'!C151</f>
        <v>0</v>
      </c>
      <c r="D327" t="str">
        <f t="shared" si="17"/>
        <v>0</v>
      </c>
      <c r="E327">
        <f>'[4]BP-Men'!D151</f>
        <v>0</v>
      </c>
      <c r="F327" s="8">
        <f>'[4]BP-Men'!E151</f>
        <v>0</v>
      </c>
      <c r="G327">
        <f>'[4]BP-Men'!F151</f>
        <v>0</v>
      </c>
    </row>
    <row r="328" spans="1:7" x14ac:dyDescent="0.25">
      <c r="A328" s="1" t="str">
        <f>'[4]BP-Men'!A152</f>
        <v>140+</v>
      </c>
      <c r="B328">
        <f>'[4]BP-Men'!B152</f>
        <v>0</v>
      </c>
      <c r="C328">
        <f>'[4]BP-Men'!C152</f>
        <v>0</v>
      </c>
      <c r="D328" t="str">
        <f t="shared" si="17"/>
        <v>0</v>
      </c>
      <c r="E328">
        <f>'[4]BP-Men'!D152</f>
        <v>0</v>
      </c>
      <c r="F328" s="8">
        <f>'[4]BP-Men'!E152</f>
        <v>0</v>
      </c>
      <c r="G328">
        <f>'[4]BP-Men'!F152</f>
        <v>0</v>
      </c>
    </row>
    <row r="329" spans="1:7" x14ac:dyDescent="0.25">
      <c r="B329">
        <f>'[4]BP-Men'!B153</f>
        <v>0</v>
      </c>
      <c r="C329">
        <f>'[4]BP-Men'!C153</f>
        <v>0</v>
      </c>
      <c r="D329" t="str">
        <f t="shared" si="17"/>
        <v>0</v>
      </c>
      <c r="E329">
        <f>'[4]BP-Men'!D153</f>
        <v>0</v>
      </c>
      <c r="F329" s="8">
        <f>'[4]BP-Men'!E153</f>
        <v>0</v>
      </c>
      <c r="G329">
        <f>'[4]BP-Men'!F153</f>
        <v>0</v>
      </c>
    </row>
    <row r="330" spans="1:7" s="11" customFormat="1" x14ac:dyDescent="0.25">
      <c r="A330" s="22" t="s">
        <v>0</v>
      </c>
      <c r="B330" s="11">
        <v>1</v>
      </c>
      <c r="C330" s="11">
        <v>65</v>
      </c>
      <c r="D330" s="11" t="str">
        <f>'[4]BP-Men'!B154</f>
        <v>Men's M6  (65 - 69)</v>
      </c>
      <c r="F330" s="12"/>
    </row>
    <row r="331" spans="1:7" x14ac:dyDescent="0.25">
      <c r="A331" s="1">
        <f>'[4]BP-Men'!A155</f>
        <v>52</v>
      </c>
      <c r="B331">
        <f>'[4]BP-Men'!B155</f>
        <v>0</v>
      </c>
      <c r="C331">
        <f>'[4]BP-Men'!C155</f>
        <v>0</v>
      </c>
      <c r="D331" t="str">
        <f t="shared" si="17"/>
        <v>0</v>
      </c>
      <c r="E331">
        <f>'[4]BP-Men'!D155</f>
        <v>0</v>
      </c>
      <c r="F331" s="8">
        <f>'[4]BP-Men'!E155</f>
        <v>0</v>
      </c>
      <c r="G331">
        <f>'[4]BP-Men'!F155</f>
        <v>0</v>
      </c>
    </row>
    <row r="332" spans="1:7" x14ac:dyDescent="0.25">
      <c r="A332" s="1">
        <f>'[4]BP-Men'!A156</f>
        <v>56</v>
      </c>
      <c r="B332">
        <f>'[4]BP-Men'!B156</f>
        <v>0</v>
      </c>
      <c r="C332">
        <f>'[4]BP-Men'!C156</f>
        <v>0</v>
      </c>
      <c r="D332" t="str">
        <f t="shared" si="17"/>
        <v>0</v>
      </c>
      <c r="E332">
        <f>'[4]BP-Men'!D156</f>
        <v>0</v>
      </c>
      <c r="F332" s="8">
        <f>'[4]BP-Men'!E156</f>
        <v>0</v>
      </c>
      <c r="G332">
        <f>'[4]BP-Men'!F156</f>
        <v>0</v>
      </c>
    </row>
    <row r="333" spans="1:7" s="16" customFormat="1" x14ac:dyDescent="0.25">
      <c r="A333" s="28">
        <f>'[4]BP-Men'!A157</f>
        <v>60</v>
      </c>
      <c r="B333" s="16">
        <f>'[4]BP-Men'!B157</f>
        <v>0</v>
      </c>
      <c r="C333" s="16">
        <f>'[4]BP-Men'!C157</f>
        <v>0</v>
      </c>
      <c r="D333" s="16" t="str">
        <f t="shared" ref="D333" si="18">RIGHT(C333,2)</f>
        <v>0</v>
      </c>
      <c r="E333" s="16">
        <f>'[4]BP-Men'!D157</f>
        <v>0</v>
      </c>
      <c r="F333" s="18">
        <f>'[4]BP-Men'!E157</f>
        <v>0</v>
      </c>
      <c r="G333" s="16">
        <f>'[4]BP-Men'!F157</f>
        <v>0</v>
      </c>
    </row>
    <row r="334" spans="1:7" s="16" customFormat="1" x14ac:dyDescent="0.25">
      <c r="A334" s="28">
        <f>'[4]BP-Men'!A158</f>
        <v>67.5</v>
      </c>
      <c r="B334" s="16">
        <f>'[4]BP-Men'!B158</f>
        <v>67.5</v>
      </c>
      <c r="C334" s="16" t="str">
        <f>'[4]BP-Men'!C158</f>
        <v>Chistyakov Anatoly/40</v>
      </c>
      <c r="D334" s="16" t="str">
        <f t="shared" ref="D334" si="19">RIGHT(C334,2)</f>
        <v>40</v>
      </c>
      <c r="E334" s="16" t="str">
        <f>'[4]BP-Men'!D158</f>
        <v>RUS</v>
      </c>
      <c r="F334" s="18">
        <f>'[4]BP-Men'!E158</f>
        <v>40088</v>
      </c>
      <c r="G334" s="16" t="str">
        <f>'[4]BP-Men'!F158</f>
        <v>Rostov</v>
      </c>
    </row>
    <row r="335" spans="1:7" x14ac:dyDescent="0.25">
      <c r="A335" s="1">
        <f>'[4]BP-Men'!A159</f>
        <v>75</v>
      </c>
      <c r="B335" t="str">
        <f>'[4]BP-Men'!B159</f>
        <v>127.5</v>
      </c>
      <c r="C335" t="str">
        <f>'[4]BP-Men'!C159</f>
        <v>Petukhov Yevgeny/38</v>
      </c>
      <c r="D335" t="str">
        <f t="shared" si="17"/>
        <v>38</v>
      </c>
      <c r="E335" t="str">
        <f>'[4]BP-Men'!D159</f>
        <v>RUS</v>
      </c>
      <c r="F335" s="8">
        <f>'[4]BP-Men'!E159</f>
        <v>39123</v>
      </c>
      <c r="G335" t="str">
        <f>'[4]BP-Men'!F159</f>
        <v>Chelyabinsk</v>
      </c>
    </row>
    <row r="336" spans="1:7" x14ac:dyDescent="0.25">
      <c r="A336" s="1" t="str">
        <f>'[4]BP-Men'!A160</f>
        <v>82.5</v>
      </c>
      <c r="B336">
        <f>'[4]BP-Men'!B160</f>
        <v>136</v>
      </c>
      <c r="C336" t="str">
        <f>'[4]BP-Men'!C160</f>
        <v>Tsoriyev Eldar/46</v>
      </c>
      <c r="D336" t="str">
        <f t="shared" si="17"/>
        <v>46</v>
      </c>
      <c r="E336" t="str">
        <f>'[4]BP-Men'!D160</f>
        <v>RUS</v>
      </c>
      <c r="F336" s="8">
        <f>'[4]BP-Men'!E160</f>
        <v>41321</v>
      </c>
      <c r="G336" t="str">
        <f>'[4]BP-Men'!F160</f>
        <v>Yekaterinburgh</v>
      </c>
    </row>
    <row r="337" spans="1:7" x14ac:dyDescent="0.25">
      <c r="A337" s="1">
        <f>'[4]BP-Men'!A161</f>
        <v>90</v>
      </c>
      <c r="B337">
        <f>'[4]BP-Men'!B161</f>
        <v>140</v>
      </c>
      <c r="C337" t="str">
        <f>'[4]BP-Men'!C161</f>
        <v>Khusnetdinov Amir/48</v>
      </c>
      <c r="D337" t="str">
        <f t="shared" si="17"/>
        <v>48</v>
      </c>
      <c r="E337" t="str">
        <f>'[4]BP-Men'!D161</f>
        <v>RUS</v>
      </c>
      <c r="F337" s="8" t="str">
        <f>'[4]BP-Men'!E161</f>
        <v>23.08.2014</v>
      </c>
      <c r="G337" t="str">
        <f>'[4]BP-Men'!F161</f>
        <v>Moscow</v>
      </c>
    </row>
    <row r="338" spans="1:7" x14ac:dyDescent="0.25">
      <c r="A338" s="1">
        <f>'[4]BP-Men'!A162</f>
        <v>100</v>
      </c>
      <c r="B338">
        <f>'[4]BP-Men'!B162</f>
        <v>137.5</v>
      </c>
      <c r="C338" t="str">
        <f>'[4]BP-Men'!C162</f>
        <v>Korshunov Vladimir/42</v>
      </c>
      <c r="D338" t="str">
        <f t="shared" si="17"/>
        <v>42</v>
      </c>
      <c r="E338" t="str">
        <f>'[4]BP-Men'!D162</f>
        <v>UKR</v>
      </c>
      <c r="F338" s="8">
        <f>'[4]BP-Men'!E162</f>
        <v>40985</v>
      </c>
      <c r="G338" t="str">
        <f>'[4]BP-Men'!F162</f>
        <v>Kryvyi Rig</v>
      </c>
    </row>
    <row r="339" spans="1:7" x14ac:dyDescent="0.25">
      <c r="A339" s="1">
        <f>'[4]BP-Men'!A163</f>
        <v>110</v>
      </c>
      <c r="B339">
        <f>'[4]BP-Men'!B163</f>
        <v>130</v>
      </c>
      <c r="C339" t="str">
        <f>'[4]BP-Men'!C163</f>
        <v>Kozharinov Yevgeniy/45</v>
      </c>
      <c r="D339" t="str">
        <f t="shared" si="17"/>
        <v>45</v>
      </c>
      <c r="E339" t="str">
        <f>'[4]BP-Men'!D163</f>
        <v>RUS</v>
      </c>
      <c r="F339" s="8" t="str">
        <f>'[4]BP-Men'!E163</f>
        <v>30.05.2014</v>
      </c>
      <c r="G339" t="str">
        <f>'[4]BP-Men'!F163</f>
        <v>Kursk</v>
      </c>
    </row>
    <row r="340" spans="1:7" x14ac:dyDescent="0.25">
      <c r="A340" s="1">
        <f>'[4]BP-Men'!A164</f>
        <v>125</v>
      </c>
      <c r="B340">
        <f>'[4]BP-Men'!B164</f>
        <v>130</v>
      </c>
      <c r="C340" t="str">
        <f>'[4]BP-Men'!C164</f>
        <v>Chernyshov Vladimir/48</v>
      </c>
      <c r="D340" t="str">
        <f t="shared" si="17"/>
        <v>48</v>
      </c>
      <c r="E340" t="str">
        <f>'[4]BP-Men'!D164</f>
        <v>RUS</v>
      </c>
      <c r="F340" s="8" t="str">
        <f>'[4]BP-Men'!E164</f>
        <v>19.04.2014</v>
      </c>
      <c r="G340" t="str">
        <f>'[4]BP-Men'!F164</f>
        <v>Krasnodar</v>
      </c>
    </row>
    <row r="341" spans="1:7" x14ac:dyDescent="0.25">
      <c r="A341" s="1">
        <f>'[4]BP-Men'!A165</f>
        <v>140</v>
      </c>
      <c r="B341">
        <f>'[4]BP-Men'!B165</f>
        <v>0</v>
      </c>
      <c r="C341">
        <f>'[4]BP-Men'!C165</f>
        <v>0</v>
      </c>
      <c r="D341" t="str">
        <f t="shared" si="17"/>
        <v>0</v>
      </c>
      <c r="E341">
        <f>'[4]BP-Men'!D165</f>
        <v>0</v>
      </c>
      <c r="F341" s="8">
        <f>'[4]BP-Men'!E165</f>
        <v>0</v>
      </c>
      <c r="G341">
        <f>'[4]BP-Men'!F165</f>
        <v>0</v>
      </c>
    </row>
    <row r="342" spans="1:7" x14ac:dyDescent="0.25">
      <c r="A342" s="1" t="str">
        <f>'[4]BP-Men'!A166</f>
        <v>140+</v>
      </c>
      <c r="B342">
        <f>'[4]BP-Men'!B166</f>
        <v>0</v>
      </c>
      <c r="C342">
        <f>'[4]BP-Men'!C166</f>
        <v>0</v>
      </c>
      <c r="D342" t="str">
        <f t="shared" si="17"/>
        <v>0</v>
      </c>
      <c r="E342">
        <f>'[4]BP-Men'!D166</f>
        <v>0</v>
      </c>
      <c r="F342" s="8">
        <f>'[4]BP-Men'!E166</f>
        <v>0</v>
      </c>
      <c r="G342">
        <f>'[4]BP-Men'!F166</f>
        <v>0</v>
      </c>
    </row>
    <row r="343" spans="1:7" x14ac:dyDescent="0.25">
      <c r="B343">
        <f>'[4]BP-Men'!B167</f>
        <v>0</v>
      </c>
      <c r="C343">
        <f>'[4]BP-Men'!C167</f>
        <v>0</v>
      </c>
      <c r="D343" t="str">
        <f t="shared" si="17"/>
        <v>0</v>
      </c>
      <c r="E343">
        <f>'[4]BP-Men'!D167</f>
        <v>0</v>
      </c>
      <c r="F343" s="8">
        <f>'[4]BP-Men'!E167</f>
        <v>0</v>
      </c>
      <c r="G343">
        <f>'[4]BP-Men'!F167</f>
        <v>0</v>
      </c>
    </row>
    <row r="344" spans="1:7" s="11" customFormat="1" x14ac:dyDescent="0.25">
      <c r="A344" s="22" t="s">
        <v>0</v>
      </c>
      <c r="B344" s="11">
        <v>1</v>
      </c>
      <c r="C344" s="11">
        <v>70</v>
      </c>
      <c r="D344" s="11" t="str">
        <f>'[4]BP-Men'!B168</f>
        <v>Men's M7  (70 - 74)</v>
      </c>
      <c r="F344" s="12"/>
    </row>
    <row r="345" spans="1:7" s="16" customFormat="1" x14ac:dyDescent="0.25">
      <c r="A345" s="28">
        <f>'[4]BP-Men'!A169</f>
        <v>52</v>
      </c>
      <c r="B345" s="16">
        <f>'[4]BP-Men'!B169</f>
        <v>0</v>
      </c>
      <c r="C345" s="16">
        <f>'[4]BP-Men'!C169</f>
        <v>0</v>
      </c>
      <c r="D345" s="16" t="str">
        <f t="shared" ref="D345" si="20">RIGHT(C345,2)</f>
        <v>0</v>
      </c>
      <c r="E345" s="16">
        <f>'[4]BP-Men'!D169</f>
        <v>0</v>
      </c>
      <c r="F345" s="18">
        <f>'[4]BP-Men'!E169</f>
        <v>0</v>
      </c>
      <c r="G345" s="16">
        <f>'[4]BP-Men'!F169</f>
        <v>0</v>
      </c>
    </row>
    <row r="346" spans="1:7" s="16" customFormat="1" x14ac:dyDescent="0.25">
      <c r="A346" s="28">
        <f>'[4]BP-Men'!A170</f>
        <v>56</v>
      </c>
      <c r="B346" s="16">
        <f>'[4]BP-Men'!B170</f>
        <v>0</v>
      </c>
      <c r="C346" s="16">
        <f>'[4]BP-Men'!C170</f>
        <v>0</v>
      </c>
      <c r="D346" s="16" t="str">
        <f t="shared" ref="D346" si="21">RIGHT(C346,2)</f>
        <v>0</v>
      </c>
      <c r="E346" s="16">
        <f>'[4]BP-Men'!D170</f>
        <v>0</v>
      </c>
      <c r="F346" s="18">
        <f>'[4]BP-Men'!E170</f>
        <v>0</v>
      </c>
      <c r="G346" s="16">
        <f>'[4]BP-Men'!F170</f>
        <v>0</v>
      </c>
    </row>
    <row r="347" spans="1:7" s="16" customFormat="1" x14ac:dyDescent="0.25">
      <c r="A347" s="28">
        <f>'[4]BP-Men'!A171</f>
        <v>60</v>
      </c>
      <c r="B347" s="16">
        <f>'[4]BP-Men'!B171</f>
        <v>0</v>
      </c>
      <c r="C347" s="16">
        <f>'[4]BP-Men'!C171</f>
        <v>0</v>
      </c>
      <c r="D347" s="16" t="str">
        <f t="shared" ref="D347" si="22">RIGHT(C347,2)</f>
        <v>0</v>
      </c>
      <c r="E347" s="16">
        <f>'[4]BP-Men'!D171</f>
        <v>0</v>
      </c>
      <c r="F347" s="18">
        <f>'[4]BP-Men'!E171</f>
        <v>0</v>
      </c>
      <c r="G347" s="16">
        <f>'[4]BP-Men'!F171</f>
        <v>0</v>
      </c>
    </row>
    <row r="348" spans="1:7" s="16" customFormat="1" x14ac:dyDescent="0.25">
      <c r="A348" s="28">
        <f>'[4]BP-Men'!A172</f>
        <v>67.5</v>
      </c>
      <c r="B348" s="16">
        <f>'[4]BP-Men'!B172</f>
        <v>95</v>
      </c>
      <c r="C348" s="16" t="str">
        <f>'[4]BP-Men'!C172</f>
        <v>Kim Miron/41</v>
      </c>
      <c r="D348" s="16" t="str">
        <f t="shared" si="17"/>
        <v>41</v>
      </c>
      <c r="E348" s="16" t="str">
        <f>'[4]BP-Men'!D172</f>
        <v>RUS</v>
      </c>
      <c r="F348" s="18">
        <f>'[4]BP-Men'!E172</f>
        <v>41438</v>
      </c>
      <c r="G348" s="16" t="str">
        <f>'[4]BP-Men'!F172</f>
        <v>Moscow</v>
      </c>
    </row>
    <row r="349" spans="1:7" s="16" customFormat="1" x14ac:dyDescent="0.25">
      <c r="A349" s="28">
        <f>'[4]BP-Men'!A173</f>
        <v>75</v>
      </c>
      <c r="B349" s="16">
        <f>'[4]BP-Men'!B173</f>
        <v>110</v>
      </c>
      <c r="C349" s="16" t="str">
        <f>'[4]BP-Men'!C173</f>
        <v>Barabanov German/40</v>
      </c>
      <c r="D349" s="16" t="str">
        <f t="shared" si="17"/>
        <v>40</v>
      </c>
      <c r="E349" s="16" t="str">
        <f>'[4]BP-Men'!D173</f>
        <v>RUS</v>
      </c>
      <c r="F349" s="18">
        <f>'[4]BP-Men'!E173</f>
        <v>41438</v>
      </c>
      <c r="G349" s="16" t="str">
        <f>'[4]BP-Men'!F173</f>
        <v>Moscow</v>
      </c>
    </row>
    <row r="350" spans="1:7" s="16" customFormat="1" x14ac:dyDescent="0.25">
      <c r="A350" s="28">
        <f>'[4]BP-Men'!A174</f>
        <v>82.5</v>
      </c>
      <c r="B350" s="16">
        <f>'[4]BP-Men'!B174</f>
        <v>117.5</v>
      </c>
      <c r="C350" s="16" t="str">
        <f>'[4]BP-Men'!C174</f>
        <v>Barabanov German/40</v>
      </c>
      <c r="D350" s="16" t="str">
        <f t="shared" si="17"/>
        <v>40</v>
      </c>
      <c r="E350" s="16" t="str">
        <f>'[4]BP-Men'!D174</f>
        <v>RUS</v>
      </c>
      <c r="F350" s="18" t="str">
        <f>'[4]BP-Men'!E174</f>
        <v>23.08.2014</v>
      </c>
      <c r="G350" s="16" t="str">
        <f>'[4]BP-Men'!F174</f>
        <v>Moscow</v>
      </c>
    </row>
    <row r="351" spans="1:7" s="16" customFormat="1" x14ac:dyDescent="0.25">
      <c r="A351" s="28">
        <f>'[4]BP-Men'!A175</f>
        <v>90</v>
      </c>
      <c r="B351" s="16">
        <f>'[4]BP-Men'!B175</f>
        <v>120</v>
      </c>
      <c r="C351" s="16" t="str">
        <f>'[4]BP-Men'!C175</f>
        <v>Malyshev Vladimir/36</v>
      </c>
      <c r="D351" s="16" t="str">
        <f t="shared" si="17"/>
        <v>36</v>
      </c>
      <c r="E351" s="16" t="str">
        <f>'[4]BP-Men'!D175</f>
        <v>RUS</v>
      </c>
      <c r="F351" s="18">
        <f>'[4]BP-Men'!E175</f>
        <v>39123</v>
      </c>
      <c r="G351" s="16" t="str">
        <f>'[4]BP-Men'!F175</f>
        <v>Chelyabinsk</v>
      </c>
    </row>
    <row r="352" spans="1:7" s="16" customFormat="1" x14ac:dyDescent="0.25">
      <c r="A352" s="28">
        <f>'[4]BP-Men'!A176</f>
        <v>100</v>
      </c>
      <c r="B352" s="16">
        <f>'[4]BP-Men'!B176</f>
        <v>0</v>
      </c>
      <c r="C352" s="16">
        <f>'[4]BP-Men'!C176</f>
        <v>0</v>
      </c>
      <c r="D352" s="16" t="str">
        <f t="shared" si="17"/>
        <v>0</v>
      </c>
      <c r="E352" s="16">
        <f>'[4]BP-Men'!D176</f>
        <v>0</v>
      </c>
      <c r="F352" s="18">
        <f>'[4]BP-Men'!E176</f>
        <v>0</v>
      </c>
      <c r="G352" s="16">
        <f>'[4]BP-Men'!F176</f>
        <v>0</v>
      </c>
    </row>
    <row r="353" spans="1:7" x14ac:dyDescent="0.25">
      <c r="A353" s="1">
        <f>'[4]BP-Men'!A177</f>
        <v>110</v>
      </c>
      <c r="B353">
        <f>'[4]BP-Men'!B177</f>
        <v>0</v>
      </c>
      <c r="C353">
        <f>'[4]BP-Men'!C177</f>
        <v>0</v>
      </c>
      <c r="D353" t="str">
        <f t="shared" si="17"/>
        <v>0</v>
      </c>
      <c r="E353">
        <f>'[4]BP-Men'!D177</f>
        <v>0</v>
      </c>
      <c r="F353" s="8">
        <f>'[4]BP-Men'!E177</f>
        <v>0</v>
      </c>
      <c r="G353">
        <f>'[4]BP-Men'!F177</f>
        <v>0</v>
      </c>
    </row>
    <row r="354" spans="1:7" x14ac:dyDescent="0.25">
      <c r="A354" s="1">
        <f>'[4]BP-Men'!A178</f>
        <v>125</v>
      </c>
      <c r="B354">
        <f>'[4]BP-Men'!B178</f>
        <v>140</v>
      </c>
      <c r="C354" t="str">
        <f>'[4]BP-Men'!C178</f>
        <v>Dmitriev Yevgeniy/40</v>
      </c>
      <c r="D354" t="str">
        <f t="shared" si="17"/>
        <v>40</v>
      </c>
      <c r="E354" t="str">
        <f>'[4]BP-Men'!D178</f>
        <v>RUS</v>
      </c>
      <c r="F354" s="8" t="str">
        <f>'[4]BP-Men'!E178</f>
        <v>23.08.2014</v>
      </c>
      <c r="G354" t="str">
        <f>'[4]BP-Men'!F178</f>
        <v>Moscow</v>
      </c>
    </row>
    <row r="355" spans="1:7" x14ac:dyDescent="0.25">
      <c r="A355" s="1">
        <f>'[4]BP-Men'!A179</f>
        <v>140</v>
      </c>
      <c r="B355">
        <f>'[4]BP-Men'!B179</f>
        <v>0</v>
      </c>
      <c r="C355">
        <f>'[4]BP-Men'!C179</f>
        <v>0</v>
      </c>
      <c r="D355" t="str">
        <f t="shared" si="17"/>
        <v>0</v>
      </c>
      <c r="E355">
        <f>'[4]BP-Men'!D179</f>
        <v>0</v>
      </c>
      <c r="F355" s="8">
        <f>'[4]BP-Men'!E179</f>
        <v>0</v>
      </c>
      <c r="G355">
        <f>'[4]BP-Men'!F179</f>
        <v>0</v>
      </c>
    </row>
    <row r="356" spans="1:7" x14ac:dyDescent="0.25">
      <c r="A356" s="1" t="str">
        <f>'[4]BP-Men'!A180</f>
        <v>140+</v>
      </c>
      <c r="B356">
        <f>'[4]BP-Men'!B180</f>
        <v>0</v>
      </c>
      <c r="C356">
        <f>'[4]BP-Men'!C180</f>
        <v>0</v>
      </c>
      <c r="D356" t="str">
        <f t="shared" si="17"/>
        <v>0</v>
      </c>
      <c r="E356">
        <f>'[4]BP-Men'!D180</f>
        <v>0</v>
      </c>
      <c r="F356" s="8">
        <f>'[4]BP-Men'!E180</f>
        <v>0</v>
      </c>
      <c r="G356">
        <f>'[4]BP-Men'!F180</f>
        <v>0</v>
      </c>
    </row>
    <row r="357" spans="1:7" x14ac:dyDescent="0.25">
      <c r="B357">
        <f>'[4]BP-Men'!B181</f>
        <v>0</v>
      </c>
      <c r="C357">
        <f>'[4]BP-Men'!C181</f>
        <v>0</v>
      </c>
      <c r="D357" t="str">
        <f t="shared" si="17"/>
        <v>0</v>
      </c>
      <c r="E357">
        <f>'[4]BP-Men'!D181</f>
        <v>0</v>
      </c>
      <c r="F357" s="8">
        <f>'[4]BP-Men'!E181</f>
        <v>0</v>
      </c>
      <c r="G357">
        <f>'[4]BP-Men'!F181</f>
        <v>0</v>
      </c>
    </row>
    <row r="358" spans="1:7" s="11" customFormat="1" x14ac:dyDescent="0.25">
      <c r="A358" s="22" t="s">
        <v>0</v>
      </c>
      <c r="B358" s="11">
        <v>1</v>
      </c>
      <c r="C358" s="11">
        <v>75</v>
      </c>
      <c r="D358" s="11" t="str">
        <f>'[4]BP-Men'!B182</f>
        <v>Men's M8  (75 - 79)</v>
      </c>
      <c r="F358" s="12"/>
    </row>
    <row r="359" spans="1:7" x14ac:dyDescent="0.25">
      <c r="A359" s="1">
        <f>'[4]BP-Men'!A183</f>
        <v>52</v>
      </c>
      <c r="B359">
        <f>'[4]BP-Men'!B183</f>
        <v>0</v>
      </c>
      <c r="C359">
        <f>'[4]BP-Men'!C183</f>
        <v>0</v>
      </c>
      <c r="D359" t="str">
        <f t="shared" si="17"/>
        <v>0</v>
      </c>
      <c r="E359">
        <f>'[4]BP-Men'!D183</f>
        <v>0</v>
      </c>
      <c r="F359" s="8">
        <f>'[4]BP-Men'!E183</f>
        <v>0</v>
      </c>
      <c r="G359">
        <f>'[4]BP-Men'!F183</f>
        <v>0</v>
      </c>
    </row>
    <row r="360" spans="1:7" x14ac:dyDescent="0.25">
      <c r="A360" s="1">
        <f>'[4]BP-Men'!A184</f>
        <v>56</v>
      </c>
      <c r="B360">
        <f>'[4]BP-Men'!B184</f>
        <v>0</v>
      </c>
      <c r="C360">
        <f>'[4]BP-Men'!C184</f>
        <v>0</v>
      </c>
      <c r="D360" t="str">
        <f t="shared" ref="D360:D370" si="23">RIGHT(C360,2)</f>
        <v>0</v>
      </c>
      <c r="E360">
        <f>'[4]BP-Men'!D184</f>
        <v>0</v>
      </c>
      <c r="F360" s="8">
        <f>'[4]BP-Men'!E184</f>
        <v>0</v>
      </c>
      <c r="G360">
        <f>'[4]BP-Men'!F184</f>
        <v>0</v>
      </c>
    </row>
    <row r="361" spans="1:7" x14ac:dyDescent="0.25">
      <c r="A361" s="1">
        <f>'[4]BP-Men'!A185</f>
        <v>60</v>
      </c>
      <c r="B361">
        <f>'[4]BP-Men'!B185</f>
        <v>0</v>
      </c>
      <c r="C361">
        <f>'[4]BP-Men'!C185</f>
        <v>0</v>
      </c>
      <c r="D361" t="str">
        <f t="shared" si="23"/>
        <v>0</v>
      </c>
      <c r="E361">
        <f>'[4]BP-Men'!D185</f>
        <v>0</v>
      </c>
      <c r="F361" s="8">
        <f>'[4]BP-Men'!E185</f>
        <v>0</v>
      </c>
      <c r="G361">
        <f>'[4]BP-Men'!F185</f>
        <v>0</v>
      </c>
    </row>
    <row r="362" spans="1:7" x14ac:dyDescent="0.25">
      <c r="A362" s="1">
        <f>'[4]BP-Men'!A186</f>
        <v>67.5</v>
      </c>
      <c r="B362">
        <f>'[4]BP-Men'!B186</f>
        <v>0</v>
      </c>
      <c r="C362">
        <f>'[4]BP-Men'!C186</f>
        <v>0</v>
      </c>
      <c r="D362" t="str">
        <f t="shared" si="23"/>
        <v>0</v>
      </c>
      <c r="E362">
        <f>'[4]BP-Men'!D186</f>
        <v>0</v>
      </c>
      <c r="F362" s="8">
        <f>'[4]BP-Men'!E186</f>
        <v>0</v>
      </c>
      <c r="G362">
        <f>'[4]BP-Men'!F186</f>
        <v>0</v>
      </c>
    </row>
    <row r="363" spans="1:7" x14ac:dyDescent="0.25">
      <c r="A363" s="1">
        <f>'[4]BP-Men'!A187</f>
        <v>75</v>
      </c>
      <c r="B363">
        <f>'[4]BP-Men'!B187</f>
        <v>92.5</v>
      </c>
      <c r="C363" t="str">
        <f>'[4]BP-Men'!C187</f>
        <v>Rubin Grigori/36</v>
      </c>
      <c r="D363" t="str">
        <f t="shared" si="23"/>
        <v>36</v>
      </c>
      <c r="E363" t="str">
        <f>'[4]BP-Men'!D187</f>
        <v>ISR</v>
      </c>
      <c r="F363" s="8" t="str">
        <f>'[4]BP-Men'!E187</f>
        <v>23.08.2014</v>
      </c>
      <c r="G363" t="str">
        <f>'[4]BP-Men'!F187</f>
        <v>Moscow</v>
      </c>
    </row>
    <row r="364" spans="1:7" x14ac:dyDescent="0.25">
      <c r="A364" s="1">
        <f>'[4]BP-Men'!A188</f>
        <v>82.5</v>
      </c>
      <c r="B364">
        <f>'[4]BP-Men'!B188</f>
        <v>100</v>
      </c>
      <c r="C364" t="str">
        <f>'[4]BP-Men'!C188</f>
        <v>Puzhaev Nikolai/35</v>
      </c>
      <c r="D364" t="str">
        <f t="shared" si="23"/>
        <v>35</v>
      </c>
      <c r="E364" t="str">
        <f>'[4]BP-Men'!D188</f>
        <v>RUS</v>
      </c>
      <c r="F364" s="8">
        <f>'[4]BP-Men'!E188</f>
        <v>40983</v>
      </c>
      <c r="G364" t="str">
        <f>'[4]BP-Men'!F188</f>
        <v>Yekaterinburgh</v>
      </c>
    </row>
    <row r="365" spans="1:7" x14ac:dyDescent="0.25">
      <c r="A365" s="1">
        <f>'[4]BP-Men'!A189</f>
        <v>90</v>
      </c>
      <c r="B365">
        <f>'[4]BP-Men'!B189</f>
        <v>110</v>
      </c>
      <c r="C365" t="str">
        <f>'[4]BP-Men'!C189</f>
        <v>Novikov Nikolai/38</v>
      </c>
      <c r="D365" t="str">
        <f t="shared" si="23"/>
        <v>38</v>
      </c>
      <c r="E365" t="str">
        <f>'[4]BP-Men'!D189</f>
        <v>RUS</v>
      </c>
      <c r="F365" s="8">
        <f>'[4]BP-Men'!E189</f>
        <v>41619</v>
      </c>
      <c r="G365" t="str">
        <f>'[4]BP-Men'!F189</f>
        <v>Kursk</v>
      </c>
    </row>
    <row r="366" spans="1:7" x14ac:dyDescent="0.25">
      <c r="A366" s="1">
        <f>'[4]BP-Men'!A190</f>
        <v>100</v>
      </c>
      <c r="B366">
        <f>'[4]BP-Men'!B190</f>
        <v>0</v>
      </c>
      <c r="C366">
        <f>'[4]BP-Men'!C190</f>
        <v>0</v>
      </c>
      <c r="D366" t="str">
        <f t="shared" si="23"/>
        <v>0</v>
      </c>
      <c r="E366">
        <f>'[4]BP-Men'!D190</f>
        <v>0</v>
      </c>
      <c r="F366" s="8">
        <f>'[4]BP-Men'!E190</f>
        <v>0</v>
      </c>
      <c r="G366">
        <f>'[4]BP-Men'!F190</f>
        <v>0</v>
      </c>
    </row>
    <row r="367" spans="1:7" x14ac:dyDescent="0.25">
      <c r="A367" s="1">
        <f>'[4]BP-Men'!A191</f>
        <v>110</v>
      </c>
      <c r="B367">
        <f>'[4]BP-Men'!B191</f>
        <v>0</v>
      </c>
      <c r="C367">
        <f>'[4]BP-Men'!C191</f>
        <v>0</v>
      </c>
      <c r="D367" t="str">
        <f t="shared" si="23"/>
        <v>0</v>
      </c>
      <c r="E367">
        <f>'[4]BP-Men'!D191</f>
        <v>0</v>
      </c>
      <c r="F367" s="8">
        <f>'[4]BP-Men'!E191</f>
        <v>0</v>
      </c>
      <c r="G367">
        <f>'[4]BP-Men'!F191</f>
        <v>0</v>
      </c>
    </row>
    <row r="368" spans="1:7" x14ac:dyDescent="0.25">
      <c r="A368" s="1">
        <f>'[4]BP-Men'!A192</f>
        <v>125</v>
      </c>
      <c r="B368">
        <f>'[4]BP-Men'!B192</f>
        <v>0</v>
      </c>
      <c r="C368">
        <f>'[4]BP-Men'!C192</f>
        <v>0</v>
      </c>
      <c r="D368" t="str">
        <f t="shared" si="23"/>
        <v>0</v>
      </c>
      <c r="E368">
        <f>'[4]BP-Men'!D192</f>
        <v>0</v>
      </c>
      <c r="F368" s="8">
        <f>'[4]BP-Men'!E192</f>
        <v>0</v>
      </c>
      <c r="G368">
        <f>'[4]BP-Men'!F192</f>
        <v>0</v>
      </c>
    </row>
    <row r="369" spans="1:7" x14ac:dyDescent="0.25">
      <c r="A369" s="1">
        <f>'[4]BP-Men'!A193</f>
        <v>140</v>
      </c>
      <c r="B369">
        <f>'[4]BP-Men'!B193</f>
        <v>0</v>
      </c>
      <c r="C369">
        <f>'[4]BP-Men'!C193</f>
        <v>0</v>
      </c>
      <c r="D369" t="str">
        <f t="shared" si="23"/>
        <v>0</v>
      </c>
      <c r="E369">
        <f>'[4]BP-Men'!D193</f>
        <v>0</v>
      </c>
      <c r="F369" s="8">
        <f>'[4]BP-Men'!E193</f>
        <v>0</v>
      </c>
      <c r="G369">
        <f>'[4]BP-Men'!F193</f>
        <v>0</v>
      </c>
    </row>
    <row r="370" spans="1:7" x14ac:dyDescent="0.25">
      <c r="A370" s="1" t="str">
        <f>'[4]BP-Men'!A194</f>
        <v>140+</v>
      </c>
      <c r="B370">
        <f>'[4]BP-Men'!B194</f>
        <v>0</v>
      </c>
      <c r="C370">
        <f>'[4]BP-Men'!C194</f>
        <v>0</v>
      </c>
      <c r="D370" t="str">
        <f t="shared" si="23"/>
        <v>0</v>
      </c>
      <c r="E370">
        <f>'[4]BP-Men'!D194</f>
        <v>0</v>
      </c>
      <c r="F370" s="8">
        <f>'[4]BP-Men'!E194</f>
        <v>0</v>
      </c>
      <c r="G370">
        <f>'[4]BP-Men'!F194</f>
        <v>0</v>
      </c>
    </row>
    <row r="371" spans="1:7" x14ac:dyDescent="0.25">
      <c r="B371">
        <f>'[4]BP-Men'!B195</f>
        <v>0</v>
      </c>
      <c r="C371">
        <f>'[4]BP-Men'!C195</f>
        <v>0</v>
      </c>
      <c r="D371" t="str">
        <f t="shared" ref="D371:D391" si="24">RIGHT(C371,2)</f>
        <v>0</v>
      </c>
      <c r="E371">
        <f>'[4]BP-Men'!D195</f>
        <v>0</v>
      </c>
      <c r="F371" s="8">
        <f>'[4]BP-Men'!E195</f>
        <v>0</v>
      </c>
      <c r="G371">
        <f>'[4]BP-Men'!F195</f>
        <v>0</v>
      </c>
    </row>
    <row r="372" spans="1:7" s="11" customFormat="1" x14ac:dyDescent="0.25">
      <c r="A372" s="22" t="s">
        <v>0</v>
      </c>
      <c r="B372" s="11">
        <v>1</v>
      </c>
      <c r="C372" s="11">
        <v>80</v>
      </c>
      <c r="D372" s="11" t="str">
        <f>'[4]BP-Men'!B196</f>
        <v>Men's M9  (80 - 84)</v>
      </c>
      <c r="F372" s="12"/>
    </row>
    <row r="373" spans="1:7" x14ac:dyDescent="0.25">
      <c r="A373" s="1">
        <f>'[4]BP-Men'!A197</f>
        <v>52</v>
      </c>
      <c r="B373">
        <f>'[4]BP-Men'!B197</f>
        <v>0</v>
      </c>
      <c r="C373">
        <f>'[4]BP-Men'!C197</f>
        <v>0</v>
      </c>
      <c r="D373" t="str">
        <f t="shared" si="24"/>
        <v>0</v>
      </c>
      <c r="E373">
        <f>'[4]BP-Men'!D197</f>
        <v>0</v>
      </c>
      <c r="F373" s="8">
        <f>'[4]BP-Men'!E197</f>
        <v>0</v>
      </c>
      <c r="G373">
        <f>'[4]BP-Men'!F197</f>
        <v>0</v>
      </c>
    </row>
    <row r="374" spans="1:7" x14ac:dyDescent="0.25">
      <c r="A374" s="1">
        <f>'[4]BP-Men'!A198</f>
        <v>56</v>
      </c>
      <c r="B374">
        <f>'[4]BP-Men'!B198</f>
        <v>0</v>
      </c>
      <c r="C374">
        <f>'[4]BP-Men'!C198</f>
        <v>0</v>
      </c>
      <c r="D374" t="str">
        <f t="shared" si="24"/>
        <v>0</v>
      </c>
      <c r="E374">
        <f>'[4]BP-Men'!D198</f>
        <v>0</v>
      </c>
      <c r="F374" s="8">
        <f>'[4]BP-Men'!E198</f>
        <v>0</v>
      </c>
      <c r="G374">
        <f>'[4]BP-Men'!F198</f>
        <v>0</v>
      </c>
    </row>
    <row r="375" spans="1:7" x14ac:dyDescent="0.25">
      <c r="A375" s="1">
        <f>'[4]BP-Men'!A199</f>
        <v>60</v>
      </c>
      <c r="B375">
        <f>'[4]BP-Men'!B199</f>
        <v>0</v>
      </c>
      <c r="C375">
        <f>'[4]BP-Men'!C199</f>
        <v>0</v>
      </c>
      <c r="D375" t="str">
        <f t="shared" si="24"/>
        <v>0</v>
      </c>
      <c r="E375">
        <f>'[4]BP-Men'!D199</f>
        <v>0</v>
      </c>
      <c r="F375" s="8">
        <f>'[4]BP-Men'!E199</f>
        <v>0</v>
      </c>
      <c r="G375">
        <f>'[4]BP-Men'!F199</f>
        <v>0</v>
      </c>
    </row>
    <row r="376" spans="1:7" x14ac:dyDescent="0.25">
      <c r="A376" s="1">
        <f>'[4]BP-Men'!A200</f>
        <v>67.5</v>
      </c>
      <c r="B376">
        <f>'[4]BP-Men'!B200</f>
        <v>0</v>
      </c>
      <c r="C376">
        <f>'[4]BP-Men'!C200</f>
        <v>0</v>
      </c>
      <c r="D376" t="str">
        <f t="shared" si="24"/>
        <v>0</v>
      </c>
      <c r="E376">
        <f>'[4]BP-Men'!D200</f>
        <v>0</v>
      </c>
      <c r="F376" s="8">
        <f>'[4]BP-Men'!E200</f>
        <v>0</v>
      </c>
      <c r="G376">
        <f>'[4]BP-Men'!F200</f>
        <v>0</v>
      </c>
    </row>
    <row r="377" spans="1:7" x14ac:dyDescent="0.25">
      <c r="A377" s="1">
        <f>'[4]BP-Men'!A201</f>
        <v>75</v>
      </c>
      <c r="B377">
        <f>'[4]BP-Men'!B201</f>
        <v>0</v>
      </c>
      <c r="C377">
        <f>'[4]BP-Men'!C201</f>
        <v>0</v>
      </c>
      <c r="D377" t="str">
        <f t="shared" si="24"/>
        <v>0</v>
      </c>
      <c r="E377">
        <f>'[4]BP-Men'!D201</f>
        <v>0</v>
      </c>
      <c r="F377" s="8">
        <f>'[4]BP-Men'!E201</f>
        <v>0</v>
      </c>
      <c r="G377">
        <f>'[4]BP-Men'!F201</f>
        <v>0</v>
      </c>
    </row>
    <row r="378" spans="1:7" x14ac:dyDescent="0.25">
      <c r="A378" s="1">
        <f>'[4]BP-Men'!A202</f>
        <v>82.5</v>
      </c>
      <c r="B378">
        <f>'[4]BP-Men'!B202</f>
        <v>97.5</v>
      </c>
      <c r="C378" t="str">
        <f>'[4]BP-Men'!C202</f>
        <v>Shunkin Nikolai/31</v>
      </c>
      <c r="D378" t="str">
        <f t="shared" si="24"/>
        <v>31</v>
      </c>
      <c r="E378" t="str">
        <f>'[4]BP-Men'!D202</f>
        <v>RUS</v>
      </c>
      <c r="F378" s="8">
        <f>'[4]BP-Men'!E202</f>
        <v>41067</v>
      </c>
      <c r="G378" t="str">
        <f>'[4]BP-Men'!F202</f>
        <v>Moscow</v>
      </c>
    </row>
    <row r="379" spans="1:7" x14ac:dyDescent="0.25">
      <c r="A379" s="1">
        <f>'[4]BP-Men'!A203</f>
        <v>90</v>
      </c>
      <c r="B379">
        <f>'[4]BP-Men'!B203</f>
        <v>52.5</v>
      </c>
      <c r="C379" t="str">
        <f>'[4]BP-Men'!C203</f>
        <v>Svirnenko Vitaliy/27</v>
      </c>
      <c r="D379" t="str">
        <f t="shared" si="24"/>
        <v>27</v>
      </c>
      <c r="E379" t="str">
        <f>'[4]BP-Men'!D203</f>
        <v>UKR</v>
      </c>
      <c r="F379" s="8">
        <f>'[4]BP-Men'!E203</f>
        <v>40409</v>
      </c>
      <c r="G379" t="str">
        <f>'[4]BP-Men'!F203</f>
        <v>Moscow</v>
      </c>
    </row>
    <row r="380" spans="1:7" x14ac:dyDescent="0.25">
      <c r="A380" s="1">
        <f>'[4]BP-Men'!A204</f>
        <v>100</v>
      </c>
      <c r="B380">
        <f>'[4]BP-Men'!B204</f>
        <v>65</v>
      </c>
      <c r="C380" t="str">
        <f>'[4]BP-Men'!C204</f>
        <v>Svirnenko Vitaliy/27</v>
      </c>
      <c r="D380" t="str">
        <f t="shared" si="24"/>
        <v>27</v>
      </c>
      <c r="E380" t="str">
        <f>'[4]BP-Men'!D204</f>
        <v>UKR</v>
      </c>
      <c r="F380" s="8">
        <f>'[4]BP-Men'!E204</f>
        <v>39984</v>
      </c>
      <c r="G380" t="str">
        <f>'[4]BP-Men'!F204</f>
        <v>Ternopil'</v>
      </c>
    </row>
    <row r="381" spans="1:7" x14ac:dyDescent="0.25">
      <c r="A381" s="1">
        <f>'[4]BP-Men'!A205</f>
        <v>110</v>
      </c>
      <c r="B381">
        <f>'[4]BP-Men'!B205</f>
        <v>0</v>
      </c>
      <c r="C381">
        <f>'[4]BP-Men'!C205</f>
        <v>0</v>
      </c>
      <c r="D381" t="str">
        <f t="shared" si="24"/>
        <v>0</v>
      </c>
      <c r="E381">
        <f>'[4]BP-Men'!D205</f>
        <v>0</v>
      </c>
      <c r="F381" s="8">
        <f>'[4]BP-Men'!E205</f>
        <v>0</v>
      </c>
      <c r="G381">
        <f>'[4]BP-Men'!F205</f>
        <v>0</v>
      </c>
    </row>
    <row r="382" spans="1:7" x14ac:dyDescent="0.25">
      <c r="A382" s="1">
        <f>'[4]BP-Men'!A206</f>
        <v>125</v>
      </c>
      <c r="B382">
        <f>'[4]BP-Men'!B206</f>
        <v>0</v>
      </c>
      <c r="C382">
        <f>'[4]BP-Men'!C206</f>
        <v>0</v>
      </c>
      <c r="D382" t="str">
        <f t="shared" si="24"/>
        <v>0</v>
      </c>
      <c r="E382">
        <f>'[4]BP-Men'!D206</f>
        <v>0</v>
      </c>
      <c r="F382" s="8">
        <f>'[4]BP-Men'!E206</f>
        <v>0</v>
      </c>
      <c r="G382">
        <f>'[4]BP-Men'!F206</f>
        <v>0</v>
      </c>
    </row>
    <row r="383" spans="1:7" x14ac:dyDescent="0.25">
      <c r="A383" s="1">
        <f>'[4]BP-Men'!A207</f>
        <v>140</v>
      </c>
      <c r="B383">
        <f>'[4]BP-Men'!B207</f>
        <v>0</v>
      </c>
      <c r="C383">
        <f>'[4]BP-Men'!C207</f>
        <v>0</v>
      </c>
      <c r="D383" t="str">
        <f t="shared" si="24"/>
        <v>0</v>
      </c>
      <c r="E383">
        <f>'[4]BP-Men'!D207</f>
        <v>0</v>
      </c>
      <c r="F383" s="8">
        <f>'[4]BP-Men'!E207</f>
        <v>0</v>
      </c>
      <c r="G383">
        <f>'[4]BP-Men'!F207</f>
        <v>0</v>
      </c>
    </row>
    <row r="384" spans="1:7" x14ac:dyDescent="0.25">
      <c r="A384" s="1" t="str">
        <f>'[4]BP-Men'!A208</f>
        <v>140+</v>
      </c>
      <c r="B384">
        <f>'[4]BP-Men'!B208</f>
        <v>0</v>
      </c>
      <c r="C384">
        <f>'[4]BP-Men'!C208</f>
        <v>0</v>
      </c>
      <c r="D384" t="str">
        <f t="shared" si="24"/>
        <v>0</v>
      </c>
      <c r="E384">
        <f>'[4]BP-Men'!D208</f>
        <v>0</v>
      </c>
      <c r="F384" s="8">
        <f>'[4]BP-Men'!E208</f>
        <v>0</v>
      </c>
      <c r="G384">
        <f>'[4]BP-Men'!F208</f>
        <v>0</v>
      </c>
    </row>
    <row r="385" spans="1:7" x14ac:dyDescent="0.25">
      <c r="A385" s="1">
        <f>'[4]BP-Men'!A209</f>
        <v>0</v>
      </c>
      <c r="B385">
        <f>'[4]BP-Men'!B209</f>
        <v>0</v>
      </c>
      <c r="C385">
        <f>'[4]BP-Men'!C209</f>
        <v>0</v>
      </c>
      <c r="D385" t="str">
        <f t="shared" si="24"/>
        <v>0</v>
      </c>
      <c r="E385">
        <f>'[4]BP-Men'!D209</f>
        <v>0</v>
      </c>
      <c r="F385" s="8">
        <f>'[4]BP-Men'!E209</f>
        <v>0</v>
      </c>
      <c r="G385">
        <f>'[4]BP-Men'!F209</f>
        <v>0</v>
      </c>
    </row>
    <row r="386" spans="1:7" x14ac:dyDescent="0.25">
      <c r="A386" s="1">
        <f>'[4]BP-Men'!A210</f>
        <v>0</v>
      </c>
      <c r="B386">
        <f>'[4]BP-Men'!B210</f>
        <v>0</v>
      </c>
      <c r="C386">
        <f>'[4]BP-Men'!C210</f>
        <v>0</v>
      </c>
      <c r="D386" t="str">
        <f t="shared" si="24"/>
        <v>0</v>
      </c>
      <c r="E386">
        <f>'[4]BP-Men'!D210</f>
        <v>0</v>
      </c>
      <c r="F386" s="8">
        <f>'[4]BP-Men'!E210</f>
        <v>0</v>
      </c>
      <c r="G386">
        <f>'[4]BP-Men'!F210</f>
        <v>0</v>
      </c>
    </row>
    <row r="387" spans="1:7" x14ac:dyDescent="0.25">
      <c r="A387" s="1">
        <f>'[4]BP-Men'!A211</f>
        <v>0</v>
      </c>
      <c r="B387">
        <f>'[4]BP-Men'!B211</f>
        <v>0</v>
      </c>
      <c r="C387">
        <f>'[4]BP-Men'!C211</f>
        <v>0</v>
      </c>
      <c r="D387" t="str">
        <f t="shared" si="24"/>
        <v>0</v>
      </c>
      <c r="E387">
        <f>'[4]BP-Men'!D211</f>
        <v>0</v>
      </c>
      <c r="F387" s="8">
        <f>'[4]BP-Men'!E211</f>
        <v>0</v>
      </c>
      <c r="G387">
        <f>'[4]BP-Men'!F211</f>
        <v>0</v>
      </c>
    </row>
    <row r="388" spans="1:7" x14ac:dyDescent="0.25">
      <c r="A388" s="1">
        <f>'[4]BP-Men'!A212</f>
        <v>0</v>
      </c>
      <c r="B388">
        <f>'[4]BP-Men'!B212</f>
        <v>0</v>
      </c>
      <c r="C388">
        <f>'[4]BP-Men'!C212</f>
        <v>0</v>
      </c>
      <c r="D388" t="str">
        <f t="shared" si="24"/>
        <v>0</v>
      </c>
      <c r="E388">
        <f>'[4]BP-Men'!D212</f>
        <v>0</v>
      </c>
      <c r="F388" s="8">
        <f>'[4]BP-Men'!E212</f>
        <v>0</v>
      </c>
      <c r="G388">
        <f>'[4]BP-Men'!F212</f>
        <v>0</v>
      </c>
    </row>
    <row r="389" spans="1:7" x14ac:dyDescent="0.25">
      <c r="A389" s="1">
        <f>'[4]BP-Men'!A213</f>
        <v>0</v>
      </c>
      <c r="B389">
        <f>'[4]BP-Men'!B213</f>
        <v>0</v>
      </c>
      <c r="C389">
        <f>'[4]BP-Men'!C213</f>
        <v>0</v>
      </c>
      <c r="D389" t="str">
        <f t="shared" si="24"/>
        <v>0</v>
      </c>
      <c r="E389">
        <f>'[4]BP-Men'!D213</f>
        <v>0</v>
      </c>
      <c r="F389" s="8">
        <f>'[4]BP-Men'!E213</f>
        <v>0</v>
      </c>
      <c r="G389">
        <f>'[4]BP-Men'!F213</f>
        <v>0</v>
      </c>
    </row>
    <row r="390" spans="1:7" x14ac:dyDescent="0.25">
      <c r="A390" s="1">
        <f>'[4]BP-Men'!A214</f>
        <v>0</v>
      </c>
      <c r="B390">
        <f>'[4]BP-Men'!B214</f>
        <v>0</v>
      </c>
      <c r="C390">
        <f>'[4]BP-Men'!C214</f>
        <v>0</v>
      </c>
      <c r="D390" t="str">
        <f t="shared" si="24"/>
        <v>0</v>
      </c>
      <c r="E390">
        <f>'[4]BP-Men'!D214</f>
        <v>0</v>
      </c>
      <c r="F390" s="8">
        <f>'[4]BP-Men'!E214</f>
        <v>0</v>
      </c>
      <c r="G390">
        <f>'[4]BP-Men'!F214</f>
        <v>0</v>
      </c>
    </row>
    <row r="391" spans="1:7" x14ac:dyDescent="0.25">
      <c r="A391" s="1">
        <f>'[4]BP-Men'!A215</f>
        <v>0</v>
      </c>
      <c r="B391">
        <f>'[4]BP-Men'!B215</f>
        <v>0</v>
      </c>
      <c r="C391">
        <f>'[4]BP-Men'!C215</f>
        <v>0</v>
      </c>
      <c r="D391" t="str">
        <f t="shared" si="24"/>
        <v>0</v>
      </c>
      <c r="E391">
        <f>'[4]BP-Men'!D215</f>
        <v>0</v>
      </c>
      <c r="F391" s="8">
        <f>'[4]BP-Men'!E215</f>
        <v>0</v>
      </c>
      <c r="G391">
        <f>'[4]BP-Men'!F215</f>
        <v>0</v>
      </c>
    </row>
    <row r="392" spans="1:7" x14ac:dyDescent="0.25">
      <c r="A392" s="1">
        <f>'[4]BP-Men'!A216</f>
        <v>0</v>
      </c>
      <c r="B392">
        <f>'[4]BP-Men'!B216</f>
        <v>0</v>
      </c>
      <c r="C392">
        <f>'[4]BP-Men'!C216</f>
        <v>0</v>
      </c>
      <c r="D392" t="str">
        <f t="shared" ref="D392:D395" si="25">RIGHT(C392,2)</f>
        <v>0</v>
      </c>
      <c r="E392">
        <f>'[4]BP-Men'!D216</f>
        <v>0</v>
      </c>
      <c r="F392" s="8">
        <f>'[4]BP-Men'!E216</f>
        <v>0</v>
      </c>
      <c r="G392">
        <f>'[4]BP-Men'!F216</f>
        <v>0</v>
      </c>
    </row>
    <row r="393" spans="1:7" x14ac:dyDescent="0.25">
      <c r="A393" s="1">
        <f>'[4]BP-Men'!A217</f>
        <v>0</v>
      </c>
      <c r="B393">
        <f>'[4]BP-Men'!B217</f>
        <v>0</v>
      </c>
      <c r="C393">
        <f>'[4]BP-Men'!C217</f>
        <v>0</v>
      </c>
      <c r="D393" t="str">
        <f t="shared" si="25"/>
        <v>0</v>
      </c>
      <c r="E393">
        <f>'[4]BP-Men'!D217</f>
        <v>0</v>
      </c>
      <c r="F393" s="8">
        <f>'[4]BP-Men'!E217</f>
        <v>0</v>
      </c>
      <c r="G393">
        <f>'[4]BP-Men'!F217</f>
        <v>0</v>
      </c>
    </row>
    <row r="394" spans="1:7" x14ac:dyDescent="0.25">
      <c r="A394" s="1">
        <f>'[4]BP-Men'!A218</f>
        <v>0</v>
      </c>
      <c r="B394">
        <f>'[4]BP-Men'!B218</f>
        <v>0</v>
      </c>
      <c r="C394">
        <f>'[4]BP-Men'!C218</f>
        <v>0</v>
      </c>
      <c r="D394" t="str">
        <f t="shared" si="25"/>
        <v>0</v>
      </c>
      <c r="E394">
        <f>'[4]BP-Men'!D218</f>
        <v>0</v>
      </c>
      <c r="F394" s="8">
        <f>'[4]BP-Men'!E218</f>
        <v>0</v>
      </c>
      <c r="G394">
        <f>'[4]BP-Men'!F218</f>
        <v>0</v>
      </c>
    </row>
    <row r="395" spans="1:7" x14ac:dyDescent="0.25">
      <c r="A395" s="1">
        <f>'[4]BP-Men'!A219</f>
        <v>0</v>
      </c>
      <c r="B395">
        <f>'[4]BP-Men'!B219</f>
        <v>0</v>
      </c>
      <c r="C395">
        <f>'[4]BP-Men'!C219</f>
        <v>0</v>
      </c>
      <c r="D395" t="str">
        <f t="shared" si="25"/>
        <v>0</v>
      </c>
      <c r="E395">
        <f>'[4]BP-Men'!D219</f>
        <v>0</v>
      </c>
      <c r="F395" s="8">
        <f>'[4]BP-Men'!E219</f>
        <v>0</v>
      </c>
      <c r="G395">
        <f>'[4]BP-Men'!F219</f>
        <v>0</v>
      </c>
    </row>
    <row r="396" spans="1:7" x14ac:dyDescent="0.25">
      <c r="D396" t="str">
        <f t="shared" ref="D390:D432" si="26">RIGHT(C396,2)</f>
        <v/>
      </c>
      <c r="F396"/>
    </row>
    <row r="397" spans="1:7" x14ac:dyDescent="0.25">
      <c r="D397" t="str">
        <f t="shared" si="26"/>
        <v/>
      </c>
      <c r="F397"/>
    </row>
    <row r="398" spans="1:7" x14ac:dyDescent="0.25">
      <c r="D398" t="str">
        <f t="shared" si="26"/>
        <v/>
      </c>
      <c r="F398"/>
    </row>
    <row r="399" spans="1:7" x14ac:dyDescent="0.25">
      <c r="A399" s="1" t="s">
        <v>2</v>
      </c>
      <c r="D399" t="str">
        <f t="shared" si="26"/>
        <v/>
      </c>
      <c r="F399"/>
    </row>
    <row r="400" spans="1:7" x14ac:dyDescent="0.25">
      <c r="A400" s="1" t="s">
        <v>2</v>
      </c>
      <c r="D400" t="str">
        <f t="shared" si="26"/>
        <v/>
      </c>
      <c r="F400"/>
    </row>
    <row r="401" spans="1:6" x14ac:dyDescent="0.25">
      <c r="A401" s="1" t="s">
        <v>1</v>
      </c>
      <c r="D401" t="str">
        <f t="shared" si="26"/>
        <v/>
      </c>
      <c r="F401"/>
    </row>
    <row r="402" spans="1:6" x14ac:dyDescent="0.25">
      <c r="D402" t="str">
        <f t="shared" si="26"/>
        <v/>
      </c>
      <c r="F402"/>
    </row>
    <row r="403" spans="1:6" x14ac:dyDescent="0.25">
      <c r="D403" t="str">
        <f t="shared" si="26"/>
        <v/>
      </c>
      <c r="F403"/>
    </row>
    <row r="404" spans="1:6" x14ac:dyDescent="0.25">
      <c r="D404" t="str">
        <f t="shared" si="26"/>
        <v/>
      </c>
      <c r="F404"/>
    </row>
    <row r="405" spans="1:6" x14ac:dyDescent="0.25">
      <c r="D405" t="str">
        <f t="shared" si="26"/>
        <v/>
      </c>
      <c r="F405"/>
    </row>
    <row r="406" spans="1:6" x14ac:dyDescent="0.25">
      <c r="D406" t="str">
        <f t="shared" si="26"/>
        <v/>
      </c>
      <c r="F406"/>
    </row>
    <row r="407" spans="1:6" x14ac:dyDescent="0.25">
      <c r="D407" t="str">
        <f t="shared" si="26"/>
        <v/>
      </c>
      <c r="F407"/>
    </row>
    <row r="408" spans="1:6" x14ac:dyDescent="0.25">
      <c r="D408" t="str">
        <f t="shared" si="26"/>
        <v/>
      </c>
      <c r="F408"/>
    </row>
    <row r="409" spans="1:6" x14ac:dyDescent="0.25">
      <c r="D409" t="str">
        <f t="shared" si="26"/>
        <v/>
      </c>
      <c r="F409"/>
    </row>
    <row r="410" spans="1:6" x14ac:dyDescent="0.25">
      <c r="D410" t="str">
        <f t="shared" si="26"/>
        <v/>
      </c>
      <c r="F410"/>
    </row>
    <row r="411" spans="1:6" x14ac:dyDescent="0.25">
      <c r="D411" t="str">
        <f t="shared" si="26"/>
        <v/>
      </c>
      <c r="F411"/>
    </row>
    <row r="412" spans="1:6" x14ac:dyDescent="0.25">
      <c r="D412" t="str">
        <f t="shared" si="26"/>
        <v/>
      </c>
      <c r="F412"/>
    </row>
    <row r="413" spans="1:6" x14ac:dyDescent="0.25">
      <c r="D413" t="str">
        <f t="shared" si="26"/>
        <v/>
      </c>
      <c r="F413"/>
    </row>
    <row r="414" spans="1:6" x14ac:dyDescent="0.25">
      <c r="D414" t="str">
        <f t="shared" si="26"/>
        <v/>
      </c>
      <c r="F414"/>
    </row>
    <row r="415" spans="1:6" x14ac:dyDescent="0.25">
      <c r="D415" t="str">
        <f t="shared" si="26"/>
        <v/>
      </c>
      <c r="F415"/>
    </row>
    <row r="416" spans="1:6" x14ac:dyDescent="0.25">
      <c r="D416" t="str">
        <f t="shared" si="26"/>
        <v/>
      </c>
      <c r="F416"/>
    </row>
    <row r="417" spans="4:6" x14ac:dyDescent="0.25">
      <c r="D417" t="str">
        <f t="shared" si="26"/>
        <v/>
      </c>
      <c r="F417"/>
    </row>
    <row r="418" spans="4:6" x14ac:dyDescent="0.25">
      <c r="D418" t="str">
        <f t="shared" si="26"/>
        <v/>
      </c>
      <c r="F418"/>
    </row>
    <row r="419" spans="4:6" x14ac:dyDescent="0.25">
      <c r="D419" t="str">
        <f t="shared" si="26"/>
        <v/>
      </c>
      <c r="F419"/>
    </row>
    <row r="420" spans="4:6" x14ac:dyDescent="0.25">
      <c r="D420" t="str">
        <f t="shared" si="26"/>
        <v/>
      </c>
      <c r="F420"/>
    </row>
    <row r="421" spans="4:6" x14ac:dyDescent="0.25">
      <c r="D421" t="str">
        <f t="shared" si="26"/>
        <v/>
      </c>
      <c r="F421"/>
    </row>
    <row r="422" spans="4:6" x14ac:dyDescent="0.25">
      <c r="D422" t="str">
        <f t="shared" si="26"/>
        <v/>
      </c>
      <c r="F422"/>
    </row>
    <row r="423" spans="4:6" x14ac:dyDescent="0.25">
      <c r="D423" t="str">
        <f t="shared" si="26"/>
        <v/>
      </c>
      <c r="F423"/>
    </row>
    <row r="424" spans="4:6" x14ac:dyDescent="0.25">
      <c r="D424" t="str">
        <f t="shared" si="26"/>
        <v/>
      </c>
      <c r="F424"/>
    </row>
    <row r="425" spans="4:6" x14ac:dyDescent="0.25">
      <c r="D425" t="str">
        <f t="shared" si="26"/>
        <v/>
      </c>
      <c r="F425"/>
    </row>
    <row r="426" spans="4:6" x14ac:dyDescent="0.25">
      <c r="D426" t="str">
        <f t="shared" si="26"/>
        <v/>
      </c>
      <c r="F426"/>
    </row>
    <row r="427" spans="4:6" x14ac:dyDescent="0.25">
      <c r="D427" t="str">
        <f t="shared" si="26"/>
        <v/>
      </c>
      <c r="F427"/>
    </row>
    <row r="428" spans="4:6" x14ac:dyDescent="0.25">
      <c r="D428" t="str">
        <f t="shared" si="26"/>
        <v/>
      </c>
      <c r="F428"/>
    </row>
    <row r="429" spans="4:6" x14ac:dyDescent="0.25">
      <c r="D429" t="str">
        <f t="shared" si="26"/>
        <v/>
      </c>
      <c r="F429"/>
    </row>
    <row r="430" spans="4:6" x14ac:dyDescent="0.25">
      <c r="D430" t="str">
        <f t="shared" si="26"/>
        <v/>
      </c>
      <c r="F430"/>
    </row>
    <row r="431" spans="4:6" x14ac:dyDescent="0.25">
      <c r="D431" t="str">
        <f t="shared" si="26"/>
        <v/>
      </c>
      <c r="F431"/>
    </row>
    <row r="432" spans="4:6" x14ac:dyDescent="0.25">
      <c r="D432" t="str">
        <f t="shared" si="26"/>
        <v/>
      </c>
      <c r="F432"/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8"/>
  <sheetViews>
    <sheetView workbookViewId="0">
      <selection activeCell="C5" sqref="C5"/>
    </sheetView>
  </sheetViews>
  <sheetFormatPr defaultRowHeight="15" x14ac:dyDescent="0.25"/>
  <cols>
    <col min="1" max="1" width="9.140625" style="28"/>
    <col min="2" max="2" width="9.140625" style="16"/>
    <col min="3" max="3" width="23.7109375" style="16" customWidth="1"/>
    <col min="4" max="4" width="6.7109375" style="16" customWidth="1"/>
    <col min="5" max="5" width="9.140625" style="16"/>
    <col min="6" max="6" width="12.42578125" style="17" customWidth="1"/>
    <col min="7" max="7" width="17.140625" style="51" customWidth="1"/>
    <col min="8" max="16384" width="9.140625" style="16"/>
  </cols>
  <sheetData>
    <row r="1" spans="1:7" ht="23.25" x14ac:dyDescent="0.35">
      <c r="B1" s="28">
        <v>2</v>
      </c>
      <c r="C1" s="46"/>
      <c r="D1" s="46"/>
    </row>
    <row r="2" spans="1:7" x14ac:dyDescent="0.25">
      <c r="A2" s="28">
        <v>2</v>
      </c>
      <c r="B2" s="28"/>
    </row>
    <row r="3" spans="1:7" s="28" customFormat="1" x14ac:dyDescent="0.25">
      <c r="F3" s="50"/>
      <c r="G3" s="32"/>
    </row>
    <row r="4" spans="1:7" x14ac:dyDescent="0.25">
      <c r="B4" s="28"/>
    </row>
    <row r="5" spans="1:7" x14ac:dyDescent="0.25">
      <c r="B5" s="28"/>
    </row>
    <row r="6" spans="1:7" s="41" customFormat="1" ht="21" x14ac:dyDescent="0.35">
      <c r="A6" s="48"/>
      <c r="B6" s="41" t="str">
        <f>'[5]BP-Wom'!B1</f>
        <v xml:space="preserve"> AWPC BP - Europe </v>
      </c>
      <c r="F6" s="42"/>
      <c r="G6" s="52"/>
    </row>
    <row r="8" spans="1:7" s="11" customFormat="1" x14ac:dyDescent="0.25">
      <c r="A8" s="22" t="s">
        <v>0</v>
      </c>
      <c r="B8" s="11">
        <v>0</v>
      </c>
      <c r="C8" s="11">
        <v>13</v>
      </c>
      <c r="D8" s="11" t="str">
        <f>'[5]BP-Wom'!C2</f>
        <v>ДЕВУШКИ (13-15)</v>
      </c>
      <c r="F8" s="13"/>
      <c r="G8" s="30"/>
    </row>
    <row r="9" spans="1:7" x14ac:dyDescent="0.25">
      <c r="A9" s="28">
        <f>'[5]BP-Wom'!A3</f>
        <v>44</v>
      </c>
      <c r="B9" s="16">
        <f>'[5]BP-Wom'!B3</f>
        <v>32.5</v>
      </c>
      <c r="C9" s="16" t="str">
        <f>'[5]BP-Wom'!C3</f>
        <v>Nazemnova Olga/97</v>
      </c>
      <c r="E9" s="16" t="str">
        <f>'[5]BP-Wom'!D3</f>
        <v>RUS</v>
      </c>
      <c r="F9" s="17">
        <f>'[5]BP-Wom'!E3</f>
        <v>40983</v>
      </c>
      <c r="G9" s="51" t="str">
        <f>'[5]BP-Wom'!F3</f>
        <v>Yekaterinbourg</v>
      </c>
    </row>
    <row r="10" spans="1:7" x14ac:dyDescent="0.25">
      <c r="A10" s="28">
        <f>'[5]BP-Wom'!A4</f>
        <v>48</v>
      </c>
      <c r="B10" s="16">
        <f>'[5]BP-Wom'!B4</f>
        <v>75</v>
      </c>
      <c r="C10" s="16" t="str">
        <f>'[5]BP-Wom'!C4</f>
        <v>Dluzhnevskaya Vladislava/2000</v>
      </c>
      <c r="E10" s="16" t="str">
        <f>'[5]BP-Wom'!D4</f>
        <v>RUS</v>
      </c>
      <c r="F10" s="17">
        <f>'[5]BP-Wom'!E4</f>
        <v>41216</v>
      </c>
      <c r="G10" s="51" t="str">
        <f>'[5]BP-Wom'!F4</f>
        <v>Vologda</v>
      </c>
    </row>
    <row r="11" spans="1:7" x14ac:dyDescent="0.25">
      <c r="A11" s="28">
        <f>'[5]BP-Wom'!A5</f>
        <v>52</v>
      </c>
      <c r="B11" s="16">
        <f>'[5]BP-Wom'!B5</f>
        <v>0</v>
      </c>
      <c r="C11" s="16">
        <f>'[5]BP-Wom'!C5</f>
        <v>0</v>
      </c>
      <c r="E11" s="16">
        <f>'[5]BP-Wom'!D5</f>
        <v>0</v>
      </c>
      <c r="F11" s="17">
        <f>'[5]BP-Wom'!E5</f>
        <v>0</v>
      </c>
      <c r="G11" s="51">
        <f>'[5]BP-Wom'!F5</f>
        <v>0</v>
      </c>
    </row>
    <row r="12" spans="1:7" x14ac:dyDescent="0.25">
      <c r="A12" s="28">
        <f>'[5]BP-Wom'!A6</f>
        <v>56</v>
      </c>
      <c r="B12" s="16">
        <f>'[5]BP-Wom'!B6</f>
        <v>0</v>
      </c>
      <c r="C12" s="16">
        <f>'[5]BP-Wom'!C6</f>
        <v>0</v>
      </c>
      <c r="E12" s="16">
        <f>'[5]BP-Wom'!D6</f>
        <v>0</v>
      </c>
      <c r="F12" s="17">
        <f>'[5]BP-Wom'!E6</f>
        <v>0</v>
      </c>
      <c r="G12" s="51">
        <f>'[5]BP-Wom'!F6</f>
        <v>0</v>
      </c>
    </row>
    <row r="13" spans="1:7" x14ac:dyDescent="0.25">
      <c r="A13" s="28">
        <f>'[5]BP-Wom'!A7</f>
        <v>60</v>
      </c>
      <c r="B13" s="16">
        <f>'[5]BP-Wom'!B7</f>
        <v>0</v>
      </c>
      <c r="C13" s="16">
        <f>'[5]BP-Wom'!C7</f>
        <v>0</v>
      </c>
      <c r="E13" s="16">
        <f>'[5]BP-Wom'!D7</f>
        <v>0</v>
      </c>
      <c r="F13" s="17">
        <f>'[5]BP-Wom'!E7</f>
        <v>0</v>
      </c>
      <c r="G13" s="51">
        <f>'[5]BP-Wom'!F7</f>
        <v>0</v>
      </c>
    </row>
    <row r="14" spans="1:7" x14ac:dyDescent="0.25">
      <c r="A14" s="28">
        <f>'[5]BP-Wom'!A8</f>
        <v>67.5</v>
      </c>
      <c r="B14" s="16">
        <f>'[5]BP-Wom'!B8</f>
        <v>0</v>
      </c>
      <c r="C14" s="16">
        <f>'[5]BP-Wom'!C8</f>
        <v>0</v>
      </c>
      <c r="E14" s="16">
        <f>'[5]BP-Wom'!D8</f>
        <v>0</v>
      </c>
      <c r="F14" s="17">
        <f>'[5]BP-Wom'!E8</f>
        <v>0</v>
      </c>
      <c r="G14" s="51">
        <f>'[5]BP-Wom'!F8</f>
        <v>0</v>
      </c>
    </row>
    <row r="15" spans="1:7" x14ac:dyDescent="0.25">
      <c r="A15" s="28">
        <f>'[5]BP-Wom'!A9</f>
        <v>75</v>
      </c>
      <c r="B15" s="16">
        <f>'[5]BP-Wom'!B9</f>
        <v>0</v>
      </c>
      <c r="C15" s="16">
        <f>'[5]BP-Wom'!C9</f>
        <v>0</v>
      </c>
      <c r="E15" s="16">
        <f>'[5]BP-Wom'!D9</f>
        <v>0</v>
      </c>
      <c r="F15" s="17">
        <f>'[5]BP-Wom'!E9</f>
        <v>0</v>
      </c>
      <c r="G15" s="51">
        <f>'[5]BP-Wom'!F9</f>
        <v>0</v>
      </c>
    </row>
    <row r="16" spans="1:7" x14ac:dyDescent="0.25">
      <c r="A16" s="28">
        <f>'[5]BP-Wom'!A10</f>
        <v>82.5</v>
      </c>
      <c r="B16" s="16">
        <f>'[5]BP-Wom'!B10</f>
        <v>0</v>
      </c>
      <c r="C16" s="16">
        <f>'[5]BP-Wom'!C10</f>
        <v>0</v>
      </c>
      <c r="E16" s="16">
        <f>'[5]BP-Wom'!D10</f>
        <v>0</v>
      </c>
      <c r="F16" s="17">
        <f>'[5]BP-Wom'!E10</f>
        <v>0</v>
      </c>
      <c r="G16" s="51">
        <f>'[5]BP-Wom'!F10</f>
        <v>0</v>
      </c>
    </row>
    <row r="17" spans="1:7" x14ac:dyDescent="0.25">
      <c r="A17" s="28">
        <f>'[5]BP-Wom'!A11</f>
        <v>90</v>
      </c>
      <c r="B17" s="16">
        <f>'[5]BP-Wom'!B11</f>
        <v>0</v>
      </c>
      <c r="C17" s="16">
        <f>'[5]BP-Wom'!C11</f>
        <v>0</v>
      </c>
      <c r="E17" s="16">
        <f>'[5]BP-Wom'!D11</f>
        <v>0</v>
      </c>
      <c r="F17" s="17">
        <f>'[5]BP-Wom'!E11</f>
        <v>0</v>
      </c>
      <c r="G17" s="51">
        <f>'[5]BP-Wom'!F11</f>
        <v>0</v>
      </c>
    </row>
    <row r="18" spans="1:7" x14ac:dyDescent="0.25">
      <c r="A18" s="28" t="str">
        <f>'[5]BP-Wom'!A12</f>
        <v>90+</v>
      </c>
      <c r="B18" s="16">
        <f>'[5]BP-Wom'!B12</f>
        <v>0</v>
      </c>
      <c r="C18" s="16">
        <f>'[5]BP-Wom'!C12</f>
        <v>0</v>
      </c>
      <c r="E18" s="16">
        <f>'[5]BP-Wom'!D12</f>
        <v>0</v>
      </c>
      <c r="F18" s="17">
        <f>'[5]BP-Wom'!E12</f>
        <v>0</v>
      </c>
      <c r="G18" s="51">
        <f>'[5]BP-Wom'!F12</f>
        <v>0</v>
      </c>
    </row>
    <row r="20" spans="1:7" s="11" customFormat="1" x14ac:dyDescent="0.25">
      <c r="A20" s="22" t="s">
        <v>0</v>
      </c>
      <c r="B20" s="11">
        <v>0</v>
      </c>
      <c r="C20" s="11">
        <v>16</v>
      </c>
      <c r="D20" s="11" t="str">
        <f>'[5]BP-Wom'!C13</f>
        <v>ДЕВУШКИ (16-17)</v>
      </c>
      <c r="F20" s="13"/>
      <c r="G20" s="30"/>
    </row>
    <row r="21" spans="1:7" x14ac:dyDescent="0.25">
      <c r="A21" s="28">
        <f>'[5]BP-Wom'!A14</f>
        <v>44</v>
      </c>
      <c r="B21" s="16">
        <f>'[5]BP-Wom'!B14</f>
        <v>0</v>
      </c>
      <c r="C21" s="16">
        <f>'[5]BP-Wom'!C14</f>
        <v>0</v>
      </c>
      <c r="E21" s="16">
        <f>'[5]BP-Wom'!D14</f>
        <v>0</v>
      </c>
      <c r="F21" s="17">
        <f>'[5]BP-Wom'!E14</f>
        <v>0</v>
      </c>
      <c r="G21" s="51">
        <f>'[5]BP-Wom'!F14</f>
        <v>0</v>
      </c>
    </row>
    <row r="22" spans="1:7" x14ac:dyDescent="0.25">
      <c r="A22" s="28">
        <f>'[5]BP-Wom'!A15</f>
        <v>48</v>
      </c>
      <c r="B22" s="16">
        <f>'[5]BP-Wom'!B15</f>
        <v>0</v>
      </c>
      <c r="C22" s="16">
        <f>'[5]BP-Wom'!C15</f>
        <v>0</v>
      </c>
      <c r="E22" s="16">
        <f>'[5]BP-Wom'!D15</f>
        <v>0</v>
      </c>
      <c r="F22" s="17">
        <f>'[5]BP-Wom'!E15</f>
        <v>0</v>
      </c>
      <c r="G22" s="51">
        <f>'[5]BP-Wom'!F15</f>
        <v>0</v>
      </c>
    </row>
    <row r="23" spans="1:7" x14ac:dyDescent="0.25">
      <c r="A23" s="28">
        <f>'[5]BP-Wom'!A16</f>
        <v>52</v>
      </c>
      <c r="B23" s="16">
        <f>'[5]BP-Wom'!B16</f>
        <v>55</v>
      </c>
      <c r="C23" s="16" t="str">
        <f>'[5]BP-Wom'!C16</f>
        <v>Reutova Nadezhda/93</v>
      </c>
      <c r="E23" s="16" t="str">
        <f>'[5]BP-Wom'!D16</f>
        <v>RUS</v>
      </c>
      <c r="F23" s="17">
        <f>'[5]BP-Wom'!E16</f>
        <v>39873</v>
      </c>
      <c r="G23" s="51" t="str">
        <f>'[5]BP-Wom'!F16</f>
        <v>Chelyabinsk</v>
      </c>
    </row>
    <row r="24" spans="1:7" x14ac:dyDescent="0.25">
      <c r="A24" s="28">
        <f>'[5]BP-Wom'!A17</f>
        <v>56</v>
      </c>
      <c r="B24" s="16">
        <f>'[5]BP-Wom'!B17</f>
        <v>77.5</v>
      </c>
      <c r="C24" s="16" t="str">
        <f>'[5]BP-Wom'!C17</f>
        <v>Blinkova Natalya/92</v>
      </c>
      <c r="E24" s="16" t="str">
        <f>'[5]BP-Wom'!D17</f>
        <v>RUS</v>
      </c>
      <c r="F24" s="17">
        <f>'[5]BP-Wom'!E17</f>
        <v>40258</v>
      </c>
      <c r="G24" s="51" t="str">
        <f>'[5]BP-Wom'!F17</f>
        <v>Kursk</v>
      </c>
    </row>
    <row r="25" spans="1:7" x14ac:dyDescent="0.25">
      <c r="A25" s="28">
        <f>'[5]BP-Wom'!A18</f>
        <v>60</v>
      </c>
      <c r="B25" s="16">
        <f>'[5]BP-Wom'!B18</f>
        <v>0</v>
      </c>
      <c r="C25" s="16">
        <f>'[5]BP-Wom'!C18</f>
        <v>0</v>
      </c>
      <c r="E25" s="16">
        <f>'[5]BP-Wom'!D18</f>
        <v>0</v>
      </c>
      <c r="F25" s="17">
        <f>'[5]BP-Wom'!E18</f>
        <v>0</v>
      </c>
      <c r="G25" s="51">
        <f>'[5]BP-Wom'!F18</f>
        <v>0</v>
      </c>
    </row>
    <row r="26" spans="1:7" x14ac:dyDescent="0.25">
      <c r="A26" s="28">
        <f>'[5]BP-Wom'!A19</f>
        <v>67.5</v>
      </c>
      <c r="B26" s="16">
        <f>'[5]BP-Wom'!B19</f>
        <v>0</v>
      </c>
      <c r="C26" s="16">
        <f>'[5]BP-Wom'!C19</f>
        <v>0</v>
      </c>
      <c r="E26" s="16">
        <f>'[5]BP-Wom'!D19</f>
        <v>0</v>
      </c>
      <c r="F26" s="17">
        <f>'[5]BP-Wom'!E19</f>
        <v>0</v>
      </c>
      <c r="G26" s="51">
        <f>'[5]BP-Wom'!F19</f>
        <v>0</v>
      </c>
    </row>
    <row r="27" spans="1:7" x14ac:dyDescent="0.25">
      <c r="A27" s="28">
        <f>'[5]BP-Wom'!A20</f>
        <v>75</v>
      </c>
      <c r="B27" s="16">
        <f>'[5]BP-Wom'!B20</f>
        <v>0</v>
      </c>
      <c r="C27" s="16">
        <f>'[5]BP-Wom'!C20</f>
        <v>0</v>
      </c>
      <c r="E27" s="16">
        <f>'[5]BP-Wom'!D20</f>
        <v>0</v>
      </c>
      <c r="F27" s="17">
        <f>'[5]BP-Wom'!E20</f>
        <v>0</v>
      </c>
      <c r="G27" s="51">
        <f>'[5]BP-Wom'!F20</f>
        <v>0</v>
      </c>
    </row>
    <row r="28" spans="1:7" x14ac:dyDescent="0.25">
      <c r="A28" s="28">
        <f>'[5]BP-Wom'!A21</f>
        <v>82.5</v>
      </c>
      <c r="B28" s="16">
        <f>'[5]BP-Wom'!B21</f>
        <v>0</v>
      </c>
      <c r="C28" s="16">
        <f>'[5]BP-Wom'!C21</f>
        <v>0</v>
      </c>
      <c r="E28" s="16">
        <f>'[5]BP-Wom'!D21</f>
        <v>0</v>
      </c>
      <c r="F28" s="17">
        <f>'[5]BP-Wom'!E21</f>
        <v>0</v>
      </c>
      <c r="G28" s="51">
        <f>'[5]BP-Wom'!F21</f>
        <v>0</v>
      </c>
    </row>
    <row r="29" spans="1:7" x14ac:dyDescent="0.25">
      <c r="A29" s="28">
        <f>'[5]BP-Wom'!A22</f>
        <v>90</v>
      </c>
      <c r="B29" s="16">
        <f>'[5]BP-Wom'!B22</f>
        <v>0</v>
      </c>
      <c r="C29" s="16">
        <f>'[5]BP-Wom'!C22</f>
        <v>0</v>
      </c>
      <c r="E29" s="16">
        <f>'[5]BP-Wom'!D22</f>
        <v>0</v>
      </c>
      <c r="F29" s="17">
        <f>'[5]BP-Wom'!E22</f>
        <v>0</v>
      </c>
      <c r="G29" s="51">
        <f>'[5]BP-Wom'!F22</f>
        <v>0</v>
      </c>
    </row>
    <row r="30" spans="1:7" x14ac:dyDescent="0.25">
      <c r="A30" s="28" t="str">
        <f>'[5]BP-Wom'!A23</f>
        <v>90+</v>
      </c>
      <c r="B30" s="16">
        <f>'[5]BP-Wom'!B23</f>
        <v>0</v>
      </c>
      <c r="C30" s="16">
        <f>'[5]BP-Wom'!C23</f>
        <v>0</v>
      </c>
      <c r="E30" s="16">
        <f>'[5]BP-Wom'!D23</f>
        <v>0</v>
      </c>
      <c r="F30" s="17">
        <f>'[5]BP-Wom'!E23</f>
        <v>0</v>
      </c>
      <c r="G30" s="51">
        <f>'[5]BP-Wom'!F23</f>
        <v>0</v>
      </c>
    </row>
    <row r="32" spans="1:7" s="11" customFormat="1" x14ac:dyDescent="0.25">
      <c r="A32" s="22" t="s">
        <v>0</v>
      </c>
      <c r="B32" s="11">
        <v>0</v>
      </c>
      <c r="C32" s="11">
        <v>18</v>
      </c>
      <c r="D32" s="11" t="str">
        <f>'[5]BP-Wom'!C24</f>
        <v>ДЕВУШКИ  (18 - 19)</v>
      </c>
      <c r="F32" s="13"/>
      <c r="G32" s="30"/>
    </row>
    <row r="33" spans="1:7" x14ac:dyDescent="0.25">
      <c r="A33" s="28">
        <f>'[5]BP-Wom'!A25</f>
        <v>44</v>
      </c>
      <c r="B33" s="16">
        <f>'[5]BP-Wom'!B25</f>
        <v>0</v>
      </c>
      <c r="C33" s="16">
        <f>'[5]BP-Wom'!C25</f>
        <v>0</v>
      </c>
      <c r="E33" s="16">
        <f>'[5]BP-Wom'!D25</f>
        <v>0</v>
      </c>
      <c r="F33" s="17">
        <f>'[5]BP-Wom'!E25</f>
        <v>0</v>
      </c>
      <c r="G33" s="51">
        <f>'[5]BP-Wom'!F25</f>
        <v>0</v>
      </c>
    </row>
    <row r="34" spans="1:7" x14ac:dyDescent="0.25">
      <c r="A34" s="28">
        <f>'[5]BP-Wom'!A26</f>
        <v>48</v>
      </c>
      <c r="B34" s="16">
        <f>'[5]BP-Wom'!B26</f>
        <v>72.5</v>
      </c>
      <c r="C34" s="16" t="str">
        <f>'[5]BP-Wom'!C26</f>
        <v>Dudyreva Irina/90</v>
      </c>
      <c r="E34" s="16" t="str">
        <f>'[5]BP-Wom'!D26</f>
        <v>RUS</v>
      </c>
      <c r="F34" s="17">
        <f>'[5]BP-Wom'!E26</f>
        <v>40258</v>
      </c>
      <c r="G34" s="51" t="str">
        <f>'[5]BP-Wom'!F26</f>
        <v>Kursk</v>
      </c>
    </row>
    <row r="35" spans="1:7" x14ac:dyDescent="0.25">
      <c r="A35" s="28">
        <f>'[5]BP-Wom'!A27</f>
        <v>52</v>
      </c>
      <c r="B35" s="16">
        <f>'[5]BP-Wom'!B27</f>
        <v>0</v>
      </c>
      <c r="C35" s="16">
        <f>'[5]BP-Wom'!C27</f>
        <v>0</v>
      </c>
      <c r="E35" s="16">
        <f>'[5]BP-Wom'!D27</f>
        <v>0</v>
      </c>
      <c r="F35" s="17">
        <f>'[5]BP-Wom'!E27</f>
        <v>0</v>
      </c>
      <c r="G35" s="51">
        <f>'[5]BP-Wom'!F27</f>
        <v>0</v>
      </c>
    </row>
    <row r="36" spans="1:7" x14ac:dyDescent="0.25">
      <c r="A36" s="28">
        <f>'[5]BP-Wom'!A28</f>
        <v>56</v>
      </c>
      <c r="B36" s="16">
        <f>'[5]BP-Wom'!B28</f>
        <v>75</v>
      </c>
      <c r="C36" s="16" t="str">
        <f>'[5]BP-Wom'!C28</f>
        <v>Blinkova Natalya/92</v>
      </c>
      <c r="E36" s="16" t="str">
        <f>'[5]BP-Wom'!D28</f>
        <v>RUS</v>
      </c>
      <c r="F36" s="17">
        <f>'[5]BP-Wom'!E28</f>
        <v>40523</v>
      </c>
      <c r="G36" s="51" t="str">
        <f>'[5]BP-Wom'!F28</f>
        <v>Kursk</v>
      </c>
    </row>
    <row r="37" spans="1:7" x14ac:dyDescent="0.25">
      <c r="A37" s="28">
        <f>'[5]BP-Wom'!A29</f>
        <v>60</v>
      </c>
      <c r="B37" s="16">
        <f>'[5]BP-Wom'!B29</f>
        <v>87.5</v>
      </c>
      <c r="C37" s="16" t="str">
        <f>'[5]BP-Wom'!C29</f>
        <v>Berezenko Mariya/89</v>
      </c>
      <c r="E37" s="16" t="str">
        <f>'[5]BP-Wom'!D29</f>
        <v>RUS</v>
      </c>
      <c r="F37" s="17">
        <f>'[5]BP-Wom'!E29</f>
        <v>39872</v>
      </c>
      <c r="G37" s="51" t="str">
        <f>'[5]BP-Wom'!F29</f>
        <v>Chelyabinsk</v>
      </c>
    </row>
    <row r="38" spans="1:7" x14ac:dyDescent="0.25">
      <c r="A38" s="28">
        <f>'[5]BP-Wom'!A30</f>
        <v>67.5</v>
      </c>
      <c r="B38" s="16">
        <f>'[5]BP-Wom'!B30</f>
        <v>0</v>
      </c>
      <c r="C38" s="16">
        <f>'[5]BP-Wom'!C30</f>
        <v>0</v>
      </c>
      <c r="E38" s="16">
        <f>'[5]BP-Wom'!D30</f>
        <v>0</v>
      </c>
      <c r="F38" s="17">
        <f>'[5]BP-Wom'!E30</f>
        <v>0</v>
      </c>
      <c r="G38" s="51">
        <f>'[5]BP-Wom'!F30</f>
        <v>0</v>
      </c>
    </row>
    <row r="39" spans="1:7" x14ac:dyDescent="0.25">
      <c r="A39" s="28">
        <f>'[5]BP-Wom'!A31</f>
        <v>75</v>
      </c>
      <c r="B39" s="16">
        <f>'[5]BP-Wom'!B31</f>
        <v>0</v>
      </c>
      <c r="C39" s="16">
        <f>'[5]BP-Wom'!C31</f>
        <v>0</v>
      </c>
      <c r="E39" s="16">
        <f>'[5]BP-Wom'!D31</f>
        <v>0</v>
      </c>
      <c r="F39" s="17">
        <f>'[5]BP-Wom'!E31</f>
        <v>0</v>
      </c>
      <c r="G39" s="51">
        <f>'[5]BP-Wom'!F31</f>
        <v>0</v>
      </c>
    </row>
    <row r="40" spans="1:7" x14ac:dyDescent="0.25">
      <c r="A40" s="28">
        <f>'[5]BP-Wom'!A32</f>
        <v>82.5</v>
      </c>
      <c r="B40" s="16">
        <f>'[5]BP-Wom'!B32</f>
        <v>0</v>
      </c>
      <c r="C40" s="16">
        <f>'[5]BP-Wom'!C32</f>
        <v>0</v>
      </c>
      <c r="E40" s="16">
        <f>'[5]BP-Wom'!D32</f>
        <v>0</v>
      </c>
      <c r="F40" s="17">
        <f>'[5]BP-Wom'!E32</f>
        <v>0</v>
      </c>
      <c r="G40" s="51">
        <f>'[5]BP-Wom'!F32</f>
        <v>0</v>
      </c>
    </row>
    <row r="41" spans="1:7" x14ac:dyDescent="0.25">
      <c r="A41" s="28">
        <f>'[5]BP-Wom'!A33</f>
        <v>90</v>
      </c>
      <c r="B41" s="16">
        <f>'[5]BP-Wom'!B33</f>
        <v>0</v>
      </c>
      <c r="C41" s="16">
        <f>'[5]BP-Wom'!C33</f>
        <v>0</v>
      </c>
      <c r="E41" s="16">
        <f>'[5]BP-Wom'!D33</f>
        <v>0</v>
      </c>
      <c r="F41" s="17">
        <f>'[5]BP-Wom'!E33</f>
        <v>0</v>
      </c>
      <c r="G41" s="51">
        <f>'[5]BP-Wom'!F33</f>
        <v>0</v>
      </c>
    </row>
    <row r="42" spans="1:7" x14ac:dyDescent="0.25">
      <c r="A42" s="28" t="str">
        <f>'[5]BP-Wom'!A34</f>
        <v>90+</v>
      </c>
      <c r="B42" s="16">
        <f>'[5]BP-Wom'!B34</f>
        <v>0</v>
      </c>
      <c r="C42" s="16">
        <f>'[5]BP-Wom'!C34</f>
        <v>0</v>
      </c>
      <c r="E42" s="16">
        <f>'[5]BP-Wom'!D34</f>
        <v>0</v>
      </c>
      <c r="F42" s="17">
        <f>'[5]BP-Wom'!E34</f>
        <v>0</v>
      </c>
      <c r="G42" s="51">
        <f>'[5]BP-Wom'!F34</f>
        <v>0</v>
      </c>
    </row>
    <row r="44" spans="1:7" s="11" customFormat="1" x14ac:dyDescent="0.25">
      <c r="A44" s="22" t="s">
        <v>0</v>
      </c>
      <c r="B44" s="11">
        <v>0</v>
      </c>
      <c r="C44" s="11">
        <v>20</v>
      </c>
      <c r="D44" s="11" t="str">
        <f>'[5]BP-Wom'!C35</f>
        <v>ЮНИОРКИ  (20 - 23)</v>
      </c>
      <c r="F44" s="13"/>
      <c r="G44" s="30"/>
    </row>
    <row r="45" spans="1:7" x14ac:dyDescent="0.25">
      <c r="A45" s="28">
        <f>'[5]BP-Wom'!A36</f>
        <v>44</v>
      </c>
      <c r="B45" s="16">
        <f>'[5]BP-Wom'!B36</f>
        <v>0</v>
      </c>
      <c r="C45" s="16">
        <f>'[5]BP-Wom'!C36</f>
        <v>0</v>
      </c>
      <c r="E45" s="16">
        <f>'[5]BP-Wom'!D36</f>
        <v>0</v>
      </c>
      <c r="F45" s="17">
        <f>'[5]BP-Wom'!E36</f>
        <v>0</v>
      </c>
      <c r="G45" s="51">
        <f>'[5]BP-Wom'!F36</f>
        <v>0</v>
      </c>
    </row>
    <row r="46" spans="1:7" x14ac:dyDescent="0.25">
      <c r="A46" s="28">
        <f>'[5]BP-Wom'!A37</f>
        <v>48</v>
      </c>
      <c r="B46" s="16">
        <f>'[5]BP-Wom'!B37</f>
        <v>80</v>
      </c>
      <c r="C46" s="16" t="str">
        <f>'[5]BP-Wom'!C37</f>
        <v>Dudyreva Irina/90</v>
      </c>
      <c r="E46" s="16" t="str">
        <f>'[5]BP-Wom'!D37</f>
        <v>RUS</v>
      </c>
      <c r="F46" s="17">
        <f>'[5]BP-Wom'!E37</f>
        <v>40409</v>
      </c>
      <c r="G46" s="51" t="str">
        <f>'[5]BP-Wom'!F37</f>
        <v>Moscow</v>
      </c>
    </row>
    <row r="47" spans="1:7" x14ac:dyDescent="0.25">
      <c r="A47" s="28">
        <f>'[5]BP-Wom'!A38</f>
        <v>52</v>
      </c>
      <c r="B47" s="16">
        <f>'[5]BP-Wom'!B38</f>
        <v>85</v>
      </c>
      <c r="C47" s="16" t="str">
        <f>'[5]BP-Wom'!C38</f>
        <v>Blinkova Natalya/92</v>
      </c>
      <c r="E47" s="16" t="str">
        <f>'[5]BP-Wom'!D38</f>
        <v>RUS</v>
      </c>
      <c r="F47" s="17">
        <f>'[5]BP-Wom'!E38</f>
        <v>41129</v>
      </c>
      <c r="G47" s="51" t="str">
        <f>'[5]BP-Wom'!F38</f>
        <v>Kryvyi Rig</v>
      </c>
    </row>
    <row r="48" spans="1:7" x14ac:dyDescent="0.25">
      <c r="A48" s="28">
        <f>'[5]BP-Wom'!A39</f>
        <v>56</v>
      </c>
      <c r="B48" s="16">
        <f>'[5]BP-Wom'!B39</f>
        <v>97.5</v>
      </c>
      <c r="C48" s="16" t="str">
        <f>'[5]BP-Wom'!C39</f>
        <v>Berezenko Mariya/89</v>
      </c>
      <c r="E48" s="16" t="str">
        <f>'[5]BP-Wom'!D39</f>
        <v>RUS</v>
      </c>
      <c r="F48" s="17">
        <f>'[5]BP-Wom'!E39</f>
        <v>40983</v>
      </c>
      <c r="G48" s="51" t="str">
        <f>'[5]BP-Wom'!F39</f>
        <v>Yekaterinbourg</v>
      </c>
    </row>
    <row r="49" spans="1:7" x14ac:dyDescent="0.25">
      <c r="A49" s="28">
        <f>'[5]BP-Wom'!A40</f>
        <v>60</v>
      </c>
      <c r="B49" s="16">
        <f>'[5]BP-Wom'!B40</f>
        <v>70</v>
      </c>
      <c r="C49" s="16" t="str">
        <f>'[5]BP-Wom'!C40</f>
        <v>Morozova Irina</v>
      </c>
      <c r="E49" s="16" t="str">
        <f>'[5]BP-Wom'!D40</f>
        <v>RUS</v>
      </c>
      <c r="F49" s="17">
        <f>'[5]BP-Wom'!E40</f>
        <v>39424</v>
      </c>
      <c r="G49" s="51" t="str">
        <f>'[5]BP-Wom'!F40</f>
        <v>Kursk</v>
      </c>
    </row>
    <row r="50" spans="1:7" x14ac:dyDescent="0.25">
      <c r="A50" s="28">
        <f>'[5]BP-Wom'!A41</f>
        <v>67.5</v>
      </c>
      <c r="B50" s="16">
        <f>'[5]BP-Wom'!B41</f>
        <v>0</v>
      </c>
      <c r="C50" s="16">
        <f>'[5]BP-Wom'!C41</f>
        <v>0</v>
      </c>
      <c r="E50" s="16">
        <f>'[5]BP-Wom'!D41</f>
        <v>0</v>
      </c>
      <c r="F50" s="17">
        <f>'[5]BP-Wom'!E41</f>
        <v>0</v>
      </c>
      <c r="G50" s="51">
        <f>'[5]BP-Wom'!F41</f>
        <v>0</v>
      </c>
    </row>
    <row r="51" spans="1:7" x14ac:dyDescent="0.25">
      <c r="A51" s="28">
        <f>'[5]BP-Wom'!A42</f>
        <v>75</v>
      </c>
      <c r="B51" s="16">
        <f>'[5]BP-Wom'!B42</f>
        <v>0</v>
      </c>
      <c r="C51" s="16">
        <f>'[5]BP-Wom'!C42</f>
        <v>0</v>
      </c>
      <c r="E51" s="16">
        <f>'[5]BP-Wom'!D42</f>
        <v>0</v>
      </c>
      <c r="F51" s="17">
        <f>'[5]BP-Wom'!E42</f>
        <v>0</v>
      </c>
      <c r="G51" s="51">
        <f>'[5]BP-Wom'!F42</f>
        <v>0</v>
      </c>
    </row>
    <row r="52" spans="1:7" x14ac:dyDescent="0.25">
      <c r="A52" s="28">
        <f>'[5]BP-Wom'!A43</f>
        <v>82.5</v>
      </c>
      <c r="B52" s="16">
        <f>'[5]BP-Wom'!B43</f>
        <v>0</v>
      </c>
      <c r="C52" s="16">
        <f>'[5]BP-Wom'!C43</f>
        <v>0</v>
      </c>
      <c r="E52" s="16">
        <f>'[5]BP-Wom'!D43</f>
        <v>0</v>
      </c>
      <c r="F52" s="17">
        <f>'[5]BP-Wom'!E43</f>
        <v>0</v>
      </c>
      <c r="G52" s="51">
        <f>'[5]BP-Wom'!F43</f>
        <v>0</v>
      </c>
    </row>
    <row r="53" spans="1:7" x14ac:dyDescent="0.25">
      <c r="A53" s="28">
        <f>'[5]BP-Wom'!A44</f>
        <v>90</v>
      </c>
      <c r="B53" s="16">
        <f>'[5]BP-Wom'!B44</f>
        <v>0</v>
      </c>
      <c r="C53" s="16">
        <f>'[5]BP-Wom'!C44</f>
        <v>0</v>
      </c>
      <c r="E53" s="16">
        <f>'[5]BP-Wom'!D44</f>
        <v>0</v>
      </c>
      <c r="F53" s="17">
        <f>'[5]BP-Wom'!E44</f>
        <v>0</v>
      </c>
      <c r="G53" s="51">
        <f>'[5]BP-Wom'!F44</f>
        <v>0</v>
      </c>
    </row>
    <row r="54" spans="1:7" x14ac:dyDescent="0.25">
      <c r="A54" s="28" t="str">
        <f>'[5]BP-Wom'!A45</f>
        <v>90+</v>
      </c>
      <c r="B54" s="16">
        <f>'[5]BP-Wom'!B45</f>
        <v>0</v>
      </c>
      <c r="C54" s="16">
        <f>'[5]BP-Wom'!C45</f>
        <v>0</v>
      </c>
      <c r="E54" s="16">
        <f>'[5]BP-Wom'!D45</f>
        <v>0</v>
      </c>
      <c r="F54" s="17">
        <f>'[5]BP-Wom'!E45</f>
        <v>0</v>
      </c>
      <c r="G54" s="51">
        <f>'[5]BP-Wom'!F45</f>
        <v>0</v>
      </c>
    </row>
    <row r="56" spans="1:7" s="11" customFormat="1" x14ac:dyDescent="0.25">
      <c r="A56" s="22" t="s">
        <v>0</v>
      </c>
      <c r="B56" s="11">
        <v>0</v>
      </c>
      <c r="C56" s="11">
        <v>-2</v>
      </c>
      <c r="D56" s="11" t="str">
        <f>'[5]BP-Wom'!C46</f>
        <v>ЖЕНЩИНЫ</v>
      </c>
      <c r="F56" s="13"/>
      <c r="G56" s="30"/>
    </row>
    <row r="57" spans="1:7" x14ac:dyDescent="0.25">
      <c r="A57" s="28">
        <f>'[5]BP-Wom'!A47</f>
        <v>44</v>
      </c>
      <c r="B57" s="16">
        <f>'[5]BP-Wom'!B47</f>
        <v>40</v>
      </c>
      <c r="C57" s="16" t="str">
        <f>'[5]BP-Wom'!C47</f>
        <v>Gamayunova Anna/86</v>
      </c>
      <c r="E57" s="16" t="str">
        <f>'[5]BP-Wom'!D47</f>
        <v>RUS</v>
      </c>
      <c r="F57" s="17">
        <f>'[5]BP-Wom'!E47</f>
        <v>40816</v>
      </c>
      <c r="G57" s="51" t="str">
        <f>'[5]BP-Wom'!F47</f>
        <v>Yekaterinbourg</v>
      </c>
    </row>
    <row r="58" spans="1:7" x14ac:dyDescent="0.25">
      <c r="A58" s="28">
        <f>'[5]BP-Wom'!A48</f>
        <v>48</v>
      </c>
      <c r="B58" s="16">
        <f>'[5]BP-Wom'!B48</f>
        <v>87.5</v>
      </c>
      <c r="C58" s="16" t="str">
        <f>'[5]BP-Wom'!C48</f>
        <v>Sergienko Anastasiya/87</v>
      </c>
      <c r="E58" s="16" t="str">
        <f>'[5]BP-Wom'!D48</f>
        <v>RUS</v>
      </c>
      <c r="F58" s="17" t="str">
        <f>'[5]BP-Wom'!E48</f>
        <v>23.08.2014</v>
      </c>
      <c r="G58" s="51" t="str">
        <f>'[5]BP-Wom'!F48</f>
        <v>Moscow</v>
      </c>
    </row>
    <row r="59" spans="1:7" x14ac:dyDescent="0.25">
      <c r="A59" s="28">
        <f>'[5]BP-Wom'!A49</f>
        <v>52</v>
      </c>
      <c r="B59" s="16">
        <f>'[5]BP-Wom'!B49</f>
        <v>110</v>
      </c>
      <c r="C59" s="16" t="str">
        <f>'[5]BP-Wom'!C49</f>
        <v>Antipova Agnessa/81</v>
      </c>
      <c r="E59" s="16" t="str">
        <f>'[5]BP-Wom'!D49</f>
        <v>RUS</v>
      </c>
      <c r="F59" s="17">
        <f>'[5]BP-Wom'!E49</f>
        <v>40816</v>
      </c>
      <c r="G59" s="51" t="str">
        <f>'[5]BP-Wom'!F49</f>
        <v>Yekaterinbourg</v>
      </c>
    </row>
    <row r="60" spans="1:7" x14ac:dyDescent="0.25">
      <c r="A60" s="28">
        <f>'[5]BP-Wom'!A50</f>
        <v>56</v>
      </c>
      <c r="B60" s="16">
        <f>'[5]BP-Wom'!B50</f>
        <v>112.5</v>
      </c>
      <c r="C60" s="16" t="str">
        <f>'[5]BP-Wom'!C50</f>
        <v>Konoval Anna/84</v>
      </c>
      <c r="E60" s="16" t="str">
        <f>'[5]BP-Wom'!D50</f>
        <v>UKR</v>
      </c>
      <c r="F60" s="17">
        <f>'[5]BP-Wom'!E50</f>
        <v>41496</v>
      </c>
      <c r="G60" s="51" t="str">
        <f>'[5]BP-Wom'!F50</f>
        <v>Kursk</v>
      </c>
    </row>
    <row r="61" spans="1:7" x14ac:dyDescent="0.25">
      <c r="A61" s="28">
        <f>'[5]BP-Wom'!A51</f>
        <v>60</v>
      </c>
      <c r="B61" s="16">
        <f>'[5]BP-Wom'!B51</f>
        <v>92.5</v>
      </c>
      <c r="C61" s="16" t="str">
        <f>'[5]BP-Wom'!C51</f>
        <v>Zagrebina Natalya/77</v>
      </c>
      <c r="E61" s="16" t="str">
        <f>'[5]BP-Wom'!D51</f>
        <v>RUS</v>
      </c>
      <c r="F61" s="17">
        <f>'[5]BP-Wom'!E51</f>
        <v>41619</v>
      </c>
      <c r="G61" s="51" t="str">
        <f>'[5]BP-Wom'!F51</f>
        <v>Kursk</v>
      </c>
    </row>
    <row r="62" spans="1:7" x14ac:dyDescent="0.25">
      <c r="A62" s="28">
        <f>'[5]BP-Wom'!A52</f>
        <v>67.5</v>
      </c>
      <c r="B62" s="16">
        <f>'[5]BP-Wom'!B52</f>
        <v>140</v>
      </c>
      <c r="C62" s="16" t="str">
        <f>'[5]BP-Wom'!C52</f>
        <v>Medvedeva Yuliya/79</v>
      </c>
      <c r="E62" s="16" t="str">
        <f>'[5]BP-Wom'!D52</f>
        <v>RUS</v>
      </c>
      <c r="F62" s="17">
        <f>'[5]BP-Wom'!E52</f>
        <v>40034</v>
      </c>
      <c r="G62" s="51" t="str">
        <f>'[5]BP-Wom'!F52</f>
        <v>Kursk</v>
      </c>
    </row>
    <row r="63" spans="1:7" x14ac:dyDescent="0.25">
      <c r="A63" s="28">
        <f>'[5]BP-Wom'!A53</f>
        <v>75</v>
      </c>
      <c r="B63" s="16">
        <f>'[5]BP-Wom'!B53</f>
        <v>120</v>
      </c>
      <c r="C63" s="16" t="str">
        <f>'[5]BP-Wom'!C53</f>
        <v>Sinachyova Svetlana/66</v>
      </c>
      <c r="E63" s="16" t="str">
        <f>'[5]BP-Wom'!D53</f>
        <v>RUS</v>
      </c>
      <c r="F63" s="17">
        <f>'[5]BP-Wom'!E53</f>
        <v>39724</v>
      </c>
      <c r="G63" s="51" t="str">
        <f>'[5]BP-Wom'!F53</f>
        <v>Lauchhammer</v>
      </c>
    </row>
    <row r="64" spans="1:7" x14ac:dyDescent="0.25">
      <c r="A64" s="28">
        <f>'[5]BP-Wom'!A54</f>
        <v>82.5</v>
      </c>
      <c r="B64" s="16">
        <f>'[5]BP-Wom'!B54</f>
        <v>130</v>
      </c>
      <c r="C64" s="16" t="str">
        <f>'[5]BP-Wom'!C54</f>
        <v>Bako Natalya/73</v>
      </c>
      <c r="E64" s="16" t="str">
        <f>'[5]BP-Wom'!D54</f>
        <v>RUS</v>
      </c>
      <c r="F64" s="17">
        <f>'[5]BP-Wom'!E54</f>
        <v>40025</v>
      </c>
      <c r="G64" s="51" t="str">
        <f>'[5]BP-Wom'!F54</f>
        <v>West Palm Beach</v>
      </c>
    </row>
    <row r="65" spans="1:7" x14ac:dyDescent="0.25">
      <c r="A65" s="28">
        <f>'[5]BP-Wom'!A55</f>
        <v>90</v>
      </c>
      <c r="B65" s="16">
        <f>'[5]BP-Wom'!B55</f>
        <v>0</v>
      </c>
      <c r="C65" s="16">
        <f>'[5]BP-Wom'!C55</f>
        <v>0</v>
      </c>
      <c r="E65" s="16">
        <f>'[5]BP-Wom'!D55</f>
        <v>0</v>
      </c>
      <c r="F65" s="17">
        <f>'[5]BP-Wom'!E55</f>
        <v>0</v>
      </c>
      <c r="G65" s="51">
        <f>'[5]BP-Wom'!F55</f>
        <v>0</v>
      </c>
    </row>
    <row r="66" spans="1:7" x14ac:dyDescent="0.25">
      <c r="A66" s="28" t="str">
        <f>'[5]BP-Wom'!A56</f>
        <v>90+</v>
      </c>
      <c r="B66" s="16">
        <f>'[5]BP-Wom'!B56</f>
        <v>0</v>
      </c>
      <c r="C66" s="16">
        <f>'[5]BP-Wom'!C56</f>
        <v>0</v>
      </c>
      <c r="E66" s="16">
        <f>'[5]BP-Wom'!D56</f>
        <v>0</v>
      </c>
      <c r="F66" s="17">
        <f>'[5]BP-Wom'!E56</f>
        <v>0</v>
      </c>
      <c r="G66" s="51">
        <f>'[5]BP-Wom'!F56</f>
        <v>0</v>
      </c>
    </row>
    <row r="67" spans="1:7" x14ac:dyDescent="0.25">
      <c r="B67" s="16">
        <f>'[5]BP-Wom'!B57</f>
        <v>0</v>
      </c>
      <c r="C67" s="16">
        <f>'[5]BP-Wom'!C57</f>
        <v>0</v>
      </c>
      <c r="E67" s="16">
        <f>'[5]BP-Wom'!D57</f>
        <v>0</v>
      </c>
      <c r="F67" s="17">
        <f>'[5]BP-Wom'!E57</f>
        <v>0</v>
      </c>
      <c r="G67" s="51">
        <f>'[5]BP-Wom'!F57</f>
        <v>0</v>
      </c>
    </row>
    <row r="68" spans="1:7" s="11" customFormat="1" x14ac:dyDescent="0.25">
      <c r="A68" s="22" t="s">
        <v>0</v>
      </c>
      <c r="B68" s="11">
        <v>0</v>
      </c>
      <c r="C68" s="11">
        <v>-4</v>
      </c>
      <c r="D68" s="11" t="str">
        <f>'[5]BP-Wom'!B58</f>
        <v>ЖЕНЩИНЫ - САБМАСТЕРC (33 - 39)</v>
      </c>
      <c r="F68" s="13"/>
      <c r="G68" s="30"/>
    </row>
    <row r="69" spans="1:7" x14ac:dyDescent="0.25">
      <c r="A69" s="28">
        <f>'[5]BP-Wom'!A59</f>
        <v>44</v>
      </c>
      <c r="B69" s="16">
        <f>'[5]BP-Wom'!B59</f>
        <v>0</v>
      </c>
      <c r="C69" s="16">
        <f>'[5]BP-Wom'!C59</f>
        <v>0</v>
      </c>
      <c r="E69" s="16">
        <f>'[5]BP-Wom'!D59</f>
        <v>0</v>
      </c>
      <c r="F69" s="17">
        <f>'[5]BP-Wom'!E59</f>
        <v>0</v>
      </c>
      <c r="G69" s="51">
        <f>'[5]BP-Wom'!F59</f>
        <v>0</v>
      </c>
    </row>
    <row r="70" spans="1:7" x14ac:dyDescent="0.25">
      <c r="A70" s="28">
        <f>'[5]BP-Wom'!A60</f>
        <v>48</v>
      </c>
      <c r="B70" s="16">
        <f>'[5]BP-Wom'!B60</f>
        <v>0</v>
      </c>
      <c r="C70" s="16">
        <f>'[5]BP-Wom'!C60</f>
        <v>0</v>
      </c>
      <c r="E70" s="16">
        <f>'[5]BP-Wom'!D60</f>
        <v>0</v>
      </c>
      <c r="F70" s="17">
        <f>'[5]BP-Wom'!E60</f>
        <v>0</v>
      </c>
      <c r="G70" s="51">
        <f>'[5]BP-Wom'!F60</f>
        <v>0</v>
      </c>
    </row>
    <row r="71" spans="1:7" x14ac:dyDescent="0.25">
      <c r="A71" s="28">
        <f>'[5]BP-Wom'!A61</f>
        <v>52</v>
      </c>
      <c r="B71" s="16">
        <f>'[5]BP-Wom'!B61</f>
        <v>62.5</v>
      </c>
      <c r="C71" s="16" t="str">
        <f>'[5]BP-Wom'!C61</f>
        <v>Prots' Liliya/74</v>
      </c>
      <c r="E71" s="16" t="str">
        <f>'[5]BP-Wom'!D61</f>
        <v>UKR</v>
      </c>
      <c r="F71" s="17">
        <f>'[5]BP-Wom'!E61</f>
        <v>41129</v>
      </c>
      <c r="G71" s="51" t="str">
        <f>'[5]BP-Wom'!F61</f>
        <v>Kryvyi Rig</v>
      </c>
    </row>
    <row r="72" spans="1:7" x14ac:dyDescent="0.25">
      <c r="A72" s="28">
        <f>'[5]BP-Wom'!A62</f>
        <v>56</v>
      </c>
      <c r="B72" s="16">
        <f>'[5]BP-Wom'!B62</f>
        <v>88</v>
      </c>
      <c r="C72" s="16" t="str">
        <f>'[5]BP-Wom'!C62</f>
        <v>Grigoryeva,Yelena/76</v>
      </c>
      <c r="E72" s="16" t="str">
        <f>'[5]BP-Wom'!D62</f>
        <v>RUS</v>
      </c>
      <c r="F72" s="17" t="str">
        <f>'[5]BP-Wom'!E62</f>
        <v>23.08.2014</v>
      </c>
      <c r="G72" s="51" t="str">
        <f>'[5]BP-Wom'!F62</f>
        <v>Moscow</v>
      </c>
    </row>
    <row r="73" spans="1:7" x14ac:dyDescent="0.25">
      <c r="A73" s="28">
        <f>'[5]BP-Wom'!A63</f>
        <v>60</v>
      </c>
      <c r="B73" s="16">
        <f>'[5]BP-Wom'!B63</f>
        <v>92.5</v>
      </c>
      <c r="C73" s="16" t="str">
        <f>'[5]BP-Wom'!C63</f>
        <v xml:space="preserve">Zagrebina Yatalya/77 </v>
      </c>
      <c r="E73" s="16" t="str">
        <f>'[5]BP-Wom'!D63</f>
        <v>RUS</v>
      </c>
      <c r="F73" s="17">
        <f>'[5]BP-Wom'!E63</f>
        <v>41619</v>
      </c>
      <c r="G73" s="51" t="str">
        <f>'[5]BP-Wom'!F63</f>
        <v>Kursk</v>
      </c>
    </row>
    <row r="74" spans="1:7" x14ac:dyDescent="0.25">
      <c r="A74" s="28">
        <f>'[5]BP-Wom'!A64</f>
        <v>67.5</v>
      </c>
      <c r="B74" s="16">
        <f>'[5]BP-Wom'!B64</f>
        <v>102.5</v>
      </c>
      <c r="C74" s="16" t="str">
        <f>'[5]BP-Wom'!C64</f>
        <v xml:space="preserve">Zagrebina Yatalya/77 </v>
      </c>
      <c r="E74" s="16" t="str">
        <f>'[5]BP-Wom'!D64</f>
        <v>RUS</v>
      </c>
      <c r="F74" s="17" t="str">
        <f>'[5]BP-Wom'!E64</f>
        <v>23.08.2014</v>
      </c>
      <c r="G74" s="51" t="str">
        <f>'[5]BP-Wom'!F64</f>
        <v>Moscow</v>
      </c>
    </row>
    <row r="75" spans="1:7" x14ac:dyDescent="0.25">
      <c r="A75" s="28">
        <f>'[5]BP-Wom'!A65</f>
        <v>75</v>
      </c>
      <c r="B75" s="16">
        <f>'[5]BP-Wom'!B65</f>
        <v>80</v>
      </c>
      <c r="C75" s="16" t="str">
        <f>'[5]BP-Wom'!C65</f>
        <v>Yudina Inna/78</v>
      </c>
      <c r="E75" s="16" t="str">
        <f>'[5]BP-Wom'!D65</f>
        <v>UKR</v>
      </c>
      <c r="F75" s="17">
        <f>'[5]BP-Wom'!E65</f>
        <v>40986</v>
      </c>
      <c r="G75" s="51" t="str">
        <f>'[5]BP-Wom'!F65</f>
        <v>Kryvyi Rig</v>
      </c>
    </row>
    <row r="76" spans="1:7" x14ac:dyDescent="0.25">
      <c r="A76" s="28">
        <f>'[5]BP-Wom'!A66</f>
        <v>82.5</v>
      </c>
      <c r="B76" s="16">
        <f>'[5]BP-Wom'!B66</f>
        <v>130</v>
      </c>
      <c r="C76" s="16" t="str">
        <f>'[5]BP-Wom'!C66</f>
        <v>Bako Natalya/73</v>
      </c>
      <c r="E76" s="16" t="str">
        <f>'[5]BP-Wom'!D66</f>
        <v>RUS</v>
      </c>
      <c r="F76" s="17">
        <f>'[5]BP-Wom'!E66</f>
        <v>40025</v>
      </c>
      <c r="G76" s="51" t="str">
        <f>'[5]BP-Wom'!F66</f>
        <v>West Palm Beach</v>
      </c>
    </row>
    <row r="77" spans="1:7" x14ac:dyDescent="0.25">
      <c r="A77" s="28">
        <f>'[5]BP-Wom'!A67</f>
        <v>90</v>
      </c>
      <c r="B77" s="16">
        <f>'[5]BP-Wom'!B67</f>
        <v>0</v>
      </c>
      <c r="C77" s="16">
        <f>'[5]BP-Wom'!C67</f>
        <v>0</v>
      </c>
      <c r="E77" s="16">
        <f>'[5]BP-Wom'!D67</f>
        <v>0</v>
      </c>
      <c r="F77" s="17">
        <f>'[5]BP-Wom'!E67</f>
        <v>0</v>
      </c>
      <c r="G77" s="51">
        <f>'[5]BP-Wom'!F67</f>
        <v>0</v>
      </c>
    </row>
    <row r="78" spans="1:7" x14ac:dyDescent="0.25">
      <c r="A78" s="28" t="str">
        <f>'[5]BP-Wom'!A68</f>
        <v>90+</v>
      </c>
      <c r="B78" s="16">
        <f>'[5]BP-Wom'!B68</f>
        <v>0</v>
      </c>
      <c r="C78" s="16">
        <f>'[5]BP-Wom'!C68</f>
        <v>0</v>
      </c>
      <c r="E78" s="16">
        <f>'[5]BP-Wom'!D68</f>
        <v>0</v>
      </c>
      <c r="F78" s="17">
        <f>'[5]BP-Wom'!E68</f>
        <v>0</v>
      </c>
      <c r="G78" s="51">
        <f>'[5]BP-Wom'!F68</f>
        <v>0</v>
      </c>
    </row>
    <row r="79" spans="1:7" x14ac:dyDescent="0.25">
      <c r="B79" s="16">
        <f>'[5]BP-Wom'!B69</f>
        <v>0</v>
      </c>
      <c r="C79" s="16">
        <f>'[5]BP-Wom'!C69</f>
        <v>0</v>
      </c>
      <c r="E79" s="16">
        <f>'[5]BP-Wom'!D69</f>
        <v>0</v>
      </c>
      <c r="F79" s="17">
        <f>'[5]BP-Wom'!E69</f>
        <v>0</v>
      </c>
      <c r="G79" s="51">
        <f>'[5]BP-Wom'!F69</f>
        <v>0</v>
      </c>
    </row>
    <row r="80" spans="1:7" s="11" customFormat="1" x14ac:dyDescent="0.25">
      <c r="A80" s="22" t="s">
        <v>0</v>
      </c>
      <c r="B80" s="11">
        <v>0</v>
      </c>
      <c r="C80" s="11">
        <v>40</v>
      </c>
      <c r="D80" s="11" t="str">
        <f>'[5]BP-Wom'!C70</f>
        <v>МАСТЕРС - 1(40-44)</v>
      </c>
      <c r="F80" s="13"/>
      <c r="G80" s="30"/>
    </row>
    <row r="81" spans="1:7" x14ac:dyDescent="0.25">
      <c r="A81" s="28">
        <f>'[5]BP-Wom'!A71</f>
        <v>44</v>
      </c>
      <c r="B81" s="16">
        <f>'[5]BP-Wom'!B71</f>
        <v>0</v>
      </c>
      <c r="C81" s="16">
        <f>'[5]BP-Wom'!C71</f>
        <v>0</v>
      </c>
      <c r="E81" s="16">
        <f>'[5]BP-Wom'!D71</f>
        <v>0</v>
      </c>
      <c r="F81" s="17">
        <f>'[5]BP-Wom'!E71</f>
        <v>0</v>
      </c>
      <c r="G81" s="51">
        <f>'[5]BP-Wom'!F71</f>
        <v>0</v>
      </c>
    </row>
    <row r="82" spans="1:7" x14ac:dyDescent="0.25">
      <c r="A82" s="28">
        <f>'[5]BP-Wom'!A72</f>
        <v>48</v>
      </c>
      <c r="B82" s="16">
        <f>'[5]BP-Wom'!B72</f>
        <v>0</v>
      </c>
      <c r="C82" s="16">
        <f>'[5]BP-Wom'!C72</f>
        <v>0</v>
      </c>
      <c r="E82" s="16">
        <f>'[5]BP-Wom'!D72</f>
        <v>0</v>
      </c>
      <c r="F82" s="17">
        <f>'[5]BP-Wom'!E72</f>
        <v>0</v>
      </c>
      <c r="G82" s="51">
        <f>'[5]BP-Wom'!F72</f>
        <v>0</v>
      </c>
    </row>
    <row r="83" spans="1:7" x14ac:dyDescent="0.25">
      <c r="A83" s="28">
        <f>'[5]BP-Wom'!A73</f>
        <v>52</v>
      </c>
      <c r="B83" s="16">
        <f>'[5]BP-Wom'!B73</f>
        <v>0</v>
      </c>
      <c r="C83" s="16">
        <f>'[5]BP-Wom'!C73</f>
        <v>0</v>
      </c>
      <c r="E83" s="16">
        <f>'[5]BP-Wom'!D73</f>
        <v>0</v>
      </c>
      <c r="F83" s="17">
        <f>'[5]BP-Wom'!E73</f>
        <v>0</v>
      </c>
      <c r="G83" s="51">
        <f>'[5]BP-Wom'!F73</f>
        <v>0</v>
      </c>
    </row>
    <row r="84" spans="1:7" x14ac:dyDescent="0.25">
      <c r="A84" s="28">
        <f>'[5]BP-Wom'!A74</f>
        <v>56</v>
      </c>
      <c r="B84" s="16">
        <f>'[5]BP-Wom'!B74</f>
        <v>0</v>
      </c>
      <c r="C84" s="16">
        <f>'[5]BP-Wom'!C74</f>
        <v>0</v>
      </c>
      <c r="E84" s="16">
        <f>'[5]BP-Wom'!D74</f>
        <v>0</v>
      </c>
      <c r="F84" s="17">
        <f>'[5]BP-Wom'!E74</f>
        <v>0</v>
      </c>
      <c r="G84" s="51">
        <f>'[5]BP-Wom'!F74</f>
        <v>0</v>
      </c>
    </row>
    <row r="85" spans="1:7" x14ac:dyDescent="0.25">
      <c r="A85" s="28">
        <f>'[5]BP-Wom'!A75</f>
        <v>60</v>
      </c>
      <c r="B85" s="16">
        <f>'[5]BP-Wom'!B75</f>
        <v>0</v>
      </c>
      <c r="C85" s="16">
        <f>'[5]BP-Wom'!C75</f>
        <v>0</v>
      </c>
      <c r="E85" s="16">
        <f>'[5]BP-Wom'!D75</f>
        <v>0</v>
      </c>
      <c r="F85" s="17">
        <f>'[5]BP-Wom'!E75</f>
        <v>0</v>
      </c>
      <c r="G85" s="51">
        <f>'[5]BP-Wom'!F75</f>
        <v>0</v>
      </c>
    </row>
    <row r="86" spans="1:7" x14ac:dyDescent="0.25">
      <c r="A86" s="28">
        <f>'[5]BP-Wom'!A76</f>
        <v>67.5</v>
      </c>
      <c r="B86" s="16">
        <f>'[5]BP-Wom'!B76</f>
        <v>82.5</v>
      </c>
      <c r="C86" s="16" t="str">
        <f>'[5]BP-Wom'!C76</f>
        <v>Nikolenko Anna/70</v>
      </c>
      <c r="E86" s="16" t="str">
        <f>'[5]BP-Wom'!D76</f>
        <v>RUS</v>
      </c>
      <c r="F86" s="17">
        <f>'[5]BP-Wom'!E76</f>
        <v>41441</v>
      </c>
      <c r="G86" s="51" t="str">
        <f>'[5]BP-Wom'!F76</f>
        <v>Moscow</v>
      </c>
    </row>
    <row r="87" spans="1:7" x14ac:dyDescent="0.25">
      <c r="A87" s="28">
        <f>'[5]BP-Wom'!A77</f>
        <v>75</v>
      </c>
      <c r="B87" s="16">
        <f>'[5]BP-Wom'!B77</f>
        <v>120</v>
      </c>
      <c r="C87" s="16" t="str">
        <f>'[5]BP-Wom'!C77</f>
        <v>Sinachyova Svetlana/66</v>
      </c>
      <c r="E87" s="16" t="str">
        <f>'[5]BP-Wom'!D77</f>
        <v>RUS</v>
      </c>
      <c r="F87" s="17">
        <f>'[5]BP-Wom'!E77</f>
        <v>39724</v>
      </c>
      <c r="G87" s="51" t="str">
        <f>'[5]BP-Wom'!F77</f>
        <v>Lauchhammer</v>
      </c>
    </row>
    <row r="88" spans="1:7" x14ac:dyDescent="0.25">
      <c r="A88" s="28">
        <f>'[5]BP-Wom'!A78</f>
        <v>82.5</v>
      </c>
      <c r="B88" s="16">
        <f>'[5]BP-Wom'!B78</f>
        <v>115</v>
      </c>
      <c r="C88" s="16" t="str">
        <f>'[5]BP-Wom'!C78</f>
        <v>Sinachyova Svetlana/66</v>
      </c>
      <c r="E88" s="16" t="str">
        <f>'[5]BP-Wom'!D78</f>
        <v>RUS</v>
      </c>
      <c r="F88" s="17">
        <f>'[5]BP-Wom'!E78</f>
        <v>40257</v>
      </c>
      <c r="G88" s="51" t="str">
        <f>'[5]BP-Wom'!F78</f>
        <v>Kursk</v>
      </c>
    </row>
    <row r="89" spans="1:7" x14ac:dyDescent="0.25">
      <c r="A89" s="28">
        <f>'[5]BP-Wom'!A79</f>
        <v>90</v>
      </c>
      <c r="B89" s="16">
        <f>'[5]BP-Wom'!B79</f>
        <v>0</v>
      </c>
      <c r="C89" s="16">
        <f>'[5]BP-Wom'!C79</f>
        <v>0</v>
      </c>
      <c r="E89" s="16">
        <f>'[5]BP-Wom'!D79</f>
        <v>0</v>
      </c>
      <c r="F89" s="17">
        <f>'[5]BP-Wom'!E79</f>
        <v>0</v>
      </c>
      <c r="G89" s="51">
        <f>'[5]BP-Wom'!F79</f>
        <v>0</v>
      </c>
    </row>
    <row r="90" spans="1:7" x14ac:dyDescent="0.25">
      <c r="A90" s="28" t="str">
        <f>'[5]BP-Wom'!A80</f>
        <v>90+</v>
      </c>
      <c r="B90" s="16">
        <f>'[5]BP-Wom'!B80</f>
        <v>0</v>
      </c>
      <c r="C90" s="16">
        <f>'[5]BP-Wom'!C80</f>
        <v>0</v>
      </c>
      <c r="E90" s="16">
        <f>'[5]BP-Wom'!D80</f>
        <v>0</v>
      </c>
      <c r="F90" s="17">
        <f>'[5]BP-Wom'!E80</f>
        <v>0</v>
      </c>
      <c r="G90" s="51">
        <f>'[5]BP-Wom'!F80</f>
        <v>0</v>
      </c>
    </row>
    <row r="91" spans="1:7" x14ac:dyDescent="0.25">
      <c r="B91" s="16">
        <f>'[5]BP-Wom'!B81</f>
        <v>0</v>
      </c>
      <c r="C91" s="16">
        <f>'[5]BP-Wom'!C81</f>
        <v>0</v>
      </c>
      <c r="E91" s="16">
        <f>'[5]BP-Wom'!D81</f>
        <v>0</v>
      </c>
      <c r="F91" s="17">
        <f>'[5]BP-Wom'!E81</f>
        <v>0</v>
      </c>
      <c r="G91" s="51">
        <f>'[5]BP-Wom'!F81</f>
        <v>0</v>
      </c>
    </row>
    <row r="92" spans="1:7" s="11" customFormat="1" x14ac:dyDescent="0.25">
      <c r="A92" s="22" t="s">
        <v>0</v>
      </c>
      <c r="B92" s="11">
        <v>0</v>
      </c>
      <c r="C92" s="11">
        <v>45</v>
      </c>
      <c r="D92" s="11" t="str">
        <f>'[5]BP-Wom'!C82</f>
        <v>МАСТЕРС -2(45-49)</v>
      </c>
      <c r="F92" s="13"/>
      <c r="G92" s="30"/>
    </row>
    <row r="93" spans="1:7" x14ac:dyDescent="0.25">
      <c r="A93" s="28">
        <f>'[5]BP-Wom'!A83</f>
        <v>44</v>
      </c>
      <c r="B93" s="16">
        <f>'[5]BP-Wom'!B83</f>
        <v>0</v>
      </c>
      <c r="C93" s="16">
        <f>'[5]BP-Wom'!C83</f>
        <v>0</v>
      </c>
      <c r="E93" s="16">
        <f>'[5]BP-Wom'!D83</f>
        <v>0</v>
      </c>
      <c r="F93" s="17">
        <f>'[5]BP-Wom'!E83</f>
        <v>0</v>
      </c>
      <c r="G93" s="51">
        <f>'[5]BP-Wom'!F83</f>
        <v>0</v>
      </c>
    </row>
    <row r="94" spans="1:7" x14ac:dyDescent="0.25">
      <c r="A94" s="28">
        <f>'[5]BP-Wom'!A84</f>
        <v>48</v>
      </c>
      <c r="B94" s="16">
        <f>'[5]BP-Wom'!B84</f>
        <v>0</v>
      </c>
      <c r="C94" s="16">
        <f>'[5]BP-Wom'!C84</f>
        <v>0</v>
      </c>
      <c r="E94" s="16">
        <f>'[5]BP-Wom'!D84</f>
        <v>0</v>
      </c>
      <c r="F94" s="17">
        <f>'[5]BP-Wom'!E84</f>
        <v>0</v>
      </c>
      <c r="G94" s="51">
        <f>'[5]BP-Wom'!F84</f>
        <v>0</v>
      </c>
    </row>
    <row r="95" spans="1:7" x14ac:dyDescent="0.25">
      <c r="A95" s="28">
        <f>'[5]BP-Wom'!A85</f>
        <v>52</v>
      </c>
      <c r="B95" s="16">
        <f>'[5]BP-Wom'!B85</f>
        <v>0</v>
      </c>
      <c r="C95" s="16">
        <f>'[5]BP-Wom'!C85</f>
        <v>0</v>
      </c>
      <c r="E95" s="16">
        <f>'[5]BP-Wom'!D85</f>
        <v>0</v>
      </c>
      <c r="F95" s="17">
        <f>'[5]BP-Wom'!E85</f>
        <v>0</v>
      </c>
      <c r="G95" s="51">
        <f>'[5]BP-Wom'!F85</f>
        <v>0</v>
      </c>
    </row>
    <row r="96" spans="1:7" x14ac:dyDescent="0.25">
      <c r="A96" s="28">
        <f>'[5]BP-Wom'!A86</f>
        <v>56</v>
      </c>
      <c r="B96" s="16">
        <f>'[5]BP-Wom'!B86</f>
        <v>0</v>
      </c>
      <c r="C96" s="16">
        <f>'[5]BP-Wom'!C86</f>
        <v>0</v>
      </c>
      <c r="E96" s="16">
        <f>'[5]BP-Wom'!D86</f>
        <v>0</v>
      </c>
      <c r="F96" s="17">
        <f>'[5]BP-Wom'!E86</f>
        <v>0</v>
      </c>
      <c r="G96" s="51">
        <f>'[5]BP-Wom'!F86</f>
        <v>0</v>
      </c>
    </row>
    <row r="97" spans="1:7" x14ac:dyDescent="0.25">
      <c r="A97" s="28">
        <f>'[5]BP-Wom'!A87</f>
        <v>60</v>
      </c>
      <c r="B97" s="16">
        <f>'[5]BP-Wom'!B87</f>
        <v>45</v>
      </c>
      <c r="C97" s="16" t="str">
        <f>'[5]BP-Wom'!C87</f>
        <v>Demidenko Irina/64</v>
      </c>
      <c r="E97" s="16" t="str">
        <f>'[5]BP-Wom'!D87</f>
        <v>UKR</v>
      </c>
      <c r="F97" s="17">
        <f>'[5]BP-Wom'!E87</f>
        <v>40467</v>
      </c>
      <c r="G97" s="51" t="str">
        <f>'[5]BP-Wom'!F87</f>
        <v>Kryvyi Rig</v>
      </c>
    </row>
    <row r="98" spans="1:7" x14ac:dyDescent="0.25">
      <c r="A98" s="28">
        <f>'[5]BP-Wom'!A88</f>
        <v>67.5</v>
      </c>
      <c r="B98" s="16">
        <f>'[5]BP-Wom'!B88</f>
        <v>0</v>
      </c>
      <c r="C98" s="16">
        <f>'[5]BP-Wom'!C88</f>
        <v>0</v>
      </c>
      <c r="E98" s="16">
        <f>'[5]BP-Wom'!D88</f>
        <v>0</v>
      </c>
      <c r="F98" s="17">
        <f>'[5]BP-Wom'!E88</f>
        <v>0</v>
      </c>
      <c r="G98" s="51">
        <f>'[5]BP-Wom'!F88</f>
        <v>0</v>
      </c>
    </row>
    <row r="99" spans="1:7" x14ac:dyDescent="0.25">
      <c r="A99" s="28">
        <f>'[5]BP-Wom'!A89</f>
        <v>75</v>
      </c>
      <c r="B99" s="16">
        <f>'[5]BP-Wom'!B89</f>
        <v>0</v>
      </c>
      <c r="C99" s="16">
        <f>'[5]BP-Wom'!C89</f>
        <v>0</v>
      </c>
      <c r="E99" s="16">
        <f>'[5]BP-Wom'!D89</f>
        <v>0</v>
      </c>
      <c r="F99" s="17">
        <f>'[5]BP-Wom'!E89</f>
        <v>0</v>
      </c>
      <c r="G99" s="51">
        <f>'[5]BP-Wom'!F89</f>
        <v>0</v>
      </c>
    </row>
    <row r="100" spans="1:7" x14ac:dyDescent="0.25">
      <c r="A100" s="28">
        <f>'[5]BP-Wom'!A90</f>
        <v>82.5</v>
      </c>
      <c r="B100" s="16">
        <f>'[5]BP-Wom'!B90</f>
        <v>0</v>
      </c>
      <c r="C100" s="16">
        <f>'[5]BP-Wom'!C90</f>
        <v>0</v>
      </c>
      <c r="E100" s="16">
        <f>'[5]BP-Wom'!D90</f>
        <v>0</v>
      </c>
      <c r="F100" s="17">
        <f>'[5]BP-Wom'!E90</f>
        <v>0</v>
      </c>
      <c r="G100" s="51">
        <f>'[5]BP-Wom'!F90</f>
        <v>0</v>
      </c>
    </row>
    <row r="101" spans="1:7" x14ac:dyDescent="0.25">
      <c r="A101" s="28">
        <f>'[5]BP-Wom'!A91</f>
        <v>90</v>
      </c>
      <c r="B101" s="16">
        <f>'[5]BP-Wom'!B91</f>
        <v>0</v>
      </c>
      <c r="C101" s="16">
        <f>'[5]BP-Wom'!C91</f>
        <v>0</v>
      </c>
      <c r="E101" s="16">
        <f>'[5]BP-Wom'!D91</f>
        <v>0</v>
      </c>
      <c r="F101" s="17">
        <f>'[5]BP-Wom'!E91</f>
        <v>0</v>
      </c>
      <c r="G101" s="51">
        <f>'[5]BP-Wom'!F91</f>
        <v>0</v>
      </c>
    </row>
    <row r="102" spans="1:7" x14ac:dyDescent="0.25">
      <c r="A102" s="28" t="str">
        <f>'[5]BP-Wom'!A92</f>
        <v>90+</v>
      </c>
      <c r="B102" s="16">
        <f>'[5]BP-Wom'!B92</f>
        <v>0</v>
      </c>
      <c r="C102" s="16">
        <f>'[5]BP-Wom'!C92</f>
        <v>0</v>
      </c>
      <c r="E102" s="16">
        <f>'[5]BP-Wom'!D92</f>
        <v>0</v>
      </c>
      <c r="F102" s="17">
        <f>'[5]BP-Wom'!E92</f>
        <v>0</v>
      </c>
      <c r="G102" s="51">
        <f>'[5]BP-Wom'!F92</f>
        <v>0</v>
      </c>
    </row>
    <row r="104" spans="1:7" s="11" customFormat="1" x14ac:dyDescent="0.25">
      <c r="A104" s="22" t="s">
        <v>0</v>
      </c>
      <c r="B104" s="11">
        <v>0</v>
      </c>
      <c r="C104" s="11">
        <v>50</v>
      </c>
      <c r="D104" s="11" t="str">
        <f>'[5]BP-Wom'!C93</f>
        <v>МАСТЕРС -3(50-54)</v>
      </c>
      <c r="F104" s="13"/>
      <c r="G104" s="30"/>
    </row>
    <row r="105" spans="1:7" x14ac:dyDescent="0.25">
      <c r="A105" s="28">
        <f>'[5]BP-Wom'!A94</f>
        <v>44</v>
      </c>
      <c r="B105" s="16">
        <f>'[5]BP-Wom'!B94</f>
        <v>0</v>
      </c>
      <c r="C105" s="16">
        <f>'[5]BP-Wom'!C94</f>
        <v>0</v>
      </c>
      <c r="E105" s="16">
        <f>'[5]BP-Wom'!D94</f>
        <v>0</v>
      </c>
      <c r="F105" s="17">
        <f>'[5]BP-Wom'!E94</f>
        <v>0</v>
      </c>
      <c r="G105" s="51">
        <f>'[5]BP-Wom'!F94</f>
        <v>0</v>
      </c>
    </row>
    <row r="106" spans="1:7" x14ac:dyDescent="0.25">
      <c r="A106" s="28">
        <f>'[5]BP-Wom'!A95</f>
        <v>48</v>
      </c>
      <c r="B106" s="16">
        <f>'[5]BP-Wom'!B95</f>
        <v>0</v>
      </c>
      <c r="C106" s="16">
        <f>'[5]BP-Wom'!C95</f>
        <v>0</v>
      </c>
      <c r="E106" s="16">
        <f>'[5]BP-Wom'!D95</f>
        <v>0</v>
      </c>
      <c r="F106" s="17">
        <f>'[5]BP-Wom'!E95</f>
        <v>0</v>
      </c>
      <c r="G106" s="51">
        <f>'[5]BP-Wom'!F95</f>
        <v>0</v>
      </c>
    </row>
    <row r="107" spans="1:7" x14ac:dyDescent="0.25">
      <c r="A107" s="28">
        <f>'[5]BP-Wom'!A96</f>
        <v>52</v>
      </c>
      <c r="B107" s="16">
        <f>'[5]BP-Wom'!B96</f>
        <v>62.5</v>
      </c>
      <c r="C107" s="16" t="str">
        <f>'[5]BP-Wom'!C96</f>
        <v>Telegina Tatyana/61</v>
      </c>
      <c r="E107" s="16" t="str">
        <f>'[5]BP-Wom'!D96</f>
        <v>RUS</v>
      </c>
      <c r="F107" s="17">
        <f>'[5]BP-Wom'!E96</f>
        <v>41137</v>
      </c>
      <c r="G107" s="51" t="str">
        <f>'[5]BP-Wom'!F96</f>
        <v>Novosibirsk</v>
      </c>
    </row>
    <row r="108" spans="1:7" x14ac:dyDescent="0.25">
      <c r="A108" s="28">
        <f>'[5]BP-Wom'!A97</f>
        <v>56</v>
      </c>
      <c r="B108" s="16">
        <f>'[5]BP-Wom'!B97</f>
        <v>0</v>
      </c>
      <c r="C108" s="16">
        <f>'[5]BP-Wom'!C97</f>
        <v>0</v>
      </c>
      <c r="E108" s="16">
        <f>'[5]BP-Wom'!D97</f>
        <v>0</v>
      </c>
      <c r="F108" s="17">
        <f>'[5]BP-Wom'!E97</f>
        <v>0</v>
      </c>
      <c r="G108" s="51">
        <f>'[5]BP-Wom'!F97</f>
        <v>0</v>
      </c>
    </row>
    <row r="109" spans="1:7" x14ac:dyDescent="0.25">
      <c r="A109" s="28">
        <f>'[5]BP-Wom'!A98</f>
        <v>60</v>
      </c>
      <c r="B109" s="16">
        <f>'[5]BP-Wom'!B98</f>
        <v>0</v>
      </c>
      <c r="C109" s="16">
        <f>'[5]BP-Wom'!C98</f>
        <v>0</v>
      </c>
      <c r="E109" s="16">
        <f>'[5]BP-Wom'!D98</f>
        <v>0</v>
      </c>
      <c r="F109" s="17">
        <f>'[5]BP-Wom'!E98</f>
        <v>0</v>
      </c>
      <c r="G109" s="51">
        <f>'[5]BP-Wom'!F98</f>
        <v>0</v>
      </c>
    </row>
    <row r="110" spans="1:7" x14ac:dyDescent="0.25">
      <c r="A110" s="28">
        <f>'[5]BP-Wom'!A99</f>
        <v>67.5</v>
      </c>
      <c r="B110" s="16">
        <f>'[5]BP-Wom'!B99</f>
        <v>0</v>
      </c>
      <c r="C110" s="16">
        <f>'[5]BP-Wom'!C99</f>
        <v>0</v>
      </c>
      <c r="E110" s="16">
        <f>'[5]BP-Wom'!D99</f>
        <v>0</v>
      </c>
      <c r="F110" s="17">
        <f>'[5]BP-Wom'!E99</f>
        <v>0</v>
      </c>
      <c r="G110" s="51">
        <f>'[5]BP-Wom'!F99</f>
        <v>0</v>
      </c>
    </row>
    <row r="111" spans="1:7" x14ac:dyDescent="0.25">
      <c r="A111" s="28">
        <f>'[5]BP-Wom'!A100</f>
        <v>75</v>
      </c>
      <c r="B111" s="16">
        <f>'[5]BP-Wom'!B100</f>
        <v>0</v>
      </c>
      <c r="C111" s="16">
        <f>'[5]BP-Wom'!C100</f>
        <v>0</v>
      </c>
      <c r="E111" s="16">
        <f>'[5]BP-Wom'!D100</f>
        <v>0</v>
      </c>
      <c r="F111" s="17">
        <f>'[5]BP-Wom'!E100</f>
        <v>0</v>
      </c>
      <c r="G111" s="51">
        <f>'[5]BP-Wom'!F100</f>
        <v>0</v>
      </c>
    </row>
    <row r="112" spans="1:7" x14ac:dyDescent="0.25">
      <c r="A112" s="28">
        <f>'[5]BP-Wom'!A101</f>
        <v>82.5</v>
      </c>
      <c r="B112" s="16">
        <f>'[5]BP-Wom'!B101</f>
        <v>0</v>
      </c>
      <c r="C112" s="16">
        <f>'[5]BP-Wom'!C101</f>
        <v>0</v>
      </c>
      <c r="E112" s="16">
        <f>'[5]BP-Wom'!D101</f>
        <v>0</v>
      </c>
      <c r="F112" s="17">
        <f>'[5]BP-Wom'!E101</f>
        <v>0</v>
      </c>
      <c r="G112" s="51">
        <f>'[5]BP-Wom'!F101</f>
        <v>0</v>
      </c>
    </row>
    <row r="113" spans="1:7" x14ac:dyDescent="0.25">
      <c r="A113" s="28">
        <f>'[5]BP-Wom'!A102</f>
        <v>90</v>
      </c>
      <c r="B113" s="16">
        <f>'[5]BP-Wom'!B102</f>
        <v>0</v>
      </c>
      <c r="C113" s="16">
        <f>'[5]BP-Wom'!C102</f>
        <v>0</v>
      </c>
      <c r="E113" s="16">
        <f>'[5]BP-Wom'!D102</f>
        <v>0</v>
      </c>
      <c r="F113" s="17">
        <f>'[5]BP-Wom'!E102</f>
        <v>0</v>
      </c>
      <c r="G113" s="51">
        <f>'[5]BP-Wom'!F102</f>
        <v>0</v>
      </c>
    </row>
    <row r="114" spans="1:7" x14ac:dyDescent="0.25">
      <c r="A114" s="28" t="str">
        <f>'[5]BP-Wom'!A103</f>
        <v>90+</v>
      </c>
      <c r="B114" s="16">
        <f>'[5]BP-Wom'!B103</f>
        <v>0</v>
      </c>
      <c r="C114" s="16">
        <f>'[5]BP-Wom'!C103</f>
        <v>0</v>
      </c>
      <c r="E114" s="16">
        <f>'[5]BP-Wom'!D103</f>
        <v>0</v>
      </c>
      <c r="F114" s="17">
        <f>'[5]BP-Wom'!E103</f>
        <v>0</v>
      </c>
      <c r="G114" s="51">
        <f>'[5]BP-Wom'!F103</f>
        <v>0</v>
      </c>
    </row>
    <row r="116" spans="1:7" s="11" customFormat="1" x14ac:dyDescent="0.25">
      <c r="A116" s="22" t="s">
        <v>0</v>
      </c>
      <c r="B116" s="11">
        <v>0</v>
      </c>
      <c r="C116" s="11">
        <v>55</v>
      </c>
      <c r="D116" s="11" t="str">
        <f>'[5]BP-Wom'!C104</f>
        <v>МАСТЕРС -4(55-59)</v>
      </c>
      <c r="F116" s="13"/>
      <c r="G116" s="30"/>
    </row>
    <row r="117" spans="1:7" x14ac:dyDescent="0.25">
      <c r="A117" s="28">
        <f>'[5]BP-Wom'!A105</f>
        <v>44</v>
      </c>
      <c r="B117" s="16">
        <f>'[5]BP-Wom'!B105</f>
        <v>0</v>
      </c>
      <c r="C117" s="16">
        <f>'[5]BP-Wom'!C105</f>
        <v>0</v>
      </c>
      <c r="E117" s="16">
        <f>'[5]BP-Wom'!D105</f>
        <v>0</v>
      </c>
      <c r="F117" s="17">
        <f>'[5]BP-Wom'!E105</f>
        <v>0</v>
      </c>
      <c r="G117" s="51">
        <f>'[5]BP-Wom'!F105</f>
        <v>0</v>
      </c>
    </row>
    <row r="118" spans="1:7" x14ac:dyDescent="0.25">
      <c r="A118" s="28">
        <f>'[5]BP-Wom'!A106</f>
        <v>48</v>
      </c>
      <c r="B118" s="16">
        <f>'[5]BP-Wom'!B106</f>
        <v>0</v>
      </c>
      <c r="C118" s="16">
        <f>'[5]BP-Wom'!C106</f>
        <v>0</v>
      </c>
      <c r="E118" s="16">
        <f>'[5]BP-Wom'!D106</f>
        <v>0</v>
      </c>
      <c r="F118" s="17">
        <f>'[5]BP-Wom'!E106</f>
        <v>0</v>
      </c>
      <c r="G118" s="51">
        <f>'[5]BP-Wom'!F106</f>
        <v>0</v>
      </c>
    </row>
    <row r="119" spans="1:7" x14ac:dyDescent="0.25">
      <c r="A119" s="28">
        <f>'[5]BP-Wom'!A107</f>
        <v>52</v>
      </c>
      <c r="B119" s="16">
        <f>'[5]BP-Wom'!B107</f>
        <v>0</v>
      </c>
      <c r="C119" s="16">
        <f>'[5]BP-Wom'!C107</f>
        <v>0</v>
      </c>
      <c r="E119" s="16">
        <f>'[5]BP-Wom'!D107</f>
        <v>0</v>
      </c>
      <c r="F119" s="17">
        <f>'[5]BP-Wom'!E107</f>
        <v>0</v>
      </c>
      <c r="G119" s="51">
        <f>'[5]BP-Wom'!F107</f>
        <v>0</v>
      </c>
    </row>
    <row r="120" spans="1:7" x14ac:dyDescent="0.25">
      <c r="A120" s="28">
        <f>'[5]BP-Wom'!A108</f>
        <v>56</v>
      </c>
      <c r="B120" s="16">
        <f>'[5]BP-Wom'!B108</f>
        <v>0</v>
      </c>
      <c r="C120" s="16">
        <f>'[5]BP-Wom'!C108</f>
        <v>0</v>
      </c>
      <c r="E120" s="16">
        <f>'[5]BP-Wom'!D108</f>
        <v>0</v>
      </c>
      <c r="F120" s="17">
        <f>'[5]BP-Wom'!E108</f>
        <v>0</v>
      </c>
      <c r="G120" s="51">
        <f>'[5]BP-Wom'!F108</f>
        <v>0</v>
      </c>
    </row>
    <row r="121" spans="1:7" x14ac:dyDescent="0.25">
      <c r="A121" s="28">
        <f>'[5]BP-Wom'!A109</f>
        <v>60</v>
      </c>
      <c r="B121" s="16">
        <f>'[5]BP-Wom'!B109</f>
        <v>0</v>
      </c>
      <c r="C121" s="16">
        <f>'[5]BP-Wom'!C109</f>
        <v>0</v>
      </c>
      <c r="E121" s="16">
        <f>'[5]BP-Wom'!D109</f>
        <v>0</v>
      </c>
      <c r="F121" s="17">
        <f>'[5]BP-Wom'!E109</f>
        <v>0</v>
      </c>
      <c r="G121" s="51">
        <f>'[5]BP-Wom'!F109</f>
        <v>0</v>
      </c>
    </row>
    <row r="122" spans="1:7" x14ac:dyDescent="0.25">
      <c r="A122" s="28">
        <f>'[5]BP-Wom'!A110</f>
        <v>67.5</v>
      </c>
      <c r="B122" s="16">
        <f>'[5]BP-Wom'!B110</f>
        <v>0</v>
      </c>
      <c r="C122" s="16">
        <f>'[5]BP-Wom'!C110</f>
        <v>0</v>
      </c>
      <c r="E122" s="16">
        <f>'[5]BP-Wom'!D110</f>
        <v>0</v>
      </c>
      <c r="F122" s="17">
        <f>'[5]BP-Wom'!E110</f>
        <v>0</v>
      </c>
      <c r="G122" s="51">
        <f>'[5]BP-Wom'!F110</f>
        <v>0</v>
      </c>
    </row>
    <row r="123" spans="1:7" x14ac:dyDescent="0.25">
      <c r="A123" s="28">
        <f>'[5]BP-Wom'!A111</f>
        <v>75</v>
      </c>
      <c r="B123" s="16">
        <f>'[5]BP-Wom'!B111</f>
        <v>0</v>
      </c>
      <c r="C123" s="16">
        <f>'[5]BP-Wom'!C111</f>
        <v>0</v>
      </c>
      <c r="E123" s="16">
        <f>'[5]BP-Wom'!D111</f>
        <v>0</v>
      </c>
      <c r="F123" s="17">
        <f>'[5]BP-Wom'!E111</f>
        <v>0</v>
      </c>
      <c r="G123" s="51">
        <f>'[5]BP-Wom'!F111</f>
        <v>0</v>
      </c>
    </row>
    <row r="124" spans="1:7" x14ac:dyDescent="0.25">
      <c r="A124" s="28">
        <f>'[5]BP-Wom'!A112</f>
        <v>82.5</v>
      </c>
      <c r="B124" s="16">
        <f>'[5]BP-Wom'!B112</f>
        <v>0</v>
      </c>
      <c r="C124" s="16">
        <f>'[5]BP-Wom'!C112</f>
        <v>0</v>
      </c>
      <c r="E124" s="16">
        <f>'[5]BP-Wom'!D112</f>
        <v>0</v>
      </c>
      <c r="F124" s="17">
        <f>'[5]BP-Wom'!E112</f>
        <v>0</v>
      </c>
      <c r="G124" s="51">
        <f>'[5]BP-Wom'!F112</f>
        <v>0</v>
      </c>
    </row>
    <row r="125" spans="1:7" x14ac:dyDescent="0.25">
      <c r="A125" s="28">
        <f>'[5]BP-Wom'!A113</f>
        <v>90</v>
      </c>
      <c r="B125" s="16">
        <f>'[5]BP-Wom'!B113</f>
        <v>0</v>
      </c>
      <c r="C125" s="16">
        <f>'[5]BP-Wom'!C113</f>
        <v>0</v>
      </c>
      <c r="E125" s="16">
        <f>'[5]BP-Wom'!D113</f>
        <v>0</v>
      </c>
      <c r="F125" s="17">
        <f>'[5]BP-Wom'!E113</f>
        <v>0</v>
      </c>
      <c r="G125" s="51">
        <f>'[5]BP-Wom'!F113</f>
        <v>0</v>
      </c>
    </row>
    <row r="126" spans="1:7" x14ac:dyDescent="0.25">
      <c r="A126" s="28" t="str">
        <f>'[5]BP-Wom'!A114</f>
        <v>90+</v>
      </c>
      <c r="B126" s="16">
        <f>'[5]BP-Wom'!B114</f>
        <v>0</v>
      </c>
      <c r="C126" s="16">
        <f>'[5]BP-Wom'!C114</f>
        <v>0</v>
      </c>
      <c r="E126" s="16">
        <f>'[5]BP-Wom'!D114</f>
        <v>0</v>
      </c>
      <c r="F126" s="17">
        <f>'[5]BP-Wom'!E114</f>
        <v>0</v>
      </c>
      <c r="G126" s="51">
        <f>'[5]BP-Wom'!F114</f>
        <v>0</v>
      </c>
    </row>
    <row r="127" spans="1:7" x14ac:dyDescent="0.25">
      <c r="A127" s="28">
        <f>'[5]BP-Wom'!A115</f>
        <v>0</v>
      </c>
      <c r="B127" s="16">
        <f>'[5]BP-Wom'!B115</f>
        <v>0</v>
      </c>
      <c r="C127" s="16">
        <f>'[5]BP-Wom'!C115</f>
        <v>0</v>
      </c>
      <c r="E127" s="16">
        <f>'[5]BP-Wom'!D115</f>
        <v>0</v>
      </c>
      <c r="F127" s="17">
        <f>'[5]BP-Wom'!E115</f>
        <v>0</v>
      </c>
      <c r="G127" s="51">
        <f>'[5]BP-Wom'!F115</f>
        <v>0</v>
      </c>
    </row>
    <row r="128" spans="1:7" x14ac:dyDescent="0.25">
      <c r="A128" s="28">
        <f>'[5]BP-Wom'!A116</f>
        <v>0</v>
      </c>
      <c r="B128" s="16">
        <f>'[5]BP-Wom'!B116</f>
        <v>0</v>
      </c>
      <c r="C128" s="16">
        <f>'[5]BP-Wom'!C116</f>
        <v>0</v>
      </c>
      <c r="E128" s="16">
        <f>'[5]BP-Wom'!D116</f>
        <v>0</v>
      </c>
      <c r="F128" s="17">
        <f>'[5]BP-Wom'!E116</f>
        <v>0</v>
      </c>
      <c r="G128" s="51">
        <f>'[5]BP-Wom'!F116</f>
        <v>0</v>
      </c>
    </row>
    <row r="129" spans="1:7" x14ac:dyDescent="0.25">
      <c r="A129" s="28">
        <f>'[5]BP-Wom'!A117</f>
        <v>0</v>
      </c>
      <c r="B129" s="16">
        <f>'[5]BP-Wom'!B117</f>
        <v>0</v>
      </c>
      <c r="C129" s="16">
        <f>'[5]BP-Wom'!C117</f>
        <v>0</v>
      </c>
      <c r="E129" s="16">
        <f>'[5]BP-Wom'!D117</f>
        <v>0</v>
      </c>
      <c r="F129" s="17">
        <f>'[5]BP-Wom'!E117</f>
        <v>0</v>
      </c>
      <c r="G129" s="51">
        <f>'[5]BP-Wom'!F117</f>
        <v>0</v>
      </c>
    </row>
    <row r="130" spans="1:7" x14ac:dyDescent="0.25">
      <c r="A130" s="28">
        <f>'[5]BP-Wom'!A118</f>
        <v>0</v>
      </c>
      <c r="B130" s="16">
        <f>'[5]BP-Wom'!B118</f>
        <v>0</v>
      </c>
      <c r="C130" s="16">
        <f>'[5]BP-Wom'!C118</f>
        <v>0</v>
      </c>
      <c r="E130" s="16">
        <f>'[5]BP-Wom'!D118</f>
        <v>0</v>
      </c>
      <c r="F130" s="17">
        <f>'[5]BP-Wom'!E118</f>
        <v>0</v>
      </c>
      <c r="G130" s="51">
        <f>'[5]BP-Wom'!F118</f>
        <v>0</v>
      </c>
    </row>
    <row r="131" spans="1:7" x14ac:dyDescent="0.25">
      <c r="A131" s="28">
        <f>'[5]BP-Wom'!A119</f>
        <v>0</v>
      </c>
      <c r="B131" s="16">
        <f>'[5]BP-Wom'!B119</f>
        <v>0</v>
      </c>
      <c r="C131" s="16">
        <f>'[5]BP-Wom'!C119</f>
        <v>0</v>
      </c>
      <c r="E131" s="16">
        <f>'[5]BP-Wom'!D119</f>
        <v>0</v>
      </c>
      <c r="F131" s="17">
        <f>'[5]BP-Wom'!E119</f>
        <v>0</v>
      </c>
      <c r="G131" s="51">
        <f>'[5]BP-Wom'!F119</f>
        <v>0</v>
      </c>
    </row>
    <row r="132" spans="1:7" x14ac:dyDescent="0.25">
      <c r="A132" s="28">
        <f>'[5]BP-Wom'!A120</f>
        <v>0</v>
      </c>
      <c r="B132" s="16">
        <f>'[5]BP-Wom'!B120</f>
        <v>0</v>
      </c>
      <c r="C132" s="16">
        <f>'[5]BP-Wom'!C120</f>
        <v>0</v>
      </c>
      <c r="E132" s="16">
        <f>'[5]BP-Wom'!D120</f>
        <v>0</v>
      </c>
      <c r="F132" s="17">
        <f>'[5]BP-Wom'!E120</f>
        <v>0</v>
      </c>
      <c r="G132" s="51">
        <f>'[5]BP-Wom'!F120</f>
        <v>0</v>
      </c>
    </row>
    <row r="133" spans="1:7" x14ac:dyDescent="0.25">
      <c r="A133" s="28">
        <f>'[5]BP-Wom'!A121</f>
        <v>0</v>
      </c>
      <c r="B133" s="16">
        <f>'[5]BP-Wom'!B121</f>
        <v>0</v>
      </c>
      <c r="C133" s="16">
        <f>'[5]BP-Wom'!C121</f>
        <v>0</v>
      </c>
      <c r="E133" s="16">
        <f>'[5]BP-Wom'!D121</f>
        <v>0</v>
      </c>
      <c r="F133" s="17">
        <f>'[5]BP-Wom'!E121</f>
        <v>0</v>
      </c>
      <c r="G133" s="51">
        <f>'[5]BP-Wom'!F121</f>
        <v>0</v>
      </c>
    </row>
    <row r="134" spans="1:7" x14ac:dyDescent="0.25">
      <c r="A134" s="28">
        <f>'[5]BP-Wom'!A122</f>
        <v>0</v>
      </c>
      <c r="B134" s="16">
        <f>'[5]BP-Wom'!B122</f>
        <v>0</v>
      </c>
      <c r="C134" s="16">
        <f>'[5]BP-Wom'!C122</f>
        <v>0</v>
      </c>
      <c r="E134" s="16">
        <f>'[5]BP-Wom'!D122</f>
        <v>0</v>
      </c>
      <c r="F134" s="17">
        <f>'[5]BP-Wom'!E122</f>
        <v>0</v>
      </c>
      <c r="G134" s="51">
        <f>'[5]BP-Wom'!F122</f>
        <v>0</v>
      </c>
    </row>
    <row r="135" spans="1:7" x14ac:dyDescent="0.25">
      <c r="A135" s="28">
        <f>'[5]BP-Wom'!A123</f>
        <v>0</v>
      </c>
      <c r="B135" s="16">
        <f>'[5]BP-Wom'!B123</f>
        <v>0</v>
      </c>
      <c r="C135" s="16">
        <f>'[5]BP-Wom'!C123</f>
        <v>0</v>
      </c>
      <c r="E135" s="16">
        <f>'[5]BP-Wom'!D123</f>
        <v>0</v>
      </c>
      <c r="F135" s="17">
        <f>'[5]BP-Wom'!E123</f>
        <v>0</v>
      </c>
      <c r="G135" s="51">
        <f>'[5]BP-Wom'!F123</f>
        <v>0</v>
      </c>
    </row>
    <row r="136" spans="1:7" x14ac:dyDescent="0.25">
      <c r="A136" s="28">
        <f>'[5]BP-Wom'!A124</f>
        <v>0</v>
      </c>
      <c r="B136" s="16">
        <f>'[5]BP-Wom'!B124</f>
        <v>0</v>
      </c>
      <c r="C136" s="16">
        <f>'[5]BP-Wom'!C124</f>
        <v>0</v>
      </c>
      <c r="E136" s="16">
        <f>'[5]BP-Wom'!D124</f>
        <v>0</v>
      </c>
      <c r="F136" s="17">
        <f>'[5]BP-Wom'!E124</f>
        <v>0</v>
      </c>
      <c r="G136" s="51">
        <f>'[5]BP-Wom'!F124</f>
        <v>0</v>
      </c>
    </row>
    <row r="137" spans="1:7" x14ac:dyDescent="0.25">
      <c r="A137" s="28">
        <f>'[5]BP-Wom'!A125</f>
        <v>0</v>
      </c>
      <c r="B137" s="16">
        <f>'[5]BP-Wom'!B125</f>
        <v>0</v>
      </c>
      <c r="C137" s="16">
        <f>'[5]BP-Wom'!C125</f>
        <v>0</v>
      </c>
      <c r="E137" s="16">
        <f>'[5]BP-Wom'!D125</f>
        <v>0</v>
      </c>
      <c r="F137" s="17">
        <f>'[5]BP-Wom'!E125</f>
        <v>0</v>
      </c>
      <c r="G137" s="51">
        <f>'[5]BP-Wom'!F125</f>
        <v>0</v>
      </c>
    </row>
    <row r="138" spans="1:7" x14ac:dyDescent="0.25">
      <c r="A138" s="28">
        <f>'[5]BP-Wom'!A126</f>
        <v>0</v>
      </c>
      <c r="B138" s="16">
        <f>'[5]BP-Wom'!B126</f>
        <v>0</v>
      </c>
      <c r="C138" s="16">
        <f>'[5]BP-Wom'!C126</f>
        <v>0</v>
      </c>
      <c r="E138" s="16">
        <f>'[5]BP-Wom'!D126</f>
        <v>0</v>
      </c>
      <c r="F138" s="17">
        <f>'[5]BP-Wom'!E126</f>
        <v>0</v>
      </c>
      <c r="G138" s="51">
        <f>'[5]BP-Wom'!F126</f>
        <v>0</v>
      </c>
    </row>
    <row r="139" spans="1:7" x14ac:dyDescent="0.25">
      <c r="A139" s="28">
        <f>'[5]BP-Wom'!A127</f>
        <v>0</v>
      </c>
      <c r="B139" s="16">
        <f>'[5]BP-Wom'!B127</f>
        <v>0</v>
      </c>
      <c r="C139" s="16">
        <f>'[5]BP-Wom'!C127</f>
        <v>0</v>
      </c>
      <c r="E139" s="16">
        <f>'[5]BP-Wom'!D127</f>
        <v>0</v>
      </c>
      <c r="F139" s="17">
        <f>'[5]BP-Wom'!E127</f>
        <v>0</v>
      </c>
      <c r="G139" s="51">
        <f>'[5]BP-Wom'!F127</f>
        <v>0</v>
      </c>
    </row>
    <row r="140" spans="1:7" x14ac:dyDescent="0.25">
      <c r="A140" s="28">
        <f>'[5]BP-Wom'!A128</f>
        <v>0</v>
      </c>
      <c r="B140" s="16">
        <f>'[5]BP-Wom'!B128</f>
        <v>0</v>
      </c>
      <c r="C140" s="16">
        <f>'[5]BP-Wom'!C128</f>
        <v>0</v>
      </c>
      <c r="E140" s="16">
        <f>'[5]BP-Wom'!D128</f>
        <v>0</v>
      </c>
      <c r="F140" s="17">
        <f>'[5]BP-Wom'!E128</f>
        <v>0</v>
      </c>
      <c r="G140" s="51">
        <f>'[5]BP-Wom'!F128</f>
        <v>0</v>
      </c>
    </row>
    <row r="141" spans="1:7" x14ac:dyDescent="0.25">
      <c r="A141" s="28">
        <f>'[5]BP-Wom'!A129</f>
        <v>0</v>
      </c>
      <c r="B141" s="16">
        <f>'[5]BP-Wom'!B129</f>
        <v>0</v>
      </c>
      <c r="C141" s="16">
        <f>'[5]BP-Wom'!C129</f>
        <v>0</v>
      </c>
      <c r="E141" s="16">
        <f>'[5]BP-Wom'!D129</f>
        <v>0</v>
      </c>
      <c r="F141" s="17">
        <f>'[5]BP-Wom'!E129</f>
        <v>0</v>
      </c>
      <c r="G141" s="51">
        <f>'[5]BP-Wom'!F129</f>
        <v>0</v>
      </c>
    </row>
    <row r="142" spans="1:7" x14ac:dyDescent="0.25">
      <c r="A142" s="28">
        <f>'[5]BP-Wom'!A130</f>
        <v>0</v>
      </c>
      <c r="B142" s="16">
        <f>'[5]BP-Wom'!B130</f>
        <v>0</v>
      </c>
      <c r="C142" s="16">
        <f>'[5]BP-Wom'!C130</f>
        <v>0</v>
      </c>
      <c r="E142" s="16">
        <f>'[5]BP-Wom'!D130</f>
        <v>0</v>
      </c>
      <c r="F142" s="17">
        <f>'[5]BP-Wom'!E130</f>
        <v>0</v>
      </c>
      <c r="G142" s="51">
        <f>'[5]BP-Wom'!F130</f>
        <v>0</v>
      </c>
    </row>
    <row r="143" spans="1:7" x14ac:dyDescent="0.25">
      <c r="A143" s="28">
        <f>'[5]BP-Wom'!A131</f>
        <v>0</v>
      </c>
      <c r="B143" s="16">
        <f>'[5]BP-Wom'!B131</f>
        <v>0</v>
      </c>
      <c r="C143" s="16">
        <f>'[5]BP-Wom'!C131</f>
        <v>0</v>
      </c>
      <c r="E143" s="16">
        <f>'[5]BP-Wom'!D131</f>
        <v>0</v>
      </c>
      <c r="F143" s="17">
        <f>'[5]BP-Wom'!E131</f>
        <v>0</v>
      </c>
      <c r="G143" s="51">
        <f>'[5]BP-Wom'!F131</f>
        <v>0</v>
      </c>
    </row>
    <row r="144" spans="1:7" x14ac:dyDescent="0.25">
      <c r="A144" s="28">
        <f>'[5]BP-Wom'!A132</f>
        <v>0</v>
      </c>
      <c r="B144" s="16">
        <f>'[5]BP-Wom'!B132</f>
        <v>0</v>
      </c>
      <c r="C144" s="16">
        <f>'[5]BP-Wom'!C132</f>
        <v>0</v>
      </c>
      <c r="E144" s="16">
        <f>'[5]BP-Wom'!D132</f>
        <v>0</v>
      </c>
      <c r="F144" s="17">
        <f>'[5]BP-Wom'!E132</f>
        <v>0</v>
      </c>
      <c r="G144" s="51">
        <f>'[5]BP-Wom'!F132</f>
        <v>0</v>
      </c>
    </row>
    <row r="145" spans="1:7" x14ac:dyDescent="0.25">
      <c r="A145" s="28">
        <f>'[5]BP-Wom'!A133</f>
        <v>0</v>
      </c>
      <c r="B145" s="16">
        <f>'[5]BP-Wom'!B133</f>
        <v>0</v>
      </c>
      <c r="C145" s="16">
        <f>'[5]BP-Wom'!C133</f>
        <v>0</v>
      </c>
      <c r="E145" s="16">
        <f>'[5]BP-Wom'!D133</f>
        <v>0</v>
      </c>
      <c r="F145" s="17">
        <f>'[5]BP-Wom'!E133</f>
        <v>0</v>
      </c>
      <c r="G145" s="51">
        <f>'[5]BP-Wom'!F133</f>
        <v>0</v>
      </c>
    </row>
    <row r="146" spans="1:7" x14ac:dyDescent="0.25">
      <c r="A146" s="28">
        <f>'[5]BP-Wom'!A134</f>
        <v>0</v>
      </c>
      <c r="B146" s="16">
        <f>'[5]BP-Wom'!B134</f>
        <v>0</v>
      </c>
      <c r="C146" s="16">
        <f>'[5]BP-Wom'!C134</f>
        <v>0</v>
      </c>
      <c r="E146" s="16">
        <f>'[5]BP-Wom'!D134</f>
        <v>0</v>
      </c>
      <c r="F146" s="17">
        <f>'[5]BP-Wom'!E134</f>
        <v>0</v>
      </c>
      <c r="G146" s="51">
        <f>'[5]BP-Wom'!F134</f>
        <v>0</v>
      </c>
    </row>
    <row r="147" spans="1:7" x14ac:dyDescent="0.25">
      <c r="A147" s="28">
        <f>'[5]BP-Wom'!A135</f>
        <v>0</v>
      </c>
      <c r="B147" s="16">
        <f>'[5]BP-Wom'!B135</f>
        <v>0</v>
      </c>
      <c r="C147" s="16">
        <f>'[5]BP-Wom'!C135</f>
        <v>0</v>
      </c>
      <c r="E147" s="16">
        <f>'[5]BP-Wom'!D135</f>
        <v>0</v>
      </c>
      <c r="F147" s="17">
        <f>'[5]BP-Wom'!E135</f>
        <v>0</v>
      </c>
      <c r="G147" s="51">
        <f>'[5]BP-Wom'!F135</f>
        <v>0</v>
      </c>
    </row>
    <row r="148" spans="1:7" x14ac:dyDescent="0.25">
      <c r="A148" s="28">
        <f>'[5]BP-Wom'!A136</f>
        <v>0</v>
      </c>
      <c r="B148" s="16">
        <f>'[5]BP-Wom'!B136</f>
        <v>0</v>
      </c>
      <c r="C148" s="16">
        <f>'[5]BP-Wom'!C136</f>
        <v>0</v>
      </c>
      <c r="E148" s="16">
        <f>'[5]BP-Wom'!D136</f>
        <v>0</v>
      </c>
      <c r="F148" s="17">
        <f>'[5]BP-Wom'!E136</f>
        <v>0</v>
      </c>
      <c r="G148" s="51">
        <f>'[5]BP-Wom'!F136</f>
        <v>0</v>
      </c>
    </row>
    <row r="149" spans="1:7" x14ac:dyDescent="0.25">
      <c r="A149" s="28">
        <f>'[5]BP-Wom'!A137</f>
        <v>0</v>
      </c>
      <c r="B149" s="16">
        <f>'[5]BP-Wom'!B137</f>
        <v>0</v>
      </c>
      <c r="C149" s="16">
        <f>'[5]BP-Wom'!C137</f>
        <v>0</v>
      </c>
      <c r="E149" s="16">
        <f>'[5]BP-Wom'!D137</f>
        <v>0</v>
      </c>
      <c r="F149" s="17">
        <f>'[5]BP-Wom'!E137</f>
        <v>0</v>
      </c>
      <c r="G149" s="51">
        <f>'[5]BP-Wom'!F137</f>
        <v>0</v>
      </c>
    </row>
    <row r="152" spans="1:7" x14ac:dyDescent="0.25">
      <c r="B152" s="16" t="str">
        <f>'[5]BP-Men'!B1</f>
        <v>AWPC BP - Europe</v>
      </c>
      <c r="C152" s="16">
        <f>'[5]BP-Men'!C1</f>
        <v>0</v>
      </c>
      <c r="D152" s="16" t="str">
        <f t="shared" ref="D152:D172" si="0">RIGHT(C152,2)</f>
        <v>0</v>
      </c>
      <c r="E152" s="16">
        <f>'[5]BP-Men'!D1</f>
        <v>0</v>
      </c>
      <c r="F152" s="17">
        <f>'[5]BP-Men'!E1</f>
        <v>0</v>
      </c>
      <c r="G152" s="51">
        <f>'[5]BP-Men'!F1</f>
        <v>0</v>
      </c>
    </row>
    <row r="153" spans="1:7" s="11" customFormat="1" x14ac:dyDescent="0.25">
      <c r="A153" s="22" t="s">
        <v>0</v>
      </c>
      <c r="B153" s="11">
        <v>1</v>
      </c>
      <c r="C153" s="11">
        <v>13</v>
      </c>
      <c r="D153" s="11" t="str">
        <f>'[5]BP-Men'!B2</f>
        <v>T1  (13 - 15)</v>
      </c>
      <c r="F153" s="13"/>
      <c r="G153" s="30"/>
    </row>
    <row r="154" spans="1:7" x14ac:dyDescent="0.25">
      <c r="A154" s="28">
        <f>'[5]BP-Men'!A3</f>
        <v>52</v>
      </c>
      <c r="B154" s="16">
        <f>'[5]BP-Men'!B3</f>
        <v>90</v>
      </c>
      <c r="C154" s="16" t="str">
        <f>'[5]BP-Men'!C3</f>
        <v>Telegin Nikita/95</v>
      </c>
      <c r="D154" s="16" t="str">
        <f t="shared" si="0"/>
        <v>95</v>
      </c>
      <c r="E154" s="16" t="str">
        <f>'[5]BP-Men'!D3</f>
        <v>RUS</v>
      </c>
      <c r="F154" s="17">
        <f>'[5]BP-Men'!E3</f>
        <v>39873</v>
      </c>
      <c r="G154" s="51" t="str">
        <f>'[5]BP-Men'!F3</f>
        <v>Chelyabinsk</v>
      </c>
    </row>
    <row r="155" spans="1:7" x14ac:dyDescent="0.25">
      <c r="A155" s="28">
        <f>'[5]BP-Men'!A4</f>
        <v>56</v>
      </c>
      <c r="B155" s="16">
        <f>'[5]BP-Men'!B4</f>
        <v>90</v>
      </c>
      <c r="C155" s="16" t="str">
        <f>'[5]BP-Men'!C4</f>
        <v>Mikhin Vitaly/93</v>
      </c>
      <c r="D155" s="16" t="str">
        <f t="shared" si="0"/>
        <v>93</v>
      </c>
      <c r="E155" s="16" t="str">
        <f>'[5]BP-Men'!D4</f>
        <v>RUS</v>
      </c>
      <c r="F155" s="17">
        <f>'[5]BP-Men'!E4</f>
        <v>39873</v>
      </c>
      <c r="G155" s="51" t="str">
        <f>'[5]BP-Men'!F4</f>
        <v>Chelyabinsk</v>
      </c>
    </row>
    <row r="156" spans="1:7" x14ac:dyDescent="0.25">
      <c r="A156" s="28">
        <f>'[5]BP-Men'!A5</f>
        <v>60</v>
      </c>
      <c r="B156" s="16">
        <f>'[5]BP-Men'!B5</f>
        <v>105</v>
      </c>
      <c r="C156" s="16" t="str">
        <f>'[5]BP-Men'!C5</f>
        <v>Baranov Pavel/93</v>
      </c>
      <c r="D156" s="16" t="str">
        <f t="shared" si="0"/>
        <v>93</v>
      </c>
      <c r="E156" s="16" t="str">
        <f>'[5]BP-Men'!D5</f>
        <v>RUS</v>
      </c>
      <c r="F156" s="17">
        <f>'[5]BP-Men'!E5</f>
        <v>39606</v>
      </c>
      <c r="G156" s="51" t="str">
        <f>'[5]BP-Men'!F5</f>
        <v>Kursk</v>
      </c>
    </row>
    <row r="157" spans="1:7" x14ac:dyDescent="0.25">
      <c r="A157" s="28" t="str">
        <f>'[5]BP-Men'!A6</f>
        <v>67.5</v>
      </c>
      <c r="B157" s="16" t="str">
        <f>'[5]BP-Men'!B6</f>
        <v>117.5</v>
      </c>
      <c r="C157" s="16" t="str">
        <f>'[5]BP-Men'!C6</f>
        <v>Tychinin Denis/91</v>
      </c>
      <c r="D157" s="16" t="str">
        <f t="shared" si="0"/>
        <v>91</v>
      </c>
      <c r="E157" s="16" t="str">
        <f>'[5]BP-Men'!D6</f>
        <v>RUS</v>
      </c>
      <c r="F157" s="17">
        <f>'[5]BP-Men'!E6</f>
        <v>39312</v>
      </c>
      <c r="G157" s="51" t="str">
        <f>'[5]BP-Men'!F6</f>
        <v>Kursk</v>
      </c>
    </row>
    <row r="158" spans="1:7" x14ac:dyDescent="0.25">
      <c r="A158" s="28">
        <f>'[5]BP-Men'!A7</f>
        <v>75</v>
      </c>
      <c r="B158" s="16">
        <f>'[5]BP-Men'!B7</f>
        <v>112.5</v>
      </c>
      <c r="C158" s="16" t="str">
        <f>'[5]BP-Men'!C7</f>
        <v>Rezitsky Nikita/93</v>
      </c>
      <c r="D158" s="16" t="str">
        <f t="shared" si="0"/>
        <v>93</v>
      </c>
      <c r="E158" s="16" t="str">
        <f>'[5]BP-Men'!D7</f>
        <v>RUS</v>
      </c>
      <c r="F158" s="17">
        <f>'[5]BP-Men'!E7</f>
        <v>39873</v>
      </c>
      <c r="G158" s="51" t="str">
        <f>'[5]BP-Men'!F7</f>
        <v>Chelyabinsk</v>
      </c>
    </row>
    <row r="159" spans="1:7" x14ac:dyDescent="0.25">
      <c r="A159" s="28">
        <f>'[5]BP-Men'!A8</f>
        <v>82.5</v>
      </c>
      <c r="B159" s="16">
        <f>'[5]BP-Men'!B8</f>
        <v>0</v>
      </c>
      <c r="C159" s="16">
        <f>'[5]BP-Men'!C8</f>
        <v>0</v>
      </c>
      <c r="D159" s="16" t="str">
        <f t="shared" si="0"/>
        <v>0</v>
      </c>
      <c r="E159" s="16">
        <f>'[5]BP-Men'!D8</f>
        <v>0</v>
      </c>
      <c r="F159" s="17">
        <f>'[5]BP-Men'!E8</f>
        <v>0</v>
      </c>
      <c r="G159" s="51">
        <f>'[5]BP-Men'!F8</f>
        <v>0</v>
      </c>
    </row>
    <row r="160" spans="1:7" x14ac:dyDescent="0.25">
      <c r="A160" s="28">
        <f>'[5]BP-Men'!A9</f>
        <v>90</v>
      </c>
      <c r="B160" s="16">
        <f>'[5]BP-Men'!B9</f>
        <v>130</v>
      </c>
      <c r="C160" s="16" t="str">
        <f>'[5]BP-Men'!C9</f>
        <v>Panfyorov Yevgeny/91</v>
      </c>
      <c r="D160" s="16" t="str">
        <f t="shared" si="0"/>
        <v>91</v>
      </c>
      <c r="E160" s="16" t="str">
        <f>'[5]BP-Men'!D9</f>
        <v>RUS</v>
      </c>
      <c r="F160" s="17">
        <f>'[5]BP-Men'!E9</f>
        <v>39312</v>
      </c>
      <c r="G160" s="51" t="str">
        <f>'[5]BP-Men'!F9</f>
        <v>Kursk</v>
      </c>
    </row>
    <row r="161" spans="1:7" x14ac:dyDescent="0.25">
      <c r="A161" s="28">
        <f>'[5]BP-Men'!A10</f>
        <v>100</v>
      </c>
      <c r="B161" s="16">
        <f>'[5]BP-Men'!B10</f>
        <v>135</v>
      </c>
      <c r="C161" s="16" t="str">
        <f>'[5]BP-Men'!C10</f>
        <v>Khandzhan Yuri/92</v>
      </c>
      <c r="D161" s="16" t="str">
        <f t="shared" si="0"/>
        <v>92</v>
      </c>
      <c r="E161" s="16" t="str">
        <f>'[5]BP-Men'!D10</f>
        <v>RUS</v>
      </c>
      <c r="F161" s="17">
        <f>'[5]BP-Men'!E10</f>
        <v>39352</v>
      </c>
      <c r="G161" s="51" t="str">
        <f>'[5]BP-Men'!F10</f>
        <v>Horn</v>
      </c>
    </row>
    <row r="162" spans="1:7" x14ac:dyDescent="0.25">
      <c r="A162" s="28">
        <f>'[5]BP-Men'!A11</f>
        <v>110</v>
      </c>
      <c r="B162" s="16">
        <f>'[5]BP-Men'!B11</f>
        <v>0</v>
      </c>
      <c r="C162" s="16">
        <f>'[5]BP-Men'!C11</f>
        <v>0</v>
      </c>
      <c r="D162" s="16" t="str">
        <f t="shared" si="0"/>
        <v>0</v>
      </c>
      <c r="E162" s="16">
        <f>'[5]BP-Men'!D11</f>
        <v>0</v>
      </c>
      <c r="F162" s="17">
        <f>'[5]BP-Men'!E11</f>
        <v>0</v>
      </c>
      <c r="G162" s="51">
        <f>'[5]BP-Men'!F11</f>
        <v>0</v>
      </c>
    </row>
    <row r="163" spans="1:7" x14ac:dyDescent="0.25">
      <c r="A163" s="28">
        <f>'[5]BP-Men'!A12</f>
        <v>125</v>
      </c>
      <c r="B163" s="16">
        <f>'[5]BP-Men'!B12</f>
        <v>0</v>
      </c>
      <c r="C163" s="16">
        <f>'[5]BP-Men'!C12</f>
        <v>0</v>
      </c>
      <c r="D163" s="16" t="str">
        <f t="shared" si="0"/>
        <v>0</v>
      </c>
      <c r="E163" s="16">
        <f>'[5]BP-Men'!D12</f>
        <v>0</v>
      </c>
      <c r="F163" s="17">
        <f>'[5]BP-Men'!E12</f>
        <v>0</v>
      </c>
      <c r="G163" s="51">
        <f>'[5]BP-Men'!F12</f>
        <v>0</v>
      </c>
    </row>
    <row r="164" spans="1:7" x14ac:dyDescent="0.25">
      <c r="A164" s="28">
        <f>'[5]BP-Men'!A13</f>
        <v>140</v>
      </c>
      <c r="B164" s="16">
        <f>'[5]BP-Men'!B13</f>
        <v>0</v>
      </c>
      <c r="C164" s="16">
        <f>'[5]BP-Men'!C13</f>
        <v>0</v>
      </c>
      <c r="D164" s="16" t="str">
        <f t="shared" si="0"/>
        <v>0</v>
      </c>
      <c r="E164" s="16">
        <f>'[5]BP-Men'!D13</f>
        <v>0</v>
      </c>
      <c r="F164" s="17">
        <f>'[5]BP-Men'!E13</f>
        <v>0</v>
      </c>
      <c r="G164" s="51">
        <f>'[5]BP-Men'!F13</f>
        <v>0</v>
      </c>
    </row>
    <row r="165" spans="1:7" x14ac:dyDescent="0.25">
      <c r="A165" s="28" t="str">
        <f>'[5]BP-Men'!A14</f>
        <v>140+</v>
      </c>
      <c r="B165" s="16">
        <f>'[5]BP-Men'!B14</f>
        <v>0</v>
      </c>
      <c r="C165" s="16">
        <f>'[5]BP-Men'!C14</f>
        <v>0</v>
      </c>
      <c r="D165" s="16" t="str">
        <f t="shared" ref="D165" si="1">RIGHT(C165,2)</f>
        <v>0</v>
      </c>
      <c r="E165" s="16">
        <f>'[5]BP-Men'!D14</f>
        <v>0</v>
      </c>
      <c r="F165" s="17">
        <f>'[5]BP-Men'!E14</f>
        <v>0</v>
      </c>
      <c r="G165" s="51">
        <f>'[5]BP-Men'!F14</f>
        <v>0</v>
      </c>
    </row>
    <row r="166" spans="1:7" x14ac:dyDescent="0.25">
      <c r="B166" s="16">
        <f>'[5]BP-Men'!B15</f>
        <v>0</v>
      </c>
      <c r="C166" s="16">
        <f>'[5]BP-Men'!C15</f>
        <v>0</v>
      </c>
      <c r="D166" s="16" t="str">
        <f t="shared" ref="D166" si="2">RIGHT(C166,2)</f>
        <v>0</v>
      </c>
      <c r="E166" s="16">
        <f>'[5]BP-Men'!D15</f>
        <v>0</v>
      </c>
      <c r="F166" s="17">
        <f>'[5]BP-Men'!E15</f>
        <v>0</v>
      </c>
      <c r="G166" s="51">
        <f>'[5]BP-Men'!F15</f>
        <v>0</v>
      </c>
    </row>
    <row r="167" spans="1:7" s="11" customFormat="1" x14ac:dyDescent="0.25">
      <c r="A167" s="22" t="s">
        <v>0</v>
      </c>
      <c r="B167" s="11">
        <v>1</v>
      </c>
      <c r="C167" s="11">
        <v>16</v>
      </c>
      <c r="D167" s="11" t="str">
        <f>'[5]BP-Men'!B16</f>
        <v>T2  (16 - 17)</v>
      </c>
      <c r="F167" s="13"/>
      <c r="G167" s="30">
        <f>'[5]BP-Men'!F16</f>
        <v>0</v>
      </c>
    </row>
    <row r="168" spans="1:7" x14ac:dyDescent="0.25">
      <c r="A168" s="28">
        <f>'[5]BP-Men'!A17</f>
        <v>52</v>
      </c>
      <c r="B168" s="16">
        <f>'[5]BP-Men'!B17</f>
        <v>87.5</v>
      </c>
      <c r="C168" s="16" t="str">
        <f>'[5]BP-Men'!C17</f>
        <v>Polyakov Maxim/95</v>
      </c>
      <c r="D168" s="16" t="str">
        <f t="shared" si="0"/>
        <v>95</v>
      </c>
      <c r="E168" s="16" t="str">
        <f>'[5]BP-Men'!D17</f>
        <v>RUS</v>
      </c>
      <c r="F168" s="17">
        <f>'[5]BP-Men'!E17</f>
        <v>40983</v>
      </c>
      <c r="G168" s="51" t="str">
        <f>'[5]BP-Men'!F17</f>
        <v>Yekaterinbourgh</v>
      </c>
    </row>
    <row r="169" spans="1:7" x14ac:dyDescent="0.25">
      <c r="A169" s="28">
        <f>'[5]BP-Men'!A18</f>
        <v>56</v>
      </c>
      <c r="B169" s="16" t="str">
        <f>'[5]BP-Men'!B18</f>
        <v>112.5</v>
      </c>
      <c r="C169" s="16" t="str">
        <f>'[5]BP-Men'!C18</f>
        <v>Guliyev Fahri/91</v>
      </c>
      <c r="D169" s="16" t="str">
        <f t="shared" si="0"/>
        <v>91</v>
      </c>
      <c r="E169" s="16" t="str">
        <f>'[5]BP-Men'!D18</f>
        <v>RUS</v>
      </c>
      <c r="F169" s="17">
        <f>'[5]BP-Men'!E18</f>
        <v>39529</v>
      </c>
      <c r="G169" s="51" t="str">
        <f>'[5]BP-Men'!F18</f>
        <v>Rostov</v>
      </c>
    </row>
    <row r="170" spans="1:7" x14ac:dyDescent="0.25">
      <c r="A170" s="28">
        <f>'[5]BP-Men'!A19</f>
        <v>60</v>
      </c>
      <c r="B170" s="16">
        <f>'[5]BP-Men'!B19</f>
        <v>145</v>
      </c>
      <c r="C170" s="16" t="str">
        <f>'[5]BP-Men'!C19</f>
        <v>Telegin Nikita/95</v>
      </c>
      <c r="D170" s="16" t="str">
        <f t="shared" si="0"/>
        <v>95</v>
      </c>
      <c r="E170" s="16" t="str">
        <f>'[5]BP-Men'!D19</f>
        <v>RUS</v>
      </c>
      <c r="F170" s="17">
        <f>'[5]BP-Men'!E19</f>
        <v>40983</v>
      </c>
      <c r="G170" s="51" t="str">
        <f>'[5]BP-Men'!F19</f>
        <v>Yekaterinbourgh</v>
      </c>
    </row>
    <row r="171" spans="1:7" x14ac:dyDescent="0.25">
      <c r="A171" s="28" t="str">
        <f>'[5]BP-Men'!A20</f>
        <v>67.5</v>
      </c>
      <c r="B171" s="16">
        <f>'[5]BP-Men'!B20</f>
        <v>162.5</v>
      </c>
      <c r="C171" s="16" t="str">
        <f>'[5]BP-Men'!C20</f>
        <v>Abdyushev Arthur/93</v>
      </c>
      <c r="D171" s="16" t="str">
        <f t="shared" si="0"/>
        <v>93</v>
      </c>
      <c r="E171" s="16" t="str">
        <f>'[5]BP-Men'!D20</f>
        <v>RUS</v>
      </c>
      <c r="F171" s="17">
        <f>'[5]BP-Men'!E20</f>
        <v>41129</v>
      </c>
      <c r="G171" s="51" t="str">
        <f>'[5]BP-Men'!F20</f>
        <v>Kryvyi Rig</v>
      </c>
    </row>
    <row r="172" spans="1:7" x14ac:dyDescent="0.25">
      <c r="A172" s="28">
        <f>'[5]BP-Men'!A21</f>
        <v>75</v>
      </c>
      <c r="B172" s="16" t="str">
        <f>'[5]BP-Men'!B21</f>
        <v>182.5</v>
      </c>
      <c r="C172" s="16" t="str">
        <f>'[5]BP-Men'!C21</f>
        <v>Lopatin Vladislav/90</v>
      </c>
      <c r="D172" s="16" t="str">
        <f t="shared" si="0"/>
        <v>90</v>
      </c>
      <c r="E172" s="16" t="str">
        <f>'[5]BP-Men'!D21</f>
        <v>RUS</v>
      </c>
      <c r="F172" s="17">
        <f>'[5]BP-Men'!E21</f>
        <v>39529</v>
      </c>
      <c r="G172" s="51" t="str">
        <f>'[5]BP-Men'!F21</f>
        <v>Rostov</v>
      </c>
    </row>
    <row r="173" spans="1:7" x14ac:dyDescent="0.25">
      <c r="A173" s="28" t="str">
        <f>'[5]BP-Men'!A22</f>
        <v>82.5</v>
      </c>
      <c r="B173" s="16">
        <f>'[5]BP-Men'!B22</f>
        <v>170</v>
      </c>
      <c r="C173" s="16" t="str">
        <f>'[5]BP-Men'!C22</f>
        <v>Karpenko Alexander/92</v>
      </c>
      <c r="D173" s="16" t="str">
        <f t="shared" ref="D173:D233" si="3">RIGHT(C173,2)</f>
        <v>92</v>
      </c>
      <c r="E173" s="16" t="str">
        <f>'[5]BP-Men'!D22</f>
        <v>RUS</v>
      </c>
      <c r="F173" s="17">
        <f>'[5]BP-Men'!E22</f>
        <v>40258</v>
      </c>
      <c r="G173" s="51" t="str">
        <f>'[5]BP-Men'!F22</f>
        <v>Kursk</v>
      </c>
    </row>
    <row r="174" spans="1:7" x14ac:dyDescent="0.25">
      <c r="A174" s="28">
        <f>'[5]BP-Men'!A23</f>
        <v>90</v>
      </c>
      <c r="B174" s="16">
        <f>'[5]BP-Men'!B23</f>
        <v>155</v>
      </c>
      <c r="C174" s="16" t="str">
        <f>'[5]BP-Men'!C23</f>
        <v>Garkavenko Vitaliy/94</v>
      </c>
      <c r="D174" s="16" t="str">
        <f t="shared" si="3"/>
        <v>94</v>
      </c>
      <c r="E174" s="16" t="str">
        <f>'[5]BP-Men'!D23</f>
        <v>UKR</v>
      </c>
      <c r="F174" s="17">
        <f>'[5]BP-Men'!E23</f>
        <v>40628</v>
      </c>
      <c r="G174" s="51" t="str">
        <f>'[5]BP-Men'!F23</f>
        <v>Kryvyi Rig</v>
      </c>
    </row>
    <row r="175" spans="1:7" x14ac:dyDescent="0.25">
      <c r="A175" s="28">
        <f>'[5]BP-Men'!A24</f>
        <v>100</v>
      </c>
      <c r="B175" s="16">
        <f>'[5]BP-Men'!B24</f>
        <v>160</v>
      </c>
      <c r="C175" s="16" t="str">
        <f>'[5]BP-Men'!C24</f>
        <v>Moskalenko Stanislav/92</v>
      </c>
      <c r="D175" s="16" t="str">
        <f t="shared" si="3"/>
        <v>92</v>
      </c>
      <c r="E175" s="16" t="str">
        <f>'[5]BP-Men'!D24</f>
        <v>RUS</v>
      </c>
      <c r="F175" s="17">
        <f>'[5]BP-Men'!E24</f>
        <v>39873</v>
      </c>
      <c r="G175" s="51" t="str">
        <f>'[5]BP-Men'!F24</f>
        <v>Chelyabinsk</v>
      </c>
    </row>
    <row r="176" spans="1:7" x14ac:dyDescent="0.25">
      <c r="A176" s="28">
        <f>'[5]BP-Men'!A25</f>
        <v>110</v>
      </c>
      <c r="B176" s="16">
        <f>'[5]BP-Men'!B25</f>
        <v>0</v>
      </c>
      <c r="C176" s="16">
        <f>'[5]BP-Men'!C25</f>
        <v>0</v>
      </c>
      <c r="D176" s="16" t="str">
        <f t="shared" si="3"/>
        <v>0</v>
      </c>
      <c r="E176" s="16">
        <f>'[5]BP-Men'!D25</f>
        <v>0</v>
      </c>
      <c r="F176" s="17">
        <f>'[5]BP-Men'!E25</f>
        <v>0</v>
      </c>
      <c r="G176" s="51">
        <f>'[5]BP-Men'!F25</f>
        <v>0</v>
      </c>
    </row>
    <row r="177" spans="1:7" x14ac:dyDescent="0.25">
      <c r="A177" s="28">
        <f>'[5]BP-Men'!A26</f>
        <v>125</v>
      </c>
      <c r="B177" s="16">
        <f>'[5]BP-Men'!B26</f>
        <v>210</v>
      </c>
      <c r="C177" s="16" t="str">
        <f>'[5]BP-Men'!C26</f>
        <v>Makarov Andrei/93</v>
      </c>
      <c r="D177" s="16" t="str">
        <f t="shared" si="3"/>
        <v>93</v>
      </c>
      <c r="E177" s="16" t="str">
        <f>'[5]BP-Men'!D26</f>
        <v>RUS</v>
      </c>
      <c r="F177" s="17">
        <f>'[5]BP-Men'!E26</f>
        <v>40641</v>
      </c>
      <c r="G177" s="51" t="str">
        <f>'[5]BP-Men'!F26</f>
        <v>Chelyabinsk</v>
      </c>
    </row>
    <row r="178" spans="1:7" x14ac:dyDescent="0.25">
      <c r="A178" s="28">
        <f>'[5]BP-Men'!A27</f>
        <v>140</v>
      </c>
      <c r="B178" s="16">
        <f>'[5]BP-Men'!B27</f>
        <v>150</v>
      </c>
      <c r="C178" s="16" t="str">
        <f>'[5]BP-Men'!C27</f>
        <v>Kurkomeli Mikhail/93</v>
      </c>
      <c r="D178" s="16" t="str">
        <f t="shared" si="3"/>
        <v>93</v>
      </c>
      <c r="E178" s="16" t="str">
        <f>'[5]BP-Men'!D27</f>
        <v>RUS</v>
      </c>
      <c r="F178" s="17">
        <f>'[5]BP-Men'!E27</f>
        <v>39873</v>
      </c>
      <c r="G178" s="51" t="str">
        <f>'[5]BP-Men'!F27</f>
        <v>Chelyabinsk</v>
      </c>
    </row>
    <row r="179" spans="1:7" x14ac:dyDescent="0.25">
      <c r="A179" s="28" t="str">
        <f>'[5]BP-Men'!A28</f>
        <v>140+</v>
      </c>
      <c r="B179" s="16">
        <f>'[5]BP-Men'!B28</f>
        <v>0</v>
      </c>
      <c r="C179" s="16">
        <f>'[5]BP-Men'!C28</f>
        <v>0</v>
      </c>
      <c r="D179" s="16" t="str">
        <f t="shared" ref="D179:D180" si="4">RIGHT(C179,2)</f>
        <v>0</v>
      </c>
      <c r="E179" s="16">
        <f>'[5]BP-Men'!D28</f>
        <v>0</v>
      </c>
      <c r="F179" s="17">
        <f>'[5]BP-Men'!E28</f>
        <v>0</v>
      </c>
      <c r="G179" s="51">
        <f>'[5]BP-Men'!F28</f>
        <v>0</v>
      </c>
    </row>
    <row r="180" spans="1:7" x14ac:dyDescent="0.25">
      <c r="B180" s="16">
        <f>'[5]BP-Men'!B29</f>
        <v>0</v>
      </c>
      <c r="C180" s="16">
        <f>'[5]BP-Men'!C29</f>
        <v>0</v>
      </c>
      <c r="D180" s="16" t="str">
        <f t="shared" si="4"/>
        <v>0</v>
      </c>
      <c r="E180" s="16">
        <f>'[5]BP-Men'!D29</f>
        <v>0</v>
      </c>
      <c r="F180" s="17">
        <f>'[5]BP-Men'!E29</f>
        <v>0</v>
      </c>
      <c r="G180" s="51">
        <f>'[5]BP-Men'!F29</f>
        <v>0</v>
      </c>
    </row>
    <row r="181" spans="1:7" s="11" customFormat="1" x14ac:dyDescent="0.25">
      <c r="A181" s="22" t="s">
        <v>0</v>
      </c>
      <c r="B181" s="11">
        <v>1</v>
      </c>
      <c r="C181" s="11">
        <v>18</v>
      </c>
      <c r="D181" s="11" t="str">
        <f>'[5]BP-Men'!B30</f>
        <v>T3 (18 - 19)</v>
      </c>
      <c r="F181" s="13"/>
      <c r="G181" s="30">
        <f>'[5]BP-Men'!F30</f>
        <v>0</v>
      </c>
    </row>
    <row r="182" spans="1:7" x14ac:dyDescent="0.25">
      <c r="A182" s="28">
        <f>'[5]BP-Men'!A31</f>
        <v>52</v>
      </c>
      <c r="B182" s="16">
        <f>'[5]BP-Men'!B31</f>
        <v>90</v>
      </c>
      <c r="C182" s="16" t="str">
        <f>'[5]BP-Men'!C31</f>
        <v>Рыжов Александр/93</v>
      </c>
      <c r="D182" s="16" t="str">
        <f t="shared" si="3"/>
        <v>93</v>
      </c>
      <c r="E182" s="16" t="str">
        <f>'[5]BP-Men'!D31</f>
        <v>RUS</v>
      </c>
      <c r="F182" s="17">
        <f>'[5]BP-Men'!E31</f>
        <v>41137</v>
      </c>
      <c r="G182" s="51" t="str">
        <f>'[5]BP-Men'!F31</f>
        <v>Novosibirsk</v>
      </c>
    </row>
    <row r="183" spans="1:7" x14ac:dyDescent="0.25">
      <c r="A183" s="28">
        <f>'[5]BP-Men'!A32</f>
        <v>56</v>
      </c>
      <c r="B183" s="16">
        <f>'[5]BP-Men'!B32</f>
        <v>115</v>
      </c>
      <c r="C183" s="16" t="str">
        <f>'[5]BP-Men'!C32</f>
        <v>Zhikan Vladimir/94</v>
      </c>
      <c r="D183" s="16" t="str">
        <f t="shared" si="3"/>
        <v>94</v>
      </c>
      <c r="E183" s="16" t="str">
        <f>'[5]BP-Men'!D32</f>
        <v>RUS</v>
      </c>
      <c r="F183" s="17">
        <f>'[5]BP-Men'!E32</f>
        <v>41137</v>
      </c>
      <c r="G183" s="51" t="str">
        <f>'[5]BP-Men'!F32</f>
        <v>Novosibirsk</v>
      </c>
    </row>
    <row r="184" spans="1:7" x14ac:dyDescent="0.25">
      <c r="A184" s="28">
        <f>'[5]BP-Men'!A33</f>
        <v>60</v>
      </c>
      <c r="B184" s="16">
        <f>'[5]BP-Men'!B33</f>
        <v>142.5</v>
      </c>
      <c r="C184" s="16" t="str">
        <f>'[5]BP-Men'!C33</f>
        <v>Chekalin Vladislav/95</v>
      </c>
      <c r="D184" s="16" t="str">
        <f t="shared" si="3"/>
        <v>95</v>
      </c>
      <c r="E184" s="16" t="str">
        <f>'[5]BP-Men'!D33</f>
        <v>RUS</v>
      </c>
      <c r="F184" s="17">
        <f>'[5]BP-Men'!E33</f>
        <v>41137</v>
      </c>
      <c r="G184" s="51" t="str">
        <f>'[5]BP-Men'!F33</f>
        <v>Novosibirsk</v>
      </c>
    </row>
    <row r="185" spans="1:7" x14ac:dyDescent="0.25">
      <c r="A185" s="28" t="str">
        <f>'[5]BP-Men'!A34</f>
        <v>67.5</v>
      </c>
      <c r="B185" s="16">
        <f>'[5]BP-Men'!B34</f>
        <v>163.5</v>
      </c>
      <c r="C185" s="16" t="str">
        <f>'[5]BP-Men'!C34</f>
        <v>Noskov Andrei/93</v>
      </c>
      <c r="D185" s="16" t="str">
        <f t="shared" si="3"/>
        <v>93</v>
      </c>
      <c r="E185" s="16" t="str">
        <f>'[5]BP-Men'!D34</f>
        <v>RUS</v>
      </c>
      <c r="F185" s="17">
        <f>'[5]BP-Men'!E34</f>
        <v>41201</v>
      </c>
      <c r="G185" s="51" t="str">
        <f>'[5]BP-Men'!F34</f>
        <v>Krasnodar</v>
      </c>
    </row>
    <row r="186" spans="1:7" x14ac:dyDescent="0.25">
      <c r="A186" s="28">
        <f>'[5]BP-Men'!A35</f>
        <v>75</v>
      </c>
      <c r="B186" s="16">
        <f>'[5]BP-Men'!B35</f>
        <v>185</v>
      </c>
      <c r="C186" s="16" t="str">
        <f>'[5]BP-Men'!C35</f>
        <v>Medvedev Yaroslav/93</v>
      </c>
      <c r="D186" s="16" t="str">
        <f t="shared" si="3"/>
        <v>93</v>
      </c>
      <c r="E186" s="16" t="str">
        <f>'[5]BP-Men'!D35</f>
        <v>RUS</v>
      </c>
      <c r="F186" s="17">
        <f>'[5]BP-Men'!E35</f>
        <v>41017</v>
      </c>
      <c r="G186" s="51" t="str">
        <f>'[5]BP-Men'!F35</f>
        <v>Rostov</v>
      </c>
    </row>
    <row r="187" spans="1:7" x14ac:dyDescent="0.25">
      <c r="A187" s="28" t="str">
        <f>'[5]BP-Men'!A36</f>
        <v>82.5</v>
      </c>
      <c r="B187" s="16">
        <f>'[5]BP-Men'!B36</f>
        <v>207.5</v>
      </c>
      <c r="C187" s="16" t="str">
        <f>'[5]BP-Men'!C36</f>
        <v>Karpenko Alexander/92</v>
      </c>
      <c r="D187" s="16" t="str">
        <f t="shared" si="3"/>
        <v>92</v>
      </c>
      <c r="E187" s="16" t="str">
        <f>'[5]BP-Men'!D36</f>
        <v>RUS</v>
      </c>
      <c r="F187" s="17">
        <f>'[5]BP-Men'!E36</f>
        <v>41018</v>
      </c>
      <c r="G187" s="51" t="str">
        <f>'[5]BP-Men'!F36</f>
        <v>Rostov</v>
      </c>
    </row>
    <row r="188" spans="1:7" x14ac:dyDescent="0.25">
      <c r="A188" s="28">
        <f>'[5]BP-Men'!A37</f>
        <v>90</v>
      </c>
      <c r="B188" s="16">
        <f>'[5]BP-Men'!B37</f>
        <v>175</v>
      </c>
      <c r="C188" s="16" t="str">
        <f>'[5]BP-Men'!C37</f>
        <v>Vlasov Ivan/91</v>
      </c>
      <c r="D188" s="16" t="str">
        <f t="shared" si="3"/>
        <v>91</v>
      </c>
      <c r="E188" s="16" t="str">
        <f>'[5]BP-Men'!D37</f>
        <v>RUS</v>
      </c>
      <c r="F188" s="17">
        <f>'[5]BP-Men'!E37</f>
        <v>40641</v>
      </c>
      <c r="G188" s="51" t="str">
        <f>'[5]BP-Men'!F37</f>
        <v>Chelyabinsk</v>
      </c>
    </row>
    <row r="189" spans="1:7" x14ac:dyDescent="0.25">
      <c r="A189" s="28">
        <f>'[5]BP-Men'!A38</f>
        <v>100</v>
      </c>
      <c r="B189" s="16">
        <f>'[5]BP-Men'!B38</f>
        <v>235</v>
      </c>
      <c r="C189" s="16" t="str">
        <f>'[5]BP-Men'!C38</f>
        <v>Boyko Ilya/94</v>
      </c>
      <c r="D189" s="16" t="str">
        <f t="shared" si="3"/>
        <v>94</v>
      </c>
      <c r="E189" s="16" t="str">
        <f>'[5]BP-Men'!D38</f>
        <v>RUS</v>
      </c>
      <c r="F189" s="17">
        <f>'[5]BP-Men'!E38</f>
        <v>41216</v>
      </c>
      <c r="G189" s="51" t="str">
        <f>'[5]BP-Men'!F38</f>
        <v>Vologda</v>
      </c>
    </row>
    <row r="190" spans="1:7" x14ac:dyDescent="0.25">
      <c r="A190" s="28">
        <f>'[5]BP-Men'!A39</f>
        <v>110</v>
      </c>
      <c r="B190" s="16">
        <f>'[5]BP-Men'!B39</f>
        <v>195</v>
      </c>
      <c r="C190" s="16" t="str">
        <f>'[5]BP-Men'!C39</f>
        <v>Marakhovskyi Pavlo/91</v>
      </c>
      <c r="D190" s="16" t="str">
        <f t="shared" si="3"/>
        <v>91</v>
      </c>
      <c r="E190" s="16" t="str">
        <f>'[5]BP-Men'!D39</f>
        <v>UKR</v>
      </c>
      <c r="F190" s="17">
        <f>'[5]BP-Men'!E39</f>
        <v>40257</v>
      </c>
      <c r="G190" s="51" t="str">
        <f>'[5]BP-Men'!F39</f>
        <v>Kryvyi Rig</v>
      </c>
    </row>
    <row r="191" spans="1:7" x14ac:dyDescent="0.25">
      <c r="A191" s="28">
        <f>'[5]BP-Men'!A40</f>
        <v>125</v>
      </c>
      <c r="B191" s="16">
        <f>'[5]BP-Men'!B40</f>
        <v>0</v>
      </c>
      <c r="C191" s="16">
        <f>'[5]BP-Men'!C40</f>
        <v>0</v>
      </c>
      <c r="D191" s="16" t="str">
        <f t="shared" si="3"/>
        <v>0</v>
      </c>
      <c r="E191" s="16">
        <f>'[5]BP-Men'!D40</f>
        <v>0</v>
      </c>
      <c r="F191" s="17">
        <f>'[5]BP-Men'!E40</f>
        <v>0</v>
      </c>
      <c r="G191" s="51">
        <f>'[5]BP-Men'!F40</f>
        <v>0</v>
      </c>
    </row>
    <row r="192" spans="1:7" x14ac:dyDescent="0.25">
      <c r="A192" s="28">
        <f>'[5]BP-Men'!A41</f>
        <v>140</v>
      </c>
      <c r="B192" s="16">
        <f>'[5]BP-Men'!B41</f>
        <v>0</v>
      </c>
      <c r="C192" s="16">
        <f>'[5]BP-Men'!C41</f>
        <v>0</v>
      </c>
      <c r="D192" s="16" t="str">
        <f t="shared" ref="D192:D194" si="5">RIGHT(C192,2)</f>
        <v>0</v>
      </c>
      <c r="E192" s="16">
        <f>'[5]BP-Men'!D41</f>
        <v>0</v>
      </c>
      <c r="F192" s="17">
        <f>'[5]BP-Men'!E41</f>
        <v>0</v>
      </c>
      <c r="G192" s="51">
        <f>'[5]BP-Men'!F41</f>
        <v>0</v>
      </c>
    </row>
    <row r="193" spans="1:7" x14ac:dyDescent="0.25">
      <c r="A193" s="28" t="str">
        <f>'[5]BP-Men'!A42</f>
        <v>140+</v>
      </c>
      <c r="B193" s="16">
        <f>'[5]BP-Men'!B42</f>
        <v>235</v>
      </c>
      <c r="C193" s="16" t="str">
        <f>'[5]BP-Men'!C42</f>
        <v>Makarov Andrei/93</v>
      </c>
      <c r="D193" s="16" t="str">
        <f t="shared" si="5"/>
        <v>93</v>
      </c>
      <c r="E193" s="16" t="str">
        <f>'[5]BP-Men'!D42</f>
        <v>RUS</v>
      </c>
      <c r="F193" s="17">
        <f>'[5]BP-Men'!E42</f>
        <v>41201</v>
      </c>
      <c r="G193" s="51" t="str">
        <f>'[5]BP-Men'!F42</f>
        <v>Krasnodar</v>
      </c>
    </row>
    <row r="194" spans="1:7" x14ac:dyDescent="0.25">
      <c r="B194" s="16">
        <f>'[5]BP-Men'!B43</f>
        <v>0</v>
      </c>
      <c r="C194" s="16">
        <f>'[5]BP-Men'!C43</f>
        <v>0</v>
      </c>
      <c r="D194" s="16" t="str">
        <f t="shared" si="5"/>
        <v>0</v>
      </c>
      <c r="E194" s="16">
        <f>'[5]BP-Men'!D43</f>
        <v>0</v>
      </c>
      <c r="F194" s="17">
        <f>'[5]BP-Men'!E43</f>
        <v>0</v>
      </c>
      <c r="G194" s="51">
        <f>'[5]BP-Men'!F43</f>
        <v>0</v>
      </c>
    </row>
    <row r="195" spans="1:7" s="11" customFormat="1" x14ac:dyDescent="0.25">
      <c r="A195" s="22" t="s">
        <v>0</v>
      </c>
      <c r="B195" s="11">
        <v>1</v>
      </c>
      <c r="C195" s="11">
        <v>20</v>
      </c>
      <c r="D195" s="11" t="str">
        <f>'[5]BP-Men'!B44</f>
        <v>Men's Junior (20 - 23)</v>
      </c>
      <c r="F195" s="13"/>
      <c r="G195" s="30">
        <f>'[5]BP-Men'!F44</f>
        <v>0</v>
      </c>
    </row>
    <row r="196" spans="1:7" x14ac:dyDescent="0.25">
      <c r="A196" s="28">
        <f>'[5]BP-Men'!A45</f>
        <v>52</v>
      </c>
      <c r="B196" s="16">
        <f>'[5]BP-Men'!B45</f>
        <v>120</v>
      </c>
      <c r="C196" s="16" t="str">
        <f>'[5]BP-Men'!C45</f>
        <v>Skhalyakho Kaplan/90</v>
      </c>
      <c r="D196" s="16" t="str">
        <f t="shared" si="3"/>
        <v>90</v>
      </c>
      <c r="E196" s="16" t="str">
        <f>'[5]BP-Men'!D45</f>
        <v>RUS</v>
      </c>
      <c r="F196" s="17">
        <f>'[5]BP-Men'!E45</f>
        <v>41201</v>
      </c>
      <c r="G196" s="51" t="str">
        <f>'[5]BP-Men'!F45</f>
        <v>Krasnodar</v>
      </c>
    </row>
    <row r="197" spans="1:7" x14ac:dyDescent="0.25">
      <c r="A197" s="28">
        <f>'[5]BP-Men'!A46</f>
        <v>56</v>
      </c>
      <c r="B197" s="16">
        <f>'[5]BP-Men'!B46</f>
        <v>0</v>
      </c>
      <c r="C197" s="16">
        <f>'[5]BP-Men'!C46</f>
        <v>0</v>
      </c>
      <c r="D197" s="16" t="str">
        <f t="shared" si="3"/>
        <v>0</v>
      </c>
      <c r="E197" s="16">
        <f>'[5]BP-Men'!D46</f>
        <v>0</v>
      </c>
      <c r="F197" s="17">
        <f>'[5]BP-Men'!E46</f>
        <v>0</v>
      </c>
      <c r="G197" s="51">
        <f>'[5]BP-Men'!F46</f>
        <v>0</v>
      </c>
    </row>
    <row r="198" spans="1:7" x14ac:dyDescent="0.25">
      <c r="A198" s="28">
        <f>'[5]BP-Men'!A47</f>
        <v>60</v>
      </c>
      <c r="B198" s="16">
        <f>'[5]BP-Men'!B47</f>
        <v>150</v>
      </c>
      <c r="C198" s="16" t="str">
        <f>'[5]BP-Men'!C47</f>
        <v>Boryuk Sergiy/85</v>
      </c>
      <c r="D198" s="16" t="str">
        <f t="shared" si="3"/>
        <v>85</v>
      </c>
      <c r="E198" s="16" t="str">
        <f>'[5]BP-Men'!D47</f>
        <v>UKR</v>
      </c>
      <c r="F198" s="17">
        <f>'[5]BP-Men'!E47</f>
        <v>39726</v>
      </c>
      <c r="G198" s="51" t="str">
        <f>'[5]BP-Men'!F47</f>
        <v>Ternopil"</v>
      </c>
    </row>
    <row r="199" spans="1:7" x14ac:dyDescent="0.25">
      <c r="A199" s="28" t="str">
        <f>'[5]BP-Men'!A48</f>
        <v>67.5</v>
      </c>
      <c r="B199" s="16">
        <f>'[5]BP-Men'!B48</f>
        <v>165</v>
      </c>
      <c r="C199" s="16" t="str">
        <f>'[5]BP-Men'!C48</f>
        <v>Zhigulin Konstantin/87</v>
      </c>
      <c r="D199" s="16" t="str">
        <f t="shared" si="3"/>
        <v>87</v>
      </c>
      <c r="E199" s="16" t="str">
        <f>'[5]BP-Men'!D48</f>
        <v>RUS</v>
      </c>
      <c r="F199" s="17">
        <f>'[5]BP-Men'!E48</f>
        <v>40769</v>
      </c>
      <c r="G199" s="51" t="str">
        <f>'[5]BP-Men'!F48</f>
        <v>Kursk</v>
      </c>
    </row>
    <row r="200" spans="1:7" x14ac:dyDescent="0.25">
      <c r="A200" s="28">
        <f>'[5]BP-Men'!A49</f>
        <v>75</v>
      </c>
      <c r="B200" s="16">
        <f>'[5]BP-Men'!B49</f>
        <v>185</v>
      </c>
      <c r="C200" s="16" t="str">
        <f>'[5]BP-Men'!C49</f>
        <v>Medvedev Yaroslav/93</v>
      </c>
      <c r="D200" s="16" t="str">
        <f t="shared" si="3"/>
        <v>93</v>
      </c>
      <c r="E200" s="16" t="str">
        <f>'[5]BP-Men'!D49</f>
        <v>RUS</v>
      </c>
      <c r="F200" s="17">
        <f>'[5]BP-Men'!E49</f>
        <v>41018</v>
      </c>
      <c r="G200" s="51" t="str">
        <f>'[5]BP-Men'!F49</f>
        <v>Rostov</v>
      </c>
    </row>
    <row r="201" spans="1:7" x14ac:dyDescent="0.25">
      <c r="A201" s="28" t="str">
        <f>'[5]BP-Men'!A50</f>
        <v>82.5</v>
      </c>
      <c r="B201" s="16">
        <f>'[5]BP-Men'!B50</f>
        <v>207.5</v>
      </c>
      <c r="C201" s="16" t="str">
        <f>'[5]BP-Men'!C50</f>
        <v>Abubekirov Rinat/86</v>
      </c>
      <c r="D201" s="16" t="str">
        <f t="shared" si="3"/>
        <v>86</v>
      </c>
      <c r="E201" s="16" t="str">
        <f>'[5]BP-Men'!D50</f>
        <v>RUS</v>
      </c>
      <c r="F201" s="17">
        <f>'[5]BP-Men'!E50</f>
        <v>40409</v>
      </c>
      <c r="G201" s="51" t="str">
        <f>'[5]BP-Men'!F50</f>
        <v>Moscow</v>
      </c>
    </row>
    <row r="202" spans="1:7" x14ac:dyDescent="0.25">
      <c r="A202" s="28">
        <f>'[5]BP-Men'!A51</f>
        <v>90</v>
      </c>
      <c r="B202" s="16">
        <f>'[5]BP-Men'!B51</f>
        <v>237.5</v>
      </c>
      <c r="C202" s="16" t="str">
        <f>'[5]BP-Men'!C51</f>
        <v>Onufriyenko Denys/87</v>
      </c>
      <c r="D202" s="16" t="str">
        <f t="shared" si="3"/>
        <v>87</v>
      </c>
      <c r="E202" s="16" t="str">
        <f>'[5]BP-Men'!D51</f>
        <v>UKR</v>
      </c>
      <c r="F202" s="17">
        <f>'[5]BP-Men'!E51</f>
        <v>40257</v>
      </c>
      <c r="G202" s="51" t="str">
        <f>'[5]BP-Men'!F51</f>
        <v>Kryvyi Rig</v>
      </c>
    </row>
    <row r="203" spans="1:7" x14ac:dyDescent="0.25">
      <c r="A203" s="28">
        <f>'[5]BP-Men'!A52</f>
        <v>100</v>
      </c>
      <c r="B203" s="16">
        <f>'[5]BP-Men'!B52</f>
        <v>250</v>
      </c>
      <c r="C203" s="16" t="str">
        <f>'[5]BP-Men'!C52</f>
        <v>Likhovitskiy Ivan/90</v>
      </c>
      <c r="D203" s="16" t="str">
        <f t="shared" si="3"/>
        <v>90</v>
      </c>
      <c r="E203" s="16" t="str">
        <f>'[5]BP-Men'!D52</f>
        <v>RUS</v>
      </c>
      <c r="F203" s="17">
        <f>'[5]BP-Men'!E52</f>
        <v>41201</v>
      </c>
      <c r="G203" s="51" t="str">
        <f>'[5]BP-Men'!F52</f>
        <v>Krasnodar</v>
      </c>
    </row>
    <row r="204" spans="1:7" x14ac:dyDescent="0.25">
      <c r="A204" s="28">
        <f>'[5]BP-Men'!A53</f>
        <v>110</v>
      </c>
      <c r="B204" s="16">
        <f>'[5]BP-Men'!B53</f>
        <v>250</v>
      </c>
      <c r="C204" s="16" t="str">
        <f>'[5]BP-Men'!C53</f>
        <v>Kulebyakin Ruslan/91</v>
      </c>
      <c r="D204" s="16" t="str">
        <f t="shared" si="3"/>
        <v>91</v>
      </c>
      <c r="E204" s="16" t="str">
        <f>'[5]BP-Men'!D53</f>
        <v>RUS</v>
      </c>
      <c r="F204" s="17" t="str">
        <f>'[5]BP-Men'!E53</f>
        <v>23.08.2014</v>
      </c>
      <c r="G204" s="51" t="str">
        <f>'[5]BP-Men'!F53</f>
        <v>Moscow</v>
      </c>
    </row>
    <row r="205" spans="1:7" x14ac:dyDescent="0.25">
      <c r="A205" s="28">
        <f>'[5]BP-Men'!A54</f>
        <v>125</v>
      </c>
      <c r="B205" s="16">
        <f>'[5]BP-Men'!B54</f>
        <v>260</v>
      </c>
      <c r="C205" s="16" t="str">
        <f>'[5]BP-Men'!C54</f>
        <v>Voronkov Alexei/89</v>
      </c>
      <c r="D205" s="16" t="str">
        <f t="shared" si="3"/>
        <v>89</v>
      </c>
      <c r="E205" s="16" t="str">
        <f>'[5]BP-Men'!D54</f>
        <v>RUS</v>
      </c>
      <c r="F205" s="17">
        <f>'[5]BP-Men'!E54</f>
        <v>41201</v>
      </c>
      <c r="G205" s="51" t="str">
        <f>'[5]BP-Men'!F54</f>
        <v>Krasnodar</v>
      </c>
    </row>
    <row r="206" spans="1:7" x14ac:dyDescent="0.25">
      <c r="A206" s="28">
        <f>'[5]BP-Men'!A55</f>
        <v>140</v>
      </c>
      <c r="B206" s="16">
        <f>'[5]BP-Men'!B55</f>
        <v>216</v>
      </c>
      <c r="C206" s="16" t="str">
        <f>'[5]BP-Men'!C55</f>
        <v>Kuz'min Nikita/88</v>
      </c>
      <c r="D206" s="16" t="str">
        <f t="shared" si="3"/>
        <v>88</v>
      </c>
      <c r="E206" s="16" t="str">
        <f>'[5]BP-Men'!D55</f>
        <v>RUS</v>
      </c>
      <c r="F206" s="17">
        <f>'[5]BP-Men'!E55</f>
        <v>41137</v>
      </c>
      <c r="G206" s="51" t="str">
        <f>'[5]BP-Men'!F55</f>
        <v>Novosibirsk</v>
      </c>
    </row>
    <row r="207" spans="1:7" x14ac:dyDescent="0.25">
      <c r="A207" s="28" t="str">
        <f>'[5]BP-Men'!A56</f>
        <v>140+</v>
      </c>
      <c r="B207" s="16">
        <f>'[5]BP-Men'!B56</f>
        <v>255</v>
      </c>
      <c r="C207" s="16" t="str">
        <f>'[5]BP-Men'!C56</f>
        <v>Lisogor Olexiy/86</v>
      </c>
      <c r="D207" s="16" t="str">
        <f t="shared" ref="D207" si="6">RIGHT(C207,2)</f>
        <v>86</v>
      </c>
      <c r="E207" s="16" t="str">
        <f>'[5]BP-Men'!D56</f>
        <v>UKR</v>
      </c>
      <c r="F207" s="17">
        <f>'[5]BP-Men'!E56</f>
        <v>39724</v>
      </c>
      <c r="G207" s="51" t="str">
        <f>'[5]BP-Men'!F56</f>
        <v>Lauchhammer</v>
      </c>
    </row>
    <row r="208" spans="1:7" x14ac:dyDescent="0.25">
      <c r="B208" s="16">
        <f>'[5]BP-Men'!B57</f>
        <v>0</v>
      </c>
      <c r="C208" s="16">
        <f>'[5]BP-Men'!C57</f>
        <v>0</v>
      </c>
      <c r="D208" s="16" t="str">
        <f t="shared" ref="D208" si="7">RIGHT(C208,2)</f>
        <v>0</v>
      </c>
      <c r="E208" s="16">
        <f>'[5]BP-Men'!D57</f>
        <v>0</v>
      </c>
      <c r="F208" s="17">
        <f>'[5]BP-Men'!E57</f>
        <v>0</v>
      </c>
      <c r="G208" s="51">
        <f>'[5]BP-Men'!F57</f>
        <v>0</v>
      </c>
    </row>
    <row r="209" spans="1:7" s="11" customFormat="1" x14ac:dyDescent="0.25">
      <c r="A209" s="22" t="s">
        <v>0</v>
      </c>
      <c r="B209" s="11">
        <v>1</v>
      </c>
      <c r="C209" s="11">
        <v>-2</v>
      </c>
      <c r="D209" s="11" t="str">
        <f>'[5]BP-Men'!B58</f>
        <v>MEN Open</v>
      </c>
      <c r="F209" s="13"/>
      <c r="G209" s="30">
        <f>'[5]BP-Men'!F58</f>
        <v>0</v>
      </c>
    </row>
    <row r="210" spans="1:7" x14ac:dyDescent="0.25">
      <c r="A210" s="28">
        <f>'[5]BP-Men'!A59</f>
        <v>52</v>
      </c>
      <c r="B210" s="16">
        <f>'[5]BP-Men'!B59</f>
        <v>120</v>
      </c>
      <c r="C210" s="16" t="str">
        <f>'[5]BP-Men'!C59</f>
        <v>Skhalyakho Kaplan/90</v>
      </c>
      <c r="D210" s="16" t="str">
        <f t="shared" si="3"/>
        <v>90</v>
      </c>
      <c r="E210" s="16" t="str">
        <f>'[5]BP-Men'!D59</f>
        <v>RUS</v>
      </c>
      <c r="F210" s="17">
        <f>'[5]BP-Men'!E59</f>
        <v>41201</v>
      </c>
      <c r="G210" s="51" t="str">
        <f>'[5]BP-Men'!F59</f>
        <v>Krasnodar</v>
      </c>
    </row>
    <row r="211" spans="1:7" x14ac:dyDescent="0.25">
      <c r="A211" s="28">
        <f>'[5]BP-Men'!A60</f>
        <v>56</v>
      </c>
      <c r="B211" s="16">
        <f>'[5]BP-Men'!B60</f>
        <v>140</v>
      </c>
      <c r="C211" s="16" t="str">
        <f>'[5]BP-Men'!C60</f>
        <v>Artemyev Igor/71</v>
      </c>
      <c r="D211" s="16" t="str">
        <f t="shared" si="3"/>
        <v>71</v>
      </c>
      <c r="E211" s="16" t="str">
        <f>'[5]BP-Men'!D60</f>
        <v>RUS</v>
      </c>
      <c r="F211" s="17">
        <f>'[5]BP-Men'!E60</f>
        <v>39123</v>
      </c>
      <c r="G211" s="51" t="str">
        <f>'[5]BP-Men'!F60</f>
        <v>Chelyabinsk</v>
      </c>
    </row>
    <row r="212" spans="1:7" x14ac:dyDescent="0.25">
      <c r="A212" s="28">
        <f>'[5]BP-Men'!A61</f>
        <v>60</v>
      </c>
      <c r="B212" s="16">
        <f>'[5]BP-Men'!B61</f>
        <v>160.5</v>
      </c>
      <c r="C212" s="16" t="str">
        <f>'[5]BP-Men'!C61</f>
        <v>Boryuk Sergiy/85</v>
      </c>
      <c r="D212" s="16" t="str">
        <f t="shared" si="3"/>
        <v>85</v>
      </c>
      <c r="E212" s="16" t="str">
        <f>'[5]BP-Men'!D61</f>
        <v>UKR</v>
      </c>
      <c r="F212" s="17">
        <f>'[5]BP-Men'!E61</f>
        <v>40986</v>
      </c>
      <c r="G212" s="51" t="str">
        <f>'[5]BP-Men'!F61</f>
        <v>Kryvyi Rig</v>
      </c>
    </row>
    <row r="213" spans="1:7" x14ac:dyDescent="0.25">
      <c r="A213" s="28" t="str">
        <f>'[5]BP-Men'!A62</f>
        <v>67.5</v>
      </c>
      <c r="B213" s="16">
        <f>'[5]BP-Men'!B62</f>
        <v>162.5</v>
      </c>
      <c r="C213" s="16" t="str">
        <f>'[5]BP-Men'!C62</f>
        <v>Matosyan Dmitry/76</v>
      </c>
      <c r="D213" s="16" t="str">
        <f t="shared" si="3"/>
        <v>76</v>
      </c>
      <c r="E213" s="16" t="str">
        <f>'[5]BP-Men'!D62</f>
        <v>RUS</v>
      </c>
      <c r="F213" s="17">
        <f>'[5]BP-Men'!E62</f>
        <v>39312</v>
      </c>
      <c r="G213" s="51" t="str">
        <f>'[5]BP-Men'!F62</f>
        <v>Kursk</v>
      </c>
    </row>
    <row r="214" spans="1:7" x14ac:dyDescent="0.25">
      <c r="A214" s="28">
        <f>'[5]BP-Men'!A63</f>
        <v>75</v>
      </c>
      <c r="B214" s="16">
        <f>'[5]BP-Men'!B63</f>
        <v>215.5</v>
      </c>
      <c r="C214" s="16" t="str">
        <f>'[5]BP-Men'!C63</f>
        <v>Milostnoy Stanislav/79</v>
      </c>
      <c r="D214" s="16" t="str">
        <f t="shared" si="3"/>
        <v>79</v>
      </c>
      <c r="E214" s="16" t="str">
        <f>'[5]BP-Men'!D63</f>
        <v>RUS</v>
      </c>
      <c r="F214" s="17">
        <f>'[5]BP-Men'!E63</f>
        <v>40258</v>
      </c>
      <c r="G214" s="51" t="str">
        <f>'[5]BP-Men'!F63</f>
        <v>Kursk</v>
      </c>
    </row>
    <row r="215" spans="1:7" x14ac:dyDescent="0.25">
      <c r="A215" s="28" t="str">
        <f>'[5]BP-Men'!A64</f>
        <v>82.5</v>
      </c>
      <c r="B215" s="16">
        <f>'[5]BP-Men'!B64</f>
        <v>242.5</v>
      </c>
      <c r="C215" s="16" t="str">
        <f>'[5]BP-Men'!C64</f>
        <v>Nechayev Yevgeny/78</v>
      </c>
      <c r="D215" s="16" t="str">
        <f t="shared" si="3"/>
        <v>78</v>
      </c>
      <c r="E215" s="16" t="str">
        <f>'[5]BP-Men'!D64</f>
        <v>RUS</v>
      </c>
      <c r="F215" s="17">
        <f>'[5]BP-Men'!E64</f>
        <v>39661</v>
      </c>
      <c r="G215" s="51" t="str">
        <f>'[5]BP-Men'!F64</f>
        <v>Chicago</v>
      </c>
    </row>
    <row r="216" spans="1:7" x14ac:dyDescent="0.25">
      <c r="A216" s="28">
        <f>'[5]BP-Men'!A65</f>
        <v>90</v>
      </c>
      <c r="B216" s="16">
        <f>'[5]BP-Men'!B65</f>
        <v>305</v>
      </c>
      <c r="C216" s="16" t="str">
        <f>'[5]BP-Men'!C65</f>
        <v>Ahmadov Mustafa/80</v>
      </c>
      <c r="D216" s="16" t="str">
        <f t="shared" si="3"/>
        <v>80</v>
      </c>
      <c r="E216" s="16" t="str">
        <f>'[5]BP-Men'!D65</f>
        <v>RUS</v>
      </c>
      <c r="F216" s="17" t="str">
        <f>'[5]BP-Men'!E65</f>
        <v>23.08.2014</v>
      </c>
      <c r="G216" s="51" t="str">
        <f>'[5]BP-Men'!F65</f>
        <v>Moscow</v>
      </c>
    </row>
    <row r="217" spans="1:7" x14ac:dyDescent="0.25">
      <c r="A217" s="28">
        <f>'[5]BP-Men'!A66</f>
        <v>100</v>
      </c>
      <c r="B217" s="16">
        <f>'[5]BP-Men'!B66</f>
        <v>277.5</v>
      </c>
      <c r="C217" s="16" t="str">
        <f>'[5]BP-Men'!C66</f>
        <v>Polutin Sergei/75</v>
      </c>
      <c r="D217" s="16" t="str">
        <f t="shared" si="3"/>
        <v>75</v>
      </c>
      <c r="E217" s="16" t="str">
        <f>'[5]BP-Men'!D66</f>
        <v>UKR</v>
      </c>
      <c r="F217" s="17">
        <f>'[5]BP-Men'!E66</f>
        <v>39724</v>
      </c>
      <c r="G217" s="51" t="str">
        <f>'[5]BP-Men'!F66</f>
        <v>Lauchhammer</v>
      </c>
    </row>
    <row r="218" spans="1:7" x14ac:dyDescent="0.25">
      <c r="A218" s="28">
        <f>'[5]BP-Men'!A67</f>
        <v>110</v>
      </c>
      <c r="B218" s="16">
        <f>'[5]BP-Men'!B67</f>
        <v>315</v>
      </c>
      <c r="C218" s="16" t="str">
        <f>'[5]BP-Men'!C67</f>
        <v>Bobchenko Vitaliy/79</v>
      </c>
      <c r="D218" s="16" t="str">
        <f t="shared" si="3"/>
        <v>79</v>
      </c>
      <c r="E218" s="16" t="str">
        <f>'[5]BP-Men'!D67</f>
        <v>UKR</v>
      </c>
      <c r="F218" s="17">
        <f>'[5]BP-Men'!E67</f>
        <v>40628</v>
      </c>
      <c r="G218" s="51" t="str">
        <f>'[5]BP-Men'!F67</f>
        <v>Kryvyi Rig</v>
      </c>
    </row>
    <row r="219" spans="1:7" x14ac:dyDescent="0.25">
      <c r="A219" s="28">
        <f>'[5]BP-Men'!A68</f>
        <v>125</v>
      </c>
      <c r="B219" s="16">
        <f>'[5]BP-Men'!B68</f>
        <v>300</v>
      </c>
      <c r="C219" s="16" t="str">
        <f>'[5]BP-Men'!C68</f>
        <v>Poletaev Vladimir/72</v>
      </c>
      <c r="D219" s="16" t="str">
        <f t="shared" si="3"/>
        <v>72</v>
      </c>
      <c r="E219" s="16" t="str">
        <f>'[5]BP-Men'!D68</f>
        <v>RUS</v>
      </c>
      <c r="F219" s="17">
        <f>'[5]BP-Men'!E68</f>
        <v>40641</v>
      </c>
      <c r="G219" s="51" t="str">
        <f>'[5]BP-Men'!F68</f>
        <v>Chelyabinsk</v>
      </c>
    </row>
    <row r="220" spans="1:7" x14ac:dyDescent="0.25">
      <c r="A220" s="28">
        <f>'[5]BP-Men'!A69</f>
        <v>140</v>
      </c>
      <c r="B220" s="16" t="str">
        <f>'[5]BP-Men'!B69</f>
        <v>282.5</v>
      </c>
      <c r="C220" s="16" t="str">
        <f>'[5]BP-Men'!C69</f>
        <v>Smirnov Yuri/71</v>
      </c>
      <c r="D220" s="16" t="str">
        <f t="shared" si="3"/>
        <v>71</v>
      </c>
      <c r="E220" s="16" t="str">
        <f>'[5]BP-Men'!D69</f>
        <v>RUS</v>
      </c>
      <c r="F220" s="17">
        <f>'[5]BP-Men'!E69</f>
        <v>39529</v>
      </c>
      <c r="G220" s="51" t="str">
        <f>'[5]BP-Men'!F69</f>
        <v>Rostov</v>
      </c>
    </row>
    <row r="221" spans="1:7" x14ac:dyDescent="0.25">
      <c r="A221" s="28" t="str">
        <f>'[5]BP-Men'!A70</f>
        <v>140+</v>
      </c>
      <c r="B221" s="16">
        <f>'[5]BP-Men'!B70</f>
        <v>280</v>
      </c>
      <c r="C221" s="16" t="str">
        <f>'[5]BP-Men'!C70</f>
        <v>Kozyrev Oleg/75</v>
      </c>
      <c r="D221" s="16" t="str">
        <f t="shared" ref="D221:D222" si="8">RIGHT(C221,2)</f>
        <v>75</v>
      </c>
      <c r="E221" s="16" t="str">
        <f>'[5]BP-Men'!D70</f>
        <v>RUS</v>
      </c>
      <c r="F221" s="17">
        <f>'[5]BP-Men'!E70</f>
        <v>40641</v>
      </c>
      <c r="G221" s="51" t="str">
        <f>'[5]BP-Men'!F70</f>
        <v>Chelyabinsk</v>
      </c>
    </row>
    <row r="222" spans="1:7" x14ac:dyDescent="0.25">
      <c r="B222" s="16">
        <f>'[5]BP-Men'!B71</f>
        <v>0</v>
      </c>
      <c r="C222" s="16">
        <f>'[5]BP-Men'!C71</f>
        <v>0</v>
      </c>
      <c r="D222" s="16" t="str">
        <f t="shared" si="8"/>
        <v>0</v>
      </c>
      <c r="E222" s="16">
        <f>'[5]BP-Men'!D71</f>
        <v>0</v>
      </c>
      <c r="F222" s="17">
        <f>'[5]BP-Men'!E71</f>
        <v>0</v>
      </c>
      <c r="G222" s="51">
        <f>'[5]BP-Men'!F71</f>
        <v>0</v>
      </c>
    </row>
    <row r="223" spans="1:7" s="11" customFormat="1" x14ac:dyDescent="0.25">
      <c r="A223" s="22" t="s">
        <v>0</v>
      </c>
      <c r="B223" s="11">
        <v>1</v>
      </c>
      <c r="C223" s="11">
        <v>-4</v>
      </c>
      <c r="D223" s="11" t="str">
        <f>'[5]BP-Men'!B72</f>
        <v>Men's Submasters 33-39</v>
      </c>
      <c r="F223" s="13"/>
      <c r="G223" s="30"/>
    </row>
    <row r="224" spans="1:7" x14ac:dyDescent="0.25">
      <c r="A224" s="28">
        <f>'[5]BP-Men'!A73</f>
        <v>52</v>
      </c>
      <c r="B224" s="16">
        <f>'[5]BP-Men'!B73</f>
        <v>0</v>
      </c>
      <c r="C224" s="16">
        <f>'[5]BP-Men'!C73</f>
        <v>0</v>
      </c>
      <c r="D224" s="16" t="str">
        <f t="shared" si="3"/>
        <v>0</v>
      </c>
      <c r="E224" s="16">
        <f>'[5]BP-Men'!D73</f>
        <v>0</v>
      </c>
      <c r="F224" s="17">
        <f>'[5]BP-Men'!E73</f>
        <v>0</v>
      </c>
      <c r="G224" s="51">
        <f>'[5]BP-Men'!F73</f>
        <v>0</v>
      </c>
    </row>
    <row r="225" spans="1:7" x14ac:dyDescent="0.25">
      <c r="A225" s="28">
        <f>'[5]BP-Men'!A74</f>
        <v>56</v>
      </c>
      <c r="B225" s="16">
        <f>'[5]BP-Men'!B74</f>
        <v>140</v>
      </c>
      <c r="C225" s="16" t="str">
        <f>'[5]BP-Men'!C74</f>
        <v>Artemyev Igor/71</v>
      </c>
      <c r="D225" s="16" t="str">
        <f t="shared" si="3"/>
        <v>71</v>
      </c>
      <c r="E225" s="16" t="str">
        <f>'[5]BP-Men'!D74</f>
        <v>RUS</v>
      </c>
      <c r="F225" s="17">
        <f>'[5]BP-Men'!E74</f>
        <v>39123</v>
      </c>
      <c r="G225" s="51" t="str">
        <f>'[5]BP-Men'!F74</f>
        <v>Chelyabinsk</v>
      </c>
    </row>
    <row r="226" spans="1:7" x14ac:dyDescent="0.25">
      <c r="A226" s="28">
        <f>'[5]BP-Men'!A75</f>
        <v>60</v>
      </c>
      <c r="B226" s="16">
        <f>'[5]BP-Men'!B75</f>
        <v>137.5</v>
      </c>
      <c r="C226" s="16" t="str">
        <f>'[5]BP-Men'!C75</f>
        <v>Artemyev Oleg/71</v>
      </c>
      <c r="D226" s="16" t="str">
        <f t="shared" si="3"/>
        <v>71</v>
      </c>
      <c r="E226" s="16" t="str">
        <f>'[5]BP-Men'!D75</f>
        <v>RUS</v>
      </c>
      <c r="F226" s="17">
        <f>'[5]BP-Men'!E75</f>
        <v>39123</v>
      </c>
      <c r="G226" s="51" t="str">
        <f>'[5]BP-Men'!F75</f>
        <v>Chelyabinsk</v>
      </c>
    </row>
    <row r="227" spans="1:7" x14ac:dyDescent="0.25">
      <c r="A227" s="28" t="str">
        <f>'[5]BP-Men'!A76</f>
        <v>67.5</v>
      </c>
      <c r="B227" s="16">
        <f>'[5]BP-Men'!B76</f>
        <v>160</v>
      </c>
      <c r="C227" s="16" t="str">
        <f>'[5]BP-Men'!C76</f>
        <v>Matosyan Dmitry/76</v>
      </c>
      <c r="D227" s="16" t="str">
        <f t="shared" si="3"/>
        <v>76</v>
      </c>
      <c r="E227" s="16" t="str">
        <f>'[5]BP-Men'!D76</f>
        <v>RUS</v>
      </c>
      <c r="F227" s="17">
        <f>'[5]BP-Men'!E76</f>
        <v>40409</v>
      </c>
      <c r="G227" s="51" t="str">
        <f>'[5]BP-Men'!F76</f>
        <v>Moscow</v>
      </c>
    </row>
    <row r="228" spans="1:7" x14ac:dyDescent="0.25">
      <c r="A228" s="28">
        <f>'[5]BP-Men'!A77</f>
        <v>75</v>
      </c>
      <c r="B228" s="16">
        <f>'[5]BP-Men'!B77</f>
        <v>200</v>
      </c>
      <c r="C228" s="16" t="str">
        <f>'[5]BP-Men'!C77</f>
        <v>Larionov Artem/78</v>
      </c>
      <c r="D228" s="16" t="str">
        <f t="shared" si="3"/>
        <v>78</v>
      </c>
      <c r="E228" s="16" t="str">
        <f>'[5]BP-Men'!D77</f>
        <v>RUS</v>
      </c>
      <c r="F228" s="17">
        <f>'[5]BP-Men'!E77</f>
        <v>41439</v>
      </c>
      <c r="G228" s="51" t="str">
        <f>'[5]BP-Men'!F77</f>
        <v>Moscow</v>
      </c>
    </row>
    <row r="229" spans="1:7" x14ac:dyDescent="0.25">
      <c r="A229" s="28" t="str">
        <f>'[5]BP-Men'!A78</f>
        <v>82.5</v>
      </c>
      <c r="B229" s="16">
        <f>'[5]BP-Men'!B78</f>
        <v>220</v>
      </c>
      <c r="C229" s="16" t="str">
        <f>'[5]BP-Men'!C78</f>
        <v>Veber Mikhail/71</v>
      </c>
      <c r="D229" s="16" t="str">
        <f t="shared" si="3"/>
        <v>71</v>
      </c>
      <c r="E229" s="16" t="str">
        <f>'[5]BP-Men'!D78</f>
        <v>RUS</v>
      </c>
      <c r="F229" s="17">
        <f>'[5]BP-Men'!E78</f>
        <v>39424</v>
      </c>
      <c r="G229" s="51" t="str">
        <f>'[5]BP-Men'!F78</f>
        <v>Kursk</v>
      </c>
    </row>
    <row r="230" spans="1:7" x14ac:dyDescent="0.25">
      <c r="A230" s="28">
        <f>'[5]BP-Men'!A79</f>
        <v>90</v>
      </c>
      <c r="B230" s="16">
        <f>'[5]BP-Men'!B79</f>
        <v>305</v>
      </c>
      <c r="C230" s="16" t="str">
        <f>'[5]BP-Men'!C79</f>
        <v>Ahmadov Mustafa/80</v>
      </c>
      <c r="D230" s="16" t="str">
        <f t="shared" si="3"/>
        <v>80</v>
      </c>
      <c r="E230" s="16" t="str">
        <f>'[5]BP-Men'!D79</f>
        <v>RUS</v>
      </c>
      <c r="F230" s="17" t="str">
        <f>'[5]BP-Men'!E79</f>
        <v>23.08.2014</v>
      </c>
      <c r="G230" s="51" t="str">
        <f>'[5]BP-Men'!F79</f>
        <v>Moscow</v>
      </c>
    </row>
    <row r="231" spans="1:7" x14ac:dyDescent="0.25">
      <c r="A231" s="28">
        <f>'[5]BP-Men'!A80</f>
        <v>100</v>
      </c>
      <c r="B231" s="16">
        <f>'[5]BP-Men'!B80</f>
        <v>277.5</v>
      </c>
      <c r="C231" s="16" t="str">
        <f>'[5]BP-Men'!C80</f>
        <v>Polutin Sergei/75</v>
      </c>
      <c r="D231" s="16" t="str">
        <f t="shared" si="3"/>
        <v>75</v>
      </c>
      <c r="E231" s="16" t="str">
        <f>'[5]BP-Men'!D80</f>
        <v>UKR</v>
      </c>
      <c r="F231" s="17">
        <f>'[5]BP-Men'!E80</f>
        <v>39724</v>
      </c>
      <c r="G231" s="51" t="str">
        <f>'[5]BP-Men'!F80</f>
        <v>Lauchhammer</v>
      </c>
    </row>
    <row r="232" spans="1:7" x14ac:dyDescent="0.25">
      <c r="A232" s="28">
        <f>'[5]BP-Men'!A81</f>
        <v>110</v>
      </c>
      <c r="B232" s="16">
        <f>'[5]BP-Men'!B81</f>
        <v>290</v>
      </c>
      <c r="C232" s="16" t="str">
        <f>'[5]BP-Men'!C81</f>
        <v>Poletayev Vladimir/72</v>
      </c>
      <c r="D232" s="16" t="str">
        <f t="shared" si="3"/>
        <v>72</v>
      </c>
      <c r="E232" s="16" t="str">
        <f>'[5]BP-Men'!D81</f>
        <v>RUS</v>
      </c>
      <c r="F232" s="17">
        <f>'[5]BP-Men'!E81</f>
        <v>40034</v>
      </c>
      <c r="G232" s="51" t="str">
        <f>'[5]BP-Men'!F81</f>
        <v>Kursk</v>
      </c>
    </row>
    <row r="233" spans="1:7" x14ac:dyDescent="0.25">
      <c r="A233" s="28">
        <f>'[5]BP-Men'!A82</f>
        <v>125</v>
      </c>
      <c r="B233" s="16">
        <f>'[5]BP-Men'!B82</f>
        <v>300</v>
      </c>
      <c r="C233" s="16" t="str">
        <f>'[5]BP-Men'!C82</f>
        <v>Poletaev Vladimir/72</v>
      </c>
      <c r="D233" s="16" t="str">
        <f t="shared" si="3"/>
        <v>72</v>
      </c>
      <c r="E233" s="16" t="str">
        <f>'[5]BP-Men'!D82</f>
        <v>RUS</v>
      </c>
      <c r="F233" s="17">
        <f>'[5]BP-Men'!E82</f>
        <v>40641</v>
      </c>
      <c r="G233" s="51" t="str">
        <f>'[5]BP-Men'!F82</f>
        <v>Chelyabinsk</v>
      </c>
    </row>
    <row r="234" spans="1:7" x14ac:dyDescent="0.25">
      <c r="A234" s="28">
        <f>'[5]BP-Men'!A83</f>
        <v>140</v>
      </c>
      <c r="B234" s="16" t="str">
        <f>'[5]BP-Men'!B83</f>
        <v>282.5</v>
      </c>
      <c r="C234" s="16" t="str">
        <f>'[5]BP-Men'!C83</f>
        <v>Smirnov Yuri/71</v>
      </c>
      <c r="D234" s="16" t="str">
        <f t="shared" ref="D234:D236" si="9">RIGHT(C234,2)</f>
        <v>71</v>
      </c>
      <c r="E234" s="16" t="str">
        <f>'[5]BP-Men'!D83</f>
        <v>RUS</v>
      </c>
      <c r="F234" s="17">
        <f>'[5]BP-Men'!E83</f>
        <v>39529</v>
      </c>
      <c r="G234" s="51" t="str">
        <f>'[5]BP-Men'!F83</f>
        <v>Rostov</v>
      </c>
    </row>
    <row r="235" spans="1:7" x14ac:dyDescent="0.25">
      <c r="A235" s="28" t="str">
        <f>'[5]BP-Men'!A84</f>
        <v>140+</v>
      </c>
      <c r="B235" s="16">
        <f>'[5]BP-Men'!B84</f>
        <v>280</v>
      </c>
      <c r="C235" s="16" t="str">
        <f>'[5]BP-Men'!C84</f>
        <v>Kozyrev Oleg/75</v>
      </c>
      <c r="D235" s="16" t="str">
        <f t="shared" si="9"/>
        <v>75</v>
      </c>
      <c r="E235" s="16" t="str">
        <f>'[5]BP-Men'!D84</f>
        <v>RUS</v>
      </c>
      <c r="F235" s="17">
        <f>'[5]BP-Men'!E84</f>
        <v>40641</v>
      </c>
      <c r="G235" s="51" t="str">
        <f>'[5]BP-Men'!F84</f>
        <v>Chelyabinsk</v>
      </c>
    </row>
    <row r="236" spans="1:7" x14ac:dyDescent="0.25">
      <c r="B236" s="16">
        <f>'[5]BP-Men'!B85</f>
        <v>0</v>
      </c>
      <c r="C236" s="16">
        <f>'[5]BP-Men'!C85</f>
        <v>0</v>
      </c>
      <c r="D236" s="16" t="str">
        <f t="shared" si="9"/>
        <v>0</v>
      </c>
      <c r="E236" s="16">
        <f>'[5]BP-Men'!D85</f>
        <v>0</v>
      </c>
      <c r="F236" s="17">
        <f>'[5]BP-Men'!E85</f>
        <v>0</v>
      </c>
      <c r="G236" s="51">
        <f>'[5]BP-Men'!F85</f>
        <v>0</v>
      </c>
    </row>
    <row r="237" spans="1:7" s="11" customFormat="1" x14ac:dyDescent="0.25">
      <c r="A237" s="22" t="s">
        <v>0</v>
      </c>
      <c r="B237" s="11">
        <v>1</v>
      </c>
      <c r="C237" s="11">
        <v>40</v>
      </c>
      <c r="D237" s="11" t="str">
        <f>'[5]BP-Men'!B86</f>
        <v>Men's M1  (40 - 44)</v>
      </c>
      <c r="F237" s="13"/>
      <c r="G237" s="30"/>
    </row>
    <row r="238" spans="1:7" x14ac:dyDescent="0.25">
      <c r="A238" s="28">
        <f>'[5]BP-Men'!A87</f>
        <v>52</v>
      </c>
      <c r="B238" s="16">
        <f>'[5]BP-Men'!B87</f>
        <v>0</v>
      </c>
      <c r="C238" s="16">
        <f>'[5]BP-Men'!C87</f>
        <v>0</v>
      </c>
      <c r="D238" s="16" t="str">
        <f t="shared" ref="D238:D300" si="10">RIGHT(C238,2)</f>
        <v>0</v>
      </c>
      <c r="E238" s="16">
        <f>'[5]BP-Men'!D87</f>
        <v>0</v>
      </c>
      <c r="F238" s="17">
        <f>'[5]BP-Men'!E87</f>
        <v>0</v>
      </c>
      <c r="G238" s="51">
        <f>'[5]BP-Men'!F87</f>
        <v>0</v>
      </c>
    </row>
    <row r="239" spans="1:7" x14ac:dyDescent="0.25">
      <c r="A239" s="28">
        <f>'[5]BP-Men'!A88</f>
        <v>56</v>
      </c>
      <c r="B239" s="16">
        <f>'[5]BP-Men'!B88</f>
        <v>135</v>
      </c>
      <c r="C239" s="16" t="str">
        <f>'[5]BP-Men'!C88</f>
        <v>Artemyev Igor/71</v>
      </c>
      <c r="D239" s="16" t="str">
        <f t="shared" si="10"/>
        <v>71</v>
      </c>
      <c r="E239" s="16" t="str">
        <f>'[5]BP-Men'!D88</f>
        <v>RUS</v>
      </c>
      <c r="F239" s="17" t="str">
        <f>'[5]BP-Men'!E88</f>
        <v>23.08.2014</v>
      </c>
      <c r="G239" s="51" t="str">
        <f>'[5]BP-Men'!F88</f>
        <v>Moscow</v>
      </c>
    </row>
    <row r="240" spans="1:7" x14ac:dyDescent="0.25">
      <c r="A240" s="28">
        <f>'[5]BP-Men'!A89</f>
        <v>60</v>
      </c>
      <c r="B240" s="16">
        <f>'[5]BP-Men'!B89</f>
        <v>150</v>
      </c>
      <c r="C240" s="16" t="str">
        <f>'[5]BP-Men'!C89</f>
        <v>Artemyev Oleg/71</v>
      </c>
      <c r="D240" s="16" t="str">
        <f t="shared" si="10"/>
        <v>71</v>
      </c>
      <c r="E240" s="16" t="str">
        <f>'[5]BP-Men'!D89</f>
        <v>RUS</v>
      </c>
      <c r="F240" s="17" t="str">
        <f>'[5]BP-Men'!E89</f>
        <v>23.08.2014</v>
      </c>
      <c r="G240" s="51" t="str">
        <f>'[5]BP-Men'!F89</f>
        <v>Moscow</v>
      </c>
    </row>
    <row r="241" spans="1:7" x14ac:dyDescent="0.25">
      <c r="A241" s="28" t="str">
        <f>'[5]BP-Men'!A90</f>
        <v>67.5</v>
      </c>
      <c r="B241" s="16">
        <f>'[5]BP-Men'!B90</f>
        <v>115</v>
      </c>
      <c r="C241" s="16" t="str">
        <f>'[5]BP-Men'!C90</f>
        <v>Ganeev Alik/70</v>
      </c>
      <c r="D241" s="16" t="str">
        <f t="shared" si="10"/>
        <v>70</v>
      </c>
      <c r="E241" s="16" t="str">
        <f>'[5]BP-Men'!D90</f>
        <v>RUS</v>
      </c>
      <c r="F241" s="17">
        <f>'[5]BP-Men'!E90</f>
        <v>40640</v>
      </c>
      <c r="G241" s="51" t="str">
        <f>'[5]BP-Men'!F90</f>
        <v>Chelyabinsk</v>
      </c>
    </row>
    <row r="242" spans="1:7" x14ac:dyDescent="0.25">
      <c r="A242" s="28">
        <f>'[5]BP-Men'!A91</f>
        <v>75</v>
      </c>
      <c r="B242" s="16">
        <f>'[5]BP-Men'!B91</f>
        <v>160</v>
      </c>
      <c r="C242" s="16" t="str">
        <f>'[5]BP-Men'!C91</f>
        <v>Trubin Valery/68</v>
      </c>
      <c r="D242" s="16" t="str">
        <f t="shared" si="10"/>
        <v>68</v>
      </c>
      <c r="E242" s="16" t="str">
        <f>'[5]BP-Men'!D91</f>
        <v>RUS</v>
      </c>
      <c r="F242" s="17">
        <f>'[5]BP-Men'!E91</f>
        <v>40409</v>
      </c>
      <c r="G242" s="51" t="str">
        <f>'[5]BP-Men'!F91</f>
        <v>Moscow</v>
      </c>
    </row>
    <row r="243" spans="1:7" x14ac:dyDescent="0.25">
      <c r="A243" s="28" t="str">
        <f>'[5]BP-Men'!A92</f>
        <v>82.5</v>
      </c>
      <c r="B243" s="16">
        <f>'[5]BP-Men'!B92</f>
        <v>225</v>
      </c>
      <c r="C243" s="16" t="str">
        <f>'[5]BP-Men'!C92</f>
        <v>Veber Mikhail/71</v>
      </c>
      <c r="D243" s="16" t="str">
        <f t="shared" si="10"/>
        <v>71</v>
      </c>
      <c r="E243" s="16" t="str">
        <f>'[5]BP-Men'!D92</f>
        <v>RUS</v>
      </c>
      <c r="F243" s="17">
        <f>'[5]BP-Men'!E92</f>
        <v>41018</v>
      </c>
      <c r="G243" s="51" t="str">
        <f>'[5]BP-Men'!F92</f>
        <v>Rostov</v>
      </c>
    </row>
    <row r="244" spans="1:7" x14ac:dyDescent="0.25">
      <c r="A244" s="28">
        <f>'[5]BP-Men'!A93</f>
        <v>90</v>
      </c>
      <c r="B244" s="16">
        <f>'[5]BP-Men'!B93</f>
        <v>260</v>
      </c>
      <c r="C244" s="16" t="str">
        <f>'[5]BP-Men'!C93</f>
        <v>Veber Mikhail/71</v>
      </c>
      <c r="D244" s="16" t="str">
        <f t="shared" ref="D244:D249" si="11">RIGHT(C244,2)</f>
        <v>71</v>
      </c>
      <c r="E244" s="16" t="str">
        <f>'[5]BP-Men'!D93</f>
        <v>RUS</v>
      </c>
      <c r="F244" s="17">
        <f>'[5]BP-Men'!E93</f>
        <v>40769</v>
      </c>
      <c r="G244" s="51" t="str">
        <f>'[5]BP-Men'!F93</f>
        <v>Kursk</v>
      </c>
    </row>
    <row r="245" spans="1:7" x14ac:dyDescent="0.25">
      <c r="A245" s="28">
        <f>'[5]BP-Men'!A94</f>
        <v>100</v>
      </c>
      <c r="B245" s="16">
        <f>'[5]BP-Men'!B94</f>
        <v>251</v>
      </c>
      <c r="C245" s="16" t="str">
        <f>'[5]BP-Men'!C94</f>
        <v>Veber Mikhail/71</v>
      </c>
      <c r="D245" s="16" t="str">
        <f t="shared" si="11"/>
        <v>71</v>
      </c>
      <c r="E245" s="16" t="str">
        <f>'[5]BP-Men'!D94</f>
        <v>RUS</v>
      </c>
      <c r="F245" s="17">
        <f>'[5]BP-Men'!E94</f>
        <v>41201</v>
      </c>
      <c r="G245" s="51" t="str">
        <f>'[5]BP-Men'!F94</f>
        <v>Krasnodar</v>
      </c>
    </row>
    <row r="246" spans="1:7" x14ac:dyDescent="0.25">
      <c r="A246" s="28">
        <f>'[5]BP-Men'!A95</f>
        <v>110</v>
      </c>
      <c r="B246" s="16">
        <f>'[5]BP-Men'!B95</f>
        <v>282.5</v>
      </c>
      <c r="C246" s="16" t="str">
        <f>'[5]BP-Men'!C95</f>
        <v>Kuznetsov Konstantin/7</v>
      </c>
      <c r="D246" s="16" t="str">
        <f t="shared" si="11"/>
        <v>/7</v>
      </c>
      <c r="E246" s="16" t="str">
        <f>'[5]BP-Men'!D95</f>
        <v>RUS</v>
      </c>
      <c r="F246" s="17">
        <f>'[5]BP-Men'!E95</f>
        <v>41608</v>
      </c>
      <c r="G246" s="51" t="str">
        <f>'[5]BP-Men'!F95</f>
        <v>Yekaterinburg</v>
      </c>
    </row>
    <row r="247" spans="1:7" x14ac:dyDescent="0.25">
      <c r="A247" s="28">
        <f>'[5]BP-Men'!A96</f>
        <v>125</v>
      </c>
      <c r="B247" s="16">
        <f>'[5]BP-Men'!B96</f>
        <v>250</v>
      </c>
      <c r="C247" s="16" t="str">
        <f>'[5]BP-Men'!C96</f>
        <v>Formin Yevgeny/68</v>
      </c>
      <c r="D247" s="16" t="str">
        <f t="shared" si="11"/>
        <v>68</v>
      </c>
      <c r="E247" s="16" t="str">
        <f>'[5]BP-Men'!D96</f>
        <v>RUS</v>
      </c>
      <c r="F247" s="17">
        <f>'[5]BP-Men'!E96</f>
        <v>40816</v>
      </c>
      <c r="G247" s="51" t="str">
        <f>'[5]BP-Men'!F96</f>
        <v>Yekaterinbourg</v>
      </c>
    </row>
    <row r="248" spans="1:7" x14ac:dyDescent="0.25">
      <c r="A248" s="28">
        <f>'[5]BP-Men'!A97</f>
        <v>140</v>
      </c>
      <c r="B248" s="16">
        <f>'[5]BP-Men'!B97</f>
        <v>245</v>
      </c>
      <c r="C248" s="16" t="str">
        <f>'[5]BP-Men'!C97</f>
        <v>Nekrasov Mikhail/69</v>
      </c>
      <c r="D248" s="16" t="str">
        <f t="shared" si="11"/>
        <v>69</v>
      </c>
      <c r="E248" s="16" t="str">
        <f>'[5]BP-Men'!D97</f>
        <v>RUS</v>
      </c>
      <c r="F248" s="17">
        <f>'[5]BP-Men'!E97</f>
        <v>40641</v>
      </c>
      <c r="G248" s="51" t="str">
        <f>'[5]BP-Men'!F97</f>
        <v>Chelyabinsk</v>
      </c>
    </row>
    <row r="249" spans="1:7" x14ac:dyDescent="0.25">
      <c r="A249" s="28" t="str">
        <f>'[5]BP-Men'!A98</f>
        <v>140+</v>
      </c>
      <c r="B249" s="16">
        <f>'[5]BP-Men'!B98</f>
        <v>0</v>
      </c>
      <c r="C249" s="16">
        <f>'[5]BP-Men'!C98</f>
        <v>0</v>
      </c>
      <c r="D249" s="16" t="str">
        <f t="shared" si="11"/>
        <v>0</v>
      </c>
      <c r="E249" s="16">
        <f>'[5]BP-Men'!D98</f>
        <v>0</v>
      </c>
      <c r="F249" s="17">
        <f>'[5]BP-Men'!E98</f>
        <v>0</v>
      </c>
      <c r="G249" s="51">
        <f>'[5]BP-Men'!F98</f>
        <v>0</v>
      </c>
    </row>
    <row r="250" spans="1:7" x14ac:dyDescent="0.25">
      <c r="B250" s="16">
        <f>'[5]BP-Men'!B99</f>
        <v>0</v>
      </c>
      <c r="C250" s="16">
        <f>'[5]BP-Men'!C99</f>
        <v>0</v>
      </c>
      <c r="D250" s="16" t="str">
        <f t="shared" si="10"/>
        <v>0</v>
      </c>
      <c r="E250" s="16">
        <f>'[5]BP-Men'!D99</f>
        <v>0</v>
      </c>
      <c r="F250" s="17">
        <f>'[5]BP-Men'!E99</f>
        <v>0</v>
      </c>
      <c r="G250" s="51">
        <f>'[5]BP-Men'!F99</f>
        <v>0</v>
      </c>
    </row>
    <row r="251" spans="1:7" s="11" customFormat="1" x14ac:dyDescent="0.25">
      <c r="A251" s="22" t="s">
        <v>0</v>
      </c>
      <c r="B251" s="11">
        <v>1</v>
      </c>
      <c r="C251" s="11">
        <v>45</v>
      </c>
      <c r="D251" s="11" t="str">
        <f>'[5]BP-Men'!B100</f>
        <v>Men's M2  (45 - 49)</v>
      </c>
      <c r="F251" s="13"/>
      <c r="G251" s="30"/>
    </row>
    <row r="252" spans="1:7" x14ac:dyDescent="0.25">
      <c r="A252" s="28">
        <f>'[5]BP-Men'!A101</f>
        <v>52</v>
      </c>
      <c r="B252" s="16">
        <f>'[5]BP-Men'!B101</f>
        <v>0</v>
      </c>
      <c r="C252" s="16">
        <f>'[5]BP-Men'!C101</f>
        <v>0</v>
      </c>
      <c r="D252" s="16" t="str">
        <f t="shared" si="10"/>
        <v>0</v>
      </c>
      <c r="E252" s="16">
        <f>'[5]BP-Men'!D101</f>
        <v>0</v>
      </c>
      <c r="F252" s="17">
        <f>'[5]BP-Men'!E101</f>
        <v>0</v>
      </c>
      <c r="G252" s="51">
        <f>'[5]BP-Men'!F101</f>
        <v>0</v>
      </c>
    </row>
    <row r="253" spans="1:7" x14ac:dyDescent="0.25">
      <c r="A253" s="28">
        <f>'[5]BP-Men'!A102</f>
        <v>56</v>
      </c>
      <c r="B253" s="16">
        <f>'[5]BP-Men'!B102</f>
        <v>0</v>
      </c>
      <c r="C253" s="16">
        <f>'[5]BP-Men'!C102</f>
        <v>0</v>
      </c>
      <c r="D253" s="16" t="str">
        <f t="shared" si="10"/>
        <v>0</v>
      </c>
      <c r="E253" s="16">
        <f>'[5]BP-Men'!D102</f>
        <v>0</v>
      </c>
      <c r="F253" s="17">
        <f>'[5]BP-Men'!E102</f>
        <v>0</v>
      </c>
      <c r="G253" s="51">
        <f>'[5]BP-Men'!F102</f>
        <v>0</v>
      </c>
    </row>
    <row r="254" spans="1:7" x14ac:dyDescent="0.25">
      <c r="A254" s="28">
        <f>'[5]BP-Men'!A103</f>
        <v>60</v>
      </c>
      <c r="B254" s="16">
        <f>'[5]BP-Men'!B103</f>
        <v>112.5</v>
      </c>
      <c r="C254" s="16" t="str">
        <f>'[5]BP-Men'!C103</f>
        <v>Kovalenko Volodymyr/65</v>
      </c>
      <c r="D254" s="16" t="str">
        <f t="shared" si="10"/>
        <v>65</v>
      </c>
      <c r="E254" s="16" t="str">
        <f>'[5]BP-Men'!D103</f>
        <v>UKR</v>
      </c>
      <c r="F254" s="17">
        <f>'[5]BP-Men'!E103</f>
        <v>41129</v>
      </c>
      <c r="G254" s="51" t="str">
        <f>'[5]BP-Men'!F103</f>
        <v>Kryvyi Rig</v>
      </c>
    </row>
    <row r="255" spans="1:7" x14ac:dyDescent="0.25">
      <c r="A255" s="28">
        <f>'[5]BP-Men'!A104</f>
        <v>67.5</v>
      </c>
      <c r="B255" s="16">
        <f>'[5]BP-Men'!B104</f>
        <v>115</v>
      </c>
      <c r="C255" s="16" t="str">
        <f>'[5]BP-Men'!C104</f>
        <v>Bashtanov Igor/67</v>
      </c>
      <c r="D255" s="16" t="str">
        <f t="shared" si="10"/>
        <v>67</v>
      </c>
      <c r="E255" s="16" t="str">
        <f>'[5]BP-Men'!D104</f>
        <v>RUS</v>
      </c>
      <c r="F255" s="17">
        <f>'[5]BP-Men'!E104</f>
        <v>41137</v>
      </c>
      <c r="G255" s="51" t="str">
        <f>'[5]BP-Men'!F104</f>
        <v>Novosibirsk</v>
      </c>
    </row>
    <row r="256" spans="1:7" x14ac:dyDescent="0.25">
      <c r="A256" s="28">
        <f>'[5]BP-Men'!A105</f>
        <v>75</v>
      </c>
      <c r="B256" s="16">
        <f>'[5]BP-Men'!B105</f>
        <v>120</v>
      </c>
      <c r="C256" s="16" t="str">
        <f>'[5]BP-Men'!C105</f>
        <v>Lopatin Sergei/60</v>
      </c>
      <c r="D256" s="16" t="str">
        <f t="shared" si="10"/>
        <v>60</v>
      </c>
      <c r="E256" s="16" t="str">
        <f>'[5]BP-Men'!D105</f>
        <v>RUS</v>
      </c>
      <c r="F256" s="17">
        <f>'[5]BP-Men'!E105</f>
        <v>39352</v>
      </c>
      <c r="G256" s="51" t="str">
        <f>'[5]BP-Men'!F105</f>
        <v>Horn</v>
      </c>
    </row>
    <row r="257" spans="1:7" x14ac:dyDescent="0.25">
      <c r="A257" s="28" t="str">
        <f>'[5]BP-Men'!A106</f>
        <v>82.5</v>
      </c>
      <c r="B257" s="16">
        <f>'[5]BP-Men'!B106</f>
        <v>187.5</v>
      </c>
      <c r="C257" s="16" t="str">
        <f>'[5]BP-Men'!C106</f>
        <v>Dremenkov Konstantin/66</v>
      </c>
      <c r="D257" s="16" t="str">
        <f t="shared" si="10"/>
        <v>66</v>
      </c>
      <c r="E257" s="16" t="str">
        <f>'[5]BP-Men'!D106</f>
        <v>BLR</v>
      </c>
      <c r="F257" s="17">
        <f>'[5]BP-Men'!E106</f>
        <v>41067</v>
      </c>
      <c r="G257" s="51" t="str">
        <f>'[5]BP-Men'!F106</f>
        <v>Moscow</v>
      </c>
    </row>
    <row r="258" spans="1:7" x14ac:dyDescent="0.25">
      <c r="A258" s="28">
        <f>'[5]BP-Men'!A107</f>
        <v>90</v>
      </c>
      <c r="B258" s="16">
        <f>'[5]BP-Men'!B107</f>
        <v>220</v>
      </c>
      <c r="C258" s="16" t="str">
        <f>'[5]BP-Men'!C107</f>
        <v>Petrov,Alexandr/60</v>
      </c>
      <c r="D258" s="16" t="str">
        <f t="shared" ref="D258:D259" si="12">RIGHT(C258,2)</f>
        <v>60</v>
      </c>
      <c r="E258" s="16" t="str">
        <f>'[5]BP-Men'!D107</f>
        <v>RUS</v>
      </c>
      <c r="F258" s="17">
        <f>'[5]BP-Men'!E107</f>
        <v>40034</v>
      </c>
      <c r="G258" s="51" t="str">
        <f>'[5]BP-Men'!F107</f>
        <v>Kursk</v>
      </c>
    </row>
    <row r="259" spans="1:7" x14ac:dyDescent="0.25">
      <c r="A259" s="28">
        <f>'[5]BP-Men'!A108</f>
        <v>100</v>
      </c>
      <c r="B259" s="16">
        <f>'[5]BP-Men'!B108</f>
        <v>230</v>
      </c>
      <c r="C259" s="16" t="str">
        <f>'[5]BP-Men'!C108</f>
        <v>Petrov Alexandr/60</v>
      </c>
      <c r="D259" s="16" t="str">
        <f t="shared" si="12"/>
        <v>60</v>
      </c>
      <c r="E259" s="16" t="str">
        <f>'[5]BP-Men'!D108</f>
        <v>RUS</v>
      </c>
      <c r="F259" s="17">
        <f>'[5]BP-Men'!E108</f>
        <v>40258</v>
      </c>
      <c r="G259" s="51" t="str">
        <f>'[5]BP-Men'!F108</f>
        <v>Kursk</v>
      </c>
    </row>
    <row r="260" spans="1:7" x14ac:dyDescent="0.25">
      <c r="A260" s="28">
        <f>'[5]BP-Men'!A109</f>
        <v>110</v>
      </c>
      <c r="B260" s="16">
        <f>'[5]BP-Men'!B109</f>
        <v>242.5</v>
      </c>
      <c r="C260" s="16" t="str">
        <f>'[5]BP-Men'!C109</f>
        <v>Guzev Pavel/66</v>
      </c>
      <c r="D260" s="16" t="str">
        <f t="shared" si="10"/>
        <v>66</v>
      </c>
      <c r="E260" s="16" t="str">
        <f>'[5]BP-Men'!D109</f>
        <v>RUS</v>
      </c>
      <c r="F260" s="17">
        <f>'[5]BP-Men'!E109</f>
        <v>41201</v>
      </c>
      <c r="G260" s="51" t="str">
        <f>'[5]BP-Men'!F109</f>
        <v>Krasnodar</v>
      </c>
    </row>
    <row r="261" spans="1:7" x14ac:dyDescent="0.25">
      <c r="A261" s="28">
        <f>'[5]BP-Men'!A110</f>
        <v>125</v>
      </c>
      <c r="B261" s="16">
        <f>'[5]BP-Men'!B110</f>
        <v>285</v>
      </c>
      <c r="C261" s="16" t="str">
        <f>'[5]BP-Men'!C110</f>
        <v>Guzev Pavel/66</v>
      </c>
      <c r="D261" s="16" t="str">
        <f t="shared" si="10"/>
        <v>66</v>
      </c>
      <c r="E261" s="16" t="str">
        <f>'[5]BP-Men'!D110</f>
        <v>RUS</v>
      </c>
      <c r="F261" s="17" t="str">
        <f>'[5]BP-Men'!E110</f>
        <v>23.08.2014</v>
      </c>
      <c r="G261" s="51" t="str">
        <f>'[5]BP-Men'!F110</f>
        <v>Moscow</v>
      </c>
    </row>
    <row r="262" spans="1:7" x14ac:dyDescent="0.25">
      <c r="A262" s="28">
        <f>'[5]BP-Men'!A111</f>
        <v>140</v>
      </c>
      <c r="B262" s="16">
        <f>'[5]BP-Men'!B111</f>
        <v>230</v>
      </c>
      <c r="C262" s="16" t="str">
        <f>'[5]BP-Men'!C111</f>
        <v>Golubev Kostyantyn/62</v>
      </c>
      <c r="D262" s="16" t="str">
        <f t="shared" si="10"/>
        <v>62</v>
      </c>
      <c r="E262" s="16" t="str">
        <f>'[5]BP-Men'!D111</f>
        <v>UKR</v>
      </c>
      <c r="F262" s="17">
        <f>'[5]BP-Men'!E111</f>
        <v>40091</v>
      </c>
      <c r="G262" s="51" t="str">
        <f>'[5]BP-Men'!F111</f>
        <v>Ternopil'</v>
      </c>
    </row>
    <row r="263" spans="1:7" x14ac:dyDescent="0.25">
      <c r="A263" s="28" t="str">
        <f>'[5]BP-Men'!A112</f>
        <v>140+</v>
      </c>
      <c r="B263" s="16">
        <f>'[5]BP-Men'!B112</f>
        <v>0</v>
      </c>
      <c r="C263" s="16">
        <f>'[5]BP-Men'!C112</f>
        <v>0</v>
      </c>
      <c r="D263" s="16" t="str">
        <f t="shared" si="10"/>
        <v>0</v>
      </c>
      <c r="E263" s="16">
        <f>'[5]BP-Men'!D112</f>
        <v>0</v>
      </c>
      <c r="F263" s="17">
        <f>'[5]BP-Men'!E112</f>
        <v>0</v>
      </c>
      <c r="G263" s="51">
        <f>'[5]BP-Men'!F112</f>
        <v>0</v>
      </c>
    </row>
    <row r="264" spans="1:7" x14ac:dyDescent="0.25">
      <c r="B264" s="16">
        <f>'[5]BP-Men'!B113</f>
        <v>0</v>
      </c>
      <c r="C264" s="16">
        <f>'[5]BP-Men'!C113</f>
        <v>0</v>
      </c>
      <c r="D264" s="16" t="str">
        <f t="shared" si="10"/>
        <v>0</v>
      </c>
      <c r="E264" s="16">
        <f>'[5]BP-Men'!D113</f>
        <v>0</v>
      </c>
      <c r="F264" s="17">
        <f>'[5]BP-Men'!E113</f>
        <v>0</v>
      </c>
      <c r="G264" s="51">
        <f>'[5]BP-Men'!F113</f>
        <v>0</v>
      </c>
    </row>
    <row r="265" spans="1:7" s="11" customFormat="1" x14ac:dyDescent="0.25">
      <c r="A265" s="22" t="s">
        <v>0</v>
      </c>
      <c r="B265" s="11">
        <v>1</v>
      </c>
      <c r="C265" s="11">
        <v>50</v>
      </c>
      <c r="D265" s="11" t="str">
        <f>'[5]BP-Men'!B114</f>
        <v>Men's M3  (50 - 54)</v>
      </c>
      <c r="F265" s="13"/>
      <c r="G265" s="30"/>
    </row>
    <row r="266" spans="1:7" x14ac:dyDescent="0.25">
      <c r="A266" s="28">
        <f>'[5]BP-Men'!A115</f>
        <v>52</v>
      </c>
      <c r="B266" s="16">
        <f>'[5]BP-Men'!B115</f>
        <v>0</v>
      </c>
      <c r="C266" s="16">
        <f>'[5]BP-Men'!C115</f>
        <v>0</v>
      </c>
      <c r="D266" s="16" t="str">
        <f t="shared" si="10"/>
        <v>0</v>
      </c>
      <c r="E266" s="16">
        <f>'[5]BP-Men'!D115</f>
        <v>0</v>
      </c>
      <c r="F266" s="17">
        <f>'[5]BP-Men'!E115</f>
        <v>0</v>
      </c>
      <c r="G266" s="51">
        <f>'[5]BP-Men'!F115</f>
        <v>0</v>
      </c>
    </row>
    <row r="267" spans="1:7" x14ac:dyDescent="0.25">
      <c r="A267" s="28">
        <f>'[5]BP-Men'!A116</f>
        <v>56</v>
      </c>
      <c r="B267" s="16">
        <f>'[5]BP-Men'!B116</f>
        <v>0</v>
      </c>
      <c r="C267" s="16">
        <f>'[5]BP-Men'!C116</f>
        <v>0</v>
      </c>
      <c r="D267" s="16" t="str">
        <f t="shared" si="10"/>
        <v>0</v>
      </c>
      <c r="E267" s="16">
        <f>'[5]BP-Men'!D116</f>
        <v>0</v>
      </c>
      <c r="F267" s="17">
        <f>'[5]BP-Men'!E116</f>
        <v>0</v>
      </c>
      <c r="G267" s="51">
        <f>'[5]BP-Men'!F116</f>
        <v>0</v>
      </c>
    </row>
    <row r="268" spans="1:7" x14ac:dyDescent="0.25">
      <c r="A268" s="28">
        <f>'[5]BP-Men'!A117</f>
        <v>60</v>
      </c>
      <c r="B268" s="16">
        <f>'[5]BP-Men'!B117</f>
        <v>0</v>
      </c>
      <c r="C268" s="16">
        <f>'[5]BP-Men'!C117</f>
        <v>0</v>
      </c>
      <c r="D268" s="16" t="str">
        <f t="shared" ref="D268" si="13">RIGHT(C268,2)</f>
        <v>0</v>
      </c>
      <c r="E268" s="16">
        <f>'[5]BP-Men'!D117</f>
        <v>0</v>
      </c>
      <c r="F268" s="17">
        <f>'[5]BP-Men'!E117</f>
        <v>0</v>
      </c>
      <c r="G268" s="51">
        <f>'[5]BP-Men'!F117</f>
        <v>0</v>
      </c>
    </row>
    <row r="269" spans="1:7" x14ac:dyDescent="0.25">
      <c r="A269" s="28" t="str">
        <f>'[5]BP-Men'!A118</f>
        <v>67.5</v>
      </c>
      <c r="B269" s="16">
        <f>'[5]BP-Men'!B118</f>
        <v>130</v>
      </c>
      <c r="C269" s="16" t="str">
        <f>'[5]BP-Men'!C118</f>
        <v>Alampiyev Sergei/57</v>
      </c>
      <c r="D269" s="16" t="str">
        <f t="shared" si="10"/>
        <v>57</v>
      </c>
      <c r="E269" s="16" t="str">
        <f>'[5]BP-Men'!D118</f>
        <v>RUS</v>
      </c>
      <c r="F269" s="17">
        <f>'[5]BP-Men'!E118</f>
        <v>40257</v>
      </c>
      <c r="G269" s="51" t="str">
        <f>'[5]BP-Men'!F118</f>
        <v>Kursk</v>
      </c>
    </row>
    <row r="270" spans="1:7" x14ac:dyDescent="0.25">
      <c r="A270" s="28">
        <f>'[5]BP-Men'!A119</f>
        <v>75</v>
      </c>
      <c r="B270" s="16">
        <f>'[5]BP-Men'!B119</f>
        <v>125</v>
      </c>
      <c r="C270" s="16" t="str">
        <f>'[5]BP-Men'!C119</f>
        <v>Alampiyev Sergei/57</v>
      </c>
      <c r="D270" s="16" t="str">
        <f t="shared" si="10"/>
        <v>57</v>
      </c>
      <c r="E270" s="16" t="str">
        <f>'[5]BP-Men'!D119</f>
        <v>RUS</v>
      </c>
      <c r="F270" s="17">
        <f>'[5]BP-Men'!E119</f>
        <v>39873</v>
      </c>
      <c r="G270" s="51" t="str">
        <f>'[5]BP-Men'!F119</f>
        <v>Chelyabinsk</v>
      </c>
    </row>
    <row r="271" spans="1:7" x14ac:dyDescent="0.25">
      <c r="A271" s="28" t="str">
        <f>'[5]BP-Men'!A120</f>
        <v>82.5</v>
      </c>
      <c r="B271" s="16">
        <f>'[5]BP-Men'!B120</f>
        <v>195.5</v>
      </c>
      <c r="C271" s="16" t="str">
        <f>'[5]BP-Men'!C120</f>
        <v>Reshetnikov Vladimir/60</v>
      </c>
      <c r="D271" s="16" t="str">
        <f t="shared" si="10"/>
        <v>60</v>
      </c>
      <c r="E271" s="16" t="str">
        <f>'[5]BP-Men'!D120</f>
        <v>RUS</v>
      </c>
      <c r="F271" s="17">
        <f>'[5]BP-Men'!E120</f>
        <v>40409</v>
      </c>
      <c r="G271" s="51" t="str">
        <f>'[5]BP-Men'!F120</f>
        <v>Moscow</v>
      </c>
    </row>
    <row r="272" spans="1:7" x14ac:dyDescent="0.25">
      <c r="A272" s="28">
        <f>'[5]BP-Men'!A121</f>
        <v>90</v>
      </c>
      <c r="B272" s="16">
        <f>'[5]BP-Men'!B121</f>
        <v>207.5</v>
      </c>
      <c r="C272" s="16" t="str">
        <f>'[5]BP-Men'!C121</f>
        <v>Gadzhiev Elman/59</v>
      </c>
      <c r="D272" s="16" t="str">
        <f t="shared" si="10"/>
        <v>59</v>
      </c>
      <c r="E272" s="16" t="str">
        <f>'[5]BP-Men'!D121</f>
        <v>UKR</v>
      </c>
      <c r="F272" s="17">
        <f>'[5]BP-Men'!E121</f>
        <v>41370</v>
      </c>
      <c r="G272" s="51" t="str">
        <f>'[5]BP-Men'!F121</f>
        <v>Kryvyi Rig</v>
      </c>
    </row>
    <row r="273" spans="1:7" x14ac:dyDescent="0.25">
      <c r="A273" s="28">
        <f>'[5]BP-Men'!A122</f>
        <v>100</v>
      </c>
      <c r="B273" s="16">
        <f>'[5]BP-Men'!B122</f>
        <v>205</v>
      </c>
      <c r="C273" s="16" t="str">
        <f>'[5]BP-Men'!C122</f>
        <v>Akentyev Valery/58</v>
      </c>
      <c r="D273" s="16" t="str">
        <f t="shared" si="10"/>
        <v>58</v>
      </c>
      <c r="E273" s="16" t="str">
        <f>'[5]BP-Men'!D122</f>
        <v>RUS</v>
      </c>
      <c r="F273" s="17">
        <f>'[5]BP-Men'!E122</f>
        <v>41067</v>
      </c>
      <c r="G273" s="51" t="str">
        <f>'[5]BP-Men'!F122</f>
        <v>Moscow</v>
      </c>
    </row>
    <row r="274" spans="1:7" x14ac:dyDescent="0.25">
      <c r="A274" s="28">
        <f>'[5]BP-Men'!A123</f>
        <v>110</v>
      </c>
      <c r="B274" s="16">
        <f>'[5]BP-Men'!B123</f>
        <v>250</v>
      </c>
      <c r="C274" s="16" t="str">
        <f>'[5]BP-Men'!C123</f>
        <v>Yagovkin Pavel/59</v>
      </c>
      <c r="D274" s="16" t="str">
        <f t="shared" si="10"/>
        <v>59</v>
      </c>
      <c r="E274" s="16" t="str">
        <f>'[5]BP-Men'!D123</f>
        <v>RUS</v>
      </c>
      <c r="F274" s="17">
        <f>'[5]BP-Men'!E123</f>
        <v>40258</v>
      </c>
      <c r="G274" s="51" t="str">
        <f>'[5]BP-Men'!F123</f>
        <v>Kursk</v>
      </c>
    </row>
    <row r="275" spans="1:7" x14ac:dyDescent="0.25">
      <c r="A275" s="28">
        <f>'[5]BP-Men'!A124</f>
        <v>125</v>
      </c>
      <c r="B275" s="16">
        <f>'[5]BP-Men'!B124</f>
        <v>265</v>
      </c>
      <c r="C275" s="16" t="str">
        <f>'[5]BP-Men'!C124</f>
        <v>Yagovkin Pavel/59</v>
      </c>
      <c r="D275" s="16" t="str">
        <f t="shared" si="10"/>
        <v>59</v>
      </c>
      <c r="E275" s="16" t="str">
        <f>'[5]BP-Men'!D124</f>
        <v>RUS</v>
      </c>
      <c r="F275" s="17">
        <f>'[5]BP-Men'!E124</f>
        <v>41321</v>
      </c>
      <c r="G275" s="51" t="str">
        <f>'[5]BP-Men'!F124</f>
        <v>Yekaterinburg</v>
      </c>
    </row>
    <row r="276" spans="1:7" x14ac:dyDescent="0.25">
      <c r="A276" s="28">
        <f>'[5]BP-Men'!A125</f>
        <v>140</v>
      </c>
      <c r="B276" s="16">
        <f>'[5]BP-Men'!B125</f>
        <v>0</v>
      </c>
      <c r="C276" s="16">
        <f>'[5]BP-Men'!C125</f>
        <v>0</v>
      </c>
      <c r="D276" s="16" t="str">
        <f t="shared" si="10"/>
        <v>0</v>
      </c>
      <c r="E276" s="16">
        <f>'[5]BP-Men'!D125</f>
        <v>0</v>
      </c>
      <c r="F276" s="17">
        <f>'[5]BP-Men'!E125</f>
        <v>0</v>
      </c>
      <c r="G276" s="51">
        <f>'[5]BP-Men'!F125</f>
        <v>0</v>
      </c>
    </row>
    <row r="277" spans="1:7" x14ac:dyDescent="0.25">
      <c r="A277" s="28" t="str">
        <f>'[5]BP-Men'!A126</f>
        <v>140+</v>
      </c>
      <c r="B277" s="16">
        <f>'[5]BP-Men'!B126</f>
        <v>0</v>
      </c>
      <c r="C277" s="16">
        <f>'[5]BP-Men'!C126</f>
        <v>0</v>
      </c>
      <c r="D277" s="16" t="str">
        <f t="shared" ref="D277" si="14">RIGHT(C277,2)</f>
        <v>0</v>
      </c>
      <c r="E277" s="16">
        <f>'[5]BP-Men'!D126</f>
        <v>0</v>
      </c>
      <c r="F277" s="17">
        <f>'[5]BP-Men'!E126</f>
        <v>0</v>
      </c>
      <c r="G277" s="51">
        <f>'[5]BP-Men'!F126</f>
        <v>0</v>
      </c>
    </row>
    <row r="278" spans="1:7" x14ac:dyDescent="0.25">
      <c r="B278" s="16">
        <f>'[5]BP-Men'!B127</f>
        <v>0</v>
      </c>
      <c r="C278" s="16">
        <f>'[5]BP-Men'!C127</f>
        <v>0</v>
      </c>
      <c r="D278" s="16" t="str">
        <f t="shared" si="10"/>
        <v>0</v>
      </c>
      <c r="E278" s="16">
        <f>'[5]BP-Men'!D127</f>
        <v>0</v>
      </c>
      <c r="F278" s="17">
        <f>'[5]BP-Men'!E127</f>
        <v>0</v>
      </c>
      <c r="G278" s="51">
        <f>'[5]BP-Men'!F127</f>
        <v>0</v>
      </c>
    </row>
    <row r="279" spans="1:7" s="11" customFormat="1" x14ac:dyDescent="0.25">
      <c r="A279" s="22" t="s">
        <v>0</v>
      </c>
      <c r="B279" s="11">
        <v>1</v>
      </c>
      <c r="C279" s="11">
        <v>55</v>
      </c>
      <c r="D279" s="11" t="str">
        <f>'[5]BP-Men'!B128</f>
        <v>Men's M4  (55 - 59)</v>
      </c>
      <c r="F279" s="13"/>
      <c r="G279" s="30"/>
    </row>
    <row r="280" spans="1:7" x14ac:dyDescent="0.25">
      <c r="A280" s="28">
        <f>'[5]BP-Men'!A129</f>
        <v>52</v>
      </c>
      <c r="B280" s="16">
        <f>'[5]BP-Men'!B129</f>
        <v>0</v>
      </c>
      <c r="C280" s="16">
        <f>'[5]BP-Men'!C129</f>
        <v>0</v>
      </c>
      <c r="D280" s="16" t="str">
        <f t="shared" ref="D280" si="15">RIGHT(C280,2)</f>
        <v>0</v>
      </c>
      <c r="E280" s="16">
        <f>'[5]BP-Men'!D129</f>
        <v>0</v>
      </c>
      <c r="F280" s="17">
        <f>'[5]BP-Men'!E129</f>
        <v>0</v>
      </c>
      <c r="G280" s="51">
        <f>'[5]BP-Men'!F129</f>
        <v>0</v>
      </c>
    </row>
    <row r="281" spans="1:7" x14ac:dyDescent="0.25">
      <c r="A281" s="28">
        <f>'[5]BP-Men'!A130</f>
        <v>56</v>
      </c>
      <c r="B281" s="16">
        <f>'[5]BP-Men'!B130</f>
        <v>0</v>
      </c>
      <c r="C281" s="16">
        <f>'[5]BP-Men'!C130</f>
        <v>0</v>
      </c>
      <c r="D281" s="16" t="str">
        <f t="shared" ref="D281" si="16">RIGHT(C281,2)</f>
        <v>0</v>
      </c>
      <c r="E281" s="16">
        <f>'[5]BP-Men'!D130</f>
        <v>0</v>
      </c>
      <c r="F281" s="17">
        <f>'[5]BP-Men'!E130</f>
        <v>0</v>
      </c>
      <c r="G281" s="51">
        <f>'[5]BP-Men'!F130</f>
        <v>0</v>
      </c>
    </row>
    <row r="282" spans="1:7" x14ac:dyDescent="0.25">
      <c r="A282" s="28">
        <f>'[5]BP-Men'!A131</f>
        <v>60</v>
      </c>
      <c r="B282" s="16">
        <f>'[5]BP-Men'!B131</f>
        <v>0</v>
      </c>
      <c r="C282" s="16">
        <f>'[5]BP-Men'!C131</f>
        <v>0</v>
      </c>
      <c r="D282" s="16" t="str">
        <f t="shared" si="10"/>
        <v>0</v>
      </c>
      <c r="E282" s="16">
        <f>'[5]BP-Men'!D131</f>
        <v>0</v>
      </c>
      <c r="F282" s="17">
        <f>'[5]BP-Men'!E131</f>
        <v>0</v>
      </c>
      <c r="G282" s="51">
        <f>'[5]BP-Men'!F131</f>
        <v>0</v>
      </c>
    </row>
    <row r="283" spans="1:7" x14ac:dyDescent="0.25">
      <c r="A283" s="28">
        <f>'[5]BP-Men'!A132</f>
        <v>75</v>
      </c>
      <c r="B283" s="16">
        <f>'[5]BP-Men'!B132</f>
        <v>0</v>
      </c>
      <c r="C283" s="16">
        <f>'[5]BP-Men'!C132</f>
        <v>0</v>
      </c>
      <c r="D283" s="16" t="str">
        <f t="shared" si="10"/>
        <v>0</v>
      </c>
      <c r="E283" s="16">
        <f>'[5]BP-Men'!D132</f>
        <v>0</v>
      </c>
      <c r="F283" s="17">
        <f>'[5]BP-Men'!E132</f>
        <v>0</v>
      </c>
      <c r="G283" s="51">
        <f>'[5]BP-Men'!F132</f>
        <v>0</v>
      </c>
    </row>
    <row r="284" spans="1:7" x14ac:dyDescent="0.25">
      <c r="A284" s="28" t="str">
        <f>'[5]BP-Men'!A133</f>
        <v>82.5</v>
      </c>
      <c r="B284" s="16">
        <f>'[5]BP-Men'!B133</f>
        <v>0</v>
      </c>
      <c r="C284" s="16">
        <f>'[5]BP-Men'!C133</f>
        <v>0</v>
      </c>
      <c r="D284" s="16" t="str">
        <f t="shared" si="10"/>
        <v>0</v>
      </c>
      <c r="E284" s="16">
        <f>'[5]BP-Men'!D133</f>
        <v>0</v>
      </c>
      <c r="F284" s="17">
        <f>'[5]BP-Men'!E133</f>
        <v>0</v>
      </c>
      <c r="G284" s="51">
        <f>'[5]BP-Men'!F133</f>
        <v>0</v>
      </c>
    </row>
    <row r="285" spans="1:7" x14ac:dyDescent="0.25">
      <c r="A285" s="28">
        <f>'[5]BP-Men'!A134</f>
        <v>90</v>
      </c>
      <c r="B285" s="16">
        <f>'[5]BP-Men'!B134</f>
        <v>0</v>
      </c>
      <c r="C285" s="16">
        <f>'[5]BP-Men'!C134</f>
        <v>0</v>
      </c>
      <c r="D285" s="16" t="str">
        <f t="shared" si="10"/>
        <v>0</v>
      </c>
      <c r="E285" s="16">
        <f>'[5]BP-Men'!D134</f>
        <v>0</v>
      </c>
      <c r="F285" s="17">
        <f>'[5]BP-Men'!E134</f>
        <v>0</v>
      </c>
      <c r="G285" s="51">
        <f>'[5]BP-Men'!F134</f>
        <v>0</v>
      </c>
    </row>
    <row r="286" spans="1:7" x14ac:dyDescent="0.25">
      <c r="A286" s="28">
        <f>'[5]BP-Men'!A135</f>
        <v>100</v>
      </c>
      <c r="B286" s="16">
        <f>'[5]BP-Men'!B135</f>
        <v>0</v>
      </c>
      <c r="C286" s="16">
        <f>'[5]BP-Men'!C135</f>
        <v>0</v>
      </c>
      <c r="D286" s="16" t="str">
        <f t="shared" si="10"/>
        <v>0</v>
      </c>
      <c r="E286" s="16">
        <f>'[5]BP-Men'!D135</f>
        <v>0</v>
      </c>
      <c r="F286" s="17">
        <f>'[5]BP-Men'!E135</f>
        <v>0</v>
      </c>
      <c r="G286" s="51">
        <f>'[5]BP-Men'!F135</f>
        <v>0</v>
      </c>
    </row>
    <row r="287" spans="1:7" x14ac:dyDescent="0.25">
      <c r="A287" s="28">
        <f>'[5]BP-Men'!A136</f>
        <v>110</v>
      </c>
      <c r="B287" s="16">
        <f>'[5]BP-Men'!B136</f>
        <v>215</v>
      </c>
      <c r="C287" s="16" t="str">
        <f>'[5]BP-Men'!C136</f>
        <v>Egozaryan,Grachik/52</v>
      </c>
      <c r="D287" s="16" t="str">
        <f t="shared" si="10"/>
        <v>52</v>
      </c>
      <c r="E287" s="16" t="str">
        <f>'[5]BP-Men'!D136</f>
        <v>RUS</v>
      </c>
      <c r="F287" s="17">
        <f>'[5]BP-Men'!E136</f>
        <v>40409</v>
      </c>
      <c r="G287" s="51" t="str">
        <f>'[5]BP-Men'!F136</f>
        <v>Moscow</v>
      </c>
    </row>
    <row r="288" spans="1:7" x14ac:dyDescent="0.25">
      <c r="A288" s="28">
        <f>'[5]BP-Men'!A137</f>
        <v>125</v>
      </c>
      <c r="B288" s="16">
        <f>'[5]BP-Men'!B137</f>
        <v>0</v>
      </c>
      <c r="C288" s="16">
        <f>'[5]BP-Men'!C137</f>
        <v>0</v>
      </c>
      <c r="D288" s="16" t="str">
        <f t="shared" si="10"/>
        <v>0</v>
      </c>
      <c r="E288" s="16">
        <f>'[5]BP-Men'!D137</f>
        <v>0</v>
      </c>
      <c r="F288" s="17">
        <f>'[5]BP-Men'!E137</f>
        <v>0</v>
      </c>
      <c r="G288" s="51">
        <f>'[5]BP-Men'!F137</f>
        <v>0</v>
      </c>
    </row>
    <row r="289" spans="1:7" x14ac:dyDescent="0.25">
      <c r="A289" s="28">
        <f>'[5]BP-Men'!A138</f>
        <v>140</v>
      </c>
      <c r="B289" s="16">
        <f>'[5]BP-Men'!B138</f>
        <v>0</v>
      </c>
      <c r="C289" s="16">
        <f>'[5]BP-Men'!C138</f>
        <v>0</v>
      </c>
      <c r="D289" s="16" t="str">
        <f t="shared" si="10"/>
        <v>0</v>
      </c>
      <c r="E289" s="16">
        <f>'[5]BP-Men'!D138</f>
        <v>0</v>
      </c>
      <c r="F289" s="17">
        <f>'[5]BP-Men'!E138</f>
        <v>0</v>
      </c>
      <c r="G289" s="51">
        <f>'[5]BP-Men'!F138</f>
        <v>0</v>
      </c>
    </row>
    <row r="290" spans="1:7" x14ac:dyDescent="0.25">
      <c r="A290" s="28" t="str">
        <f>'[5]BP-Men'!A139</f>
        <v>140+</v>
      </c>
      <c r="B290" s="16">
        <f>'[5]BP-Men'!B139</f>
        <v>0</v>
      </c>
      <c r="C290" s="16">
        <f>'[5]BP-Men'!C139</f>
        <v>0</v>
      </c>
      <c r="D290" s="16" t="str">
        <f t="shared" si="10"/>
        <v>0</v>
      </c>
      <c r="E290" s="16">
        <f>'[5]BP-Men'!D139</f>
        <v>0</v>
      </c>
      <c r="F290" s="17">
        <f>'[5]BP-Men'!E139</f>
        <v>0</v>
      </c>
      <c r="G290" s="51">
        <f>'[5]BP-Men'!F139</f>
        <v>0</v>
      </c>
    </row>
    <row r="291" spans="1:7" x14ac:dyDescent="0.25">
      <c r="B291" s="16">
        <f>'[5]BP-Men'!B140</f>
        <v>0</v>
      </c>
      <c r="C291" s="16">
        <f>'[5]BP-Men'!C140</f>
        <v>0</v>
      </c>
      <c r="D291" s="16" t="str">
        <f t="shared" si="10"/>
        <v>0</v>
      </c>
      <c r="E291" s="16">
        <f>'[5]BP-Men'!D140</f>
        <v>0</v>
      </c>
      <c r="F291" s="17">
        <f>'[5]BP-Men'!E140</f>
        <v>0</v>
      </c>
      <c r="G291" s="51">
        <f>'[5]BP-Men'!F140</f>
        <v>0</v>
      </c>
    </row>
    <row r="292" spans="1:7" s="11" customFormat="1" x14ac:dyDescent="0.25">
      <c r="A292" s="22" t="s">
        <v>0</v>
      </c>
      <c r="B292" s="11">
        <v>1</v>
      </c>
      <c r="C292" s="11">
        <v>60</v>
      </c>
      <c r="D292" s="11" t="str">
        <f>'[5]BP-Men'!B141</f>
        <v>Men's M5  (60 - 64)</v>
      </c>
      <c r="F292" s="13"/>
      <c r="G292" s="30"/>
    </row>
    <row r="293" spans="1:7" x14ac:dyDescent="0.25">
      <c r="A293" s="28">
        <f>'[5]BP-Men'!A142</f>
        <v>52</v>
      </c>
      <c r="B293" s="16">
        <f>'[5]BP-Men'!B142</f>
        <v>0</v>
      </c>
      <c r="C293" s="16">
        <f>'[5]BP-Men'!C142</f>
        <v>0</v>
      </c>
      <c r="D293" s="16" t="str">
        <f t="shared" si="10"/>
        <v>0</v>
      </c>
      <c r="E293" s="16">
        <f>'[5]BP-Men'!D142</f>
        <v>0</v>
      </c>
      <c r="F293" s="17">
        <f>'[5]BP-Men'!E142</f>
        <v>0</v>
      </c>
      <c r="G293" s="51">
        <f>'[5]BP-Men'!F142</f>
        <v>0</v>
      </c>
    </row>
    <row r="294" spans="1:7" x14ac:dyDescent="0.25">
      <c r="A294" s="28">
        <f>'[5]BP-Men'!A143</f>
        <v>56</v>
      </c>
      <c r="B294" s="16">
        <f>'[5]BP-Men'!B143</f>
        <v>0</v>
      </c>
      <c r="C294" s="16">
        <f>'[5]BP-Men'!C143</f>
        <v>0</v>
      </c>
      <c r="D294" s="16" t="str">
        <f t="shared" ref="D294:D295" si="17">RIGHT(C294,2)</f>
        <v>0</v>
      </c>
      <c r="E294" s="16">
        <f>'[5]BP-Men'!D143</f>
        <v>0</v>
      </c>
      <c r="F294" s="17">
        <f>'[5]BP-Men'!E143</f>
        <v>0</v>
      </c>
      <c r="G294" s="51">
        <f>'[5]BP-Men'!F143</f>
        <v>0</v>
      </c>
    </row>
    <row r="295" spans="1:7" x14ac:dyDescent="0.25">
      <c r="A295" s="28">
        <f>'[5]BP-Men'!A144</f>
        <v>60</v>
      </c>
      <c r="B295" s="16">
        <f>'[5]BP-Men'!B144</f>
        <v>0</v>
      </c>
      <c r="C295" s="16">
        <f>'[5]BP-Men'!C144</f>
        <v>0</v>
      </c>
      <c r="D295" s="16" t="str">
        <f t="shared" si="17"/>
        <v>0</v>
      </c>
      <c r="E295" s="16">
        <f>'[5]BP-Men'!D144</f>
        <v>0</v>
      </c>
      <c r="F295" s="17">
        <f>'[5]BP-Men'!E144</f>
        <v>0</v>
      </c>
      <c r="G295" s="51">
        <f>'[5]BP-Men'!F144</f>
        <v>0</v>
      </c>
    </row>
    <row r="296" spans="1:7" x14ac:dyDescent="0.25">
      <c r="A296" s="28">
        <f>'[5]BP-Men'!A145</f>
        <v>67.5</v>
      </c>
      <c r="B296" s="16">
        <f>'[5]BP-Men'!B145</f>
        <v>0</v>
      </c>
      <c r="C296" s="16">
        <f>'[5]BP-Men'!C145</f>
        <v>0</v>
      </c>
      <c r="D296" s="16" t="str">
        <f t="shared" si="10"/>
        <v>0</v>
      </c>
      <c r="E296" s="16">
        <f>'[5]BP-Men'!D145</f>
        <v>0</v>
      </c>
      <c r="F296" s="17">
        <f>'[5]BP-Men'!E145</f>
        <v>0</v>
      </c>
      <c r="G296" s="51">
        <f>'[5]BP-Men'!F145</f>
        <v>0</v>
      </c>
    </row>
    <row r="297" spans="1:7" x14ac:dyDescent="0.25">
      <c r="A297" s="28">
        <f>'[5]BP-Men'!A146</f>
        <v>75</v>
      </c>
      <c r="B297" s="16">
        <f>'[5]BP-Men'!B146</f>
        <v>120</v>
      </c>
      <c r="C297" s="16" t="str">
        <f>'[5]BP-Men'!C146</f>
        <v>Kravtsov Petro/46</v>
      </c>
      <c r="D297" s="16" t="str">
        <f t="shared" si="10"/>
        <v>46</v>
      </c>
      <c r="E297" s="16" t="str">
        <f>'[5]BP-Men'!D146</f>
        <v>UKR</v>
      </c>
      <c r="F297" s="17">
        <f>'[5]BP-Men'!E146</f>
        <v>39983</v>
      </c>
      <c r="G297" s="51" t="str">
        <f>'[5]BP-Men'!F146</f>
        <v>Ternopil'</v>
      </c>
    </row>
    <row r="298" spans="1:7" x14ac:dyDescent="0.25">
      <c r="A298" s="28">
        <f>'[5]BP-Men'!A147</f>
        <v>82.5</v>
      </c>
      <c r="B298" s="16">
        <f>'[5]BP-Men'!B147</f>
        <v>0</v>
      </c>
      <c r="C298" s="16">
        <f>'[5]BP-Men'!C147</f>
        <v>0</v>
      </c>
      <c r="D298" s="16" t="str">
        <f t="shared" si="10"/>
        <v>0</v>
      </c>
      <c r="E298" s="16">
        <f>'[5]BP-Men'!D147</f>
        <v>0</v>
      </c>
      <c r="F298" s="17">
        <f>'[5]BP-Men'!E147</f>
        <v>0</v>
      </c>
      <c r="G298" s="51">
        <f>'[5]BP-Men'!F147</f>
        <v>0</v>
      </c>
    </row>
    <row r="299" spans="1:7" x14ac:dyDescent="0.25">
      <c r="A299" s="28">
        <f>'[5]BP-Men'!A148</f>
        <v>90</v>
      </c>
      <c r="B299" s="16">
        <f>'[5]BP-Men'!B148</f>
        <v>0</v>
      </c>
      <c r="C299" s="16">
        <f>'[5]BP-Men'!C148</f>
        <v>0</v>
      </c>
      <c r="D299" s="16" t="str">
        <f t="shared" si="10"/>
        <v>0</v>
      </c>
      <c r="E299" s="16">
        <f>'[5]BP-Men'!D148</f>
        <v>0</v>
      </c>
      <c r="F299" s="17">
        <f>'[5]BP-Men'!E148</f>
        <v>0</v>
      </c>
      <c r="G299" s="51">
        <f>'[5]BP-Men'!F148</f>
        <v>0</v>
      </c>
    </row>
    <row r="300" spans="1:7" x14ac:dyDescent="0.25">
      <c r="A300" s="28">
        <f>'[5]BP-Men'!A149</f>
        <v>100</v>
      </c>
      <c r="B300" s="16">
        <f>'[5]BP-Men'!B149</f>
        <v>0</v>
      </c>
      <c r="C300" s="16">
        <f>'[5]BP-Men'!C149</f>
        <v>0</v>
      </c>
      <c r="D300" s="16" t="str">
        <f t="shared" si="10"/>
        <v>0</v>
      </c>
      <c r="E300" s="16">
        <f>'[5]BP-Men'!D149</f>
        <v>0</v>
      </c>
      <c r="F300" s="17">
        <f>'[5]BP-Men'!E149</f>
        <v>0</v>
      </c>
      <c r="G300" s="51">
        <f>'[5]BP-Men'!F149</f>
        <v>0</v>
      </c>
    </row>
    <row r="301" spans="1:7" x14ac:dyDescent="0.25">
      <c r="A301" s="28">
        <f>'[5]BP-Men'!A150</f>
        <v>110</v>
      </c>
      <c r="B301" s="16">
        <f>'[5]BP-Men'!B150</f>
        <v>160</v>
      </c>
      <c r="C301" s="16" t="str">
        <f>'[5]BP-Men'!C150</f>
        <v>Golovchenko Yevgen/46</v>
      </c>
      <c r="D301" s="16" t="str">
        <f t="shared" ref="D301:D365" si="18">RIGHT(C301,2)</f>
        <v>46</v>
      </c>
      <c r="E301" s="16" t="str">
        <f>'[5]BP-Men'!D150</f>
        <v>UKR</v>
      </c>
      <c r="F301" s="17">
        <f>'[5]BP-Men'!E150</f>
        <v>40103</v>
      </c>
      <c r="G301" s="51" t="str">
        <f>'[5]BP-Men'!F150</f>
        <v>Kryvyi Rig</v>
      </c>
    </row>
    <row r="302" spans="1:7" x14ac:dyDescent="0.25">
      <c r="A302" s="28">
        <f>'[5]BP-Men'!A151</f>
        <v>125</v>
      </c>
      <c r="B302" s="16">
        <f>'[5]BP-Men'!B151</f>
        <v>200</v>
      </c>
      <c r="C302" s="16" t="str">
        <f>'[5]BP-Men'!C151</f>
        <v>Maximushkin Alexander/60</v>
      </c>
      <c r="D302" s="16" t="str">
        <f t="shared" si="18"/>
        <v>60</v>
      </c>
      <c r="E302" s="16" t="str">
        <f>'[5]BP-Men'!D151</f>
        <v>RUS</v>
      </c>
      <c r="F302" s="17" t="str">
        <f>'[5]BP-Men'!E151</f>
        <v>23.08.2014</v>
      </c>
      <c r="G302" s="51" t="str">
        <f>'[5]BP-Men'!F151</f>
        <v>Moscow</v>
      </c>
    </row>
    <row r="303" spans="1:7" x14ac:dyDescent="0.25">
      <c r="A303" s="28">
        <f>'[5]BP-Men'!A152</f>
        <v>140</v>
      </c>
      <c r="B303" s="16">
        <f>'[5]BP-Men'!B152</f>
        <v>0</v>
      </c>
      <c r="C303" s="16">
        <f>'[5]BP-Men'!C152</f>
        <v>0</v>
      </c>
      <c r="D303" s="16" t="str">
        <f t="shared" si="18"/>
        <v>0</v>
      </c>
      <c r="E303" s="16">
        <f>'[5]BP-Men'!D152</f>
        <v>0</v>
      </c>
      <c r="F303" s="17">
        <f>'[5]BP-Men'!E152</f>
        <v>0</v>
      </c>
      <c r="G303" s="51">
        <f>'[5]BP-Men'!F152</f>
        <v>0</v>
      </c>
    </row>
    <row r="304" spans="1:7" x14ac:dyDescent="0.25">
      <c r="A304" s="28" t="str">
        <f>'[5]BP-Men'!A153</f>
        <v>140+</v>
      </c>
      <c r="B304" s="16">
        <f>'[5]BP-Men'!B153</f>
        <v>0</v>
      </c>
      <c r="C304" s="16">
        <f>'[5]BP-Men'!C153</f>
        <v>0</v>
      </c>
      <c r="D304" s="16" t="str">
        <f t="shared" si="18"/>
        <v>0</v>
      </c>
      <c r="E304" s="16">
        <f>'[5]BP-Men'!D153</f>
        <v>0</v>
      </c>
      <c r="F304" s="17">
        <f>'[5]BP-Men'!E153</f>
        <v>0</v>
      </c>
      <c r="G304" s="51">
        <f>'[5]BP-Men'!F153</f>
        <v>0</v>
      </c>
    </row>
    <row r="305" spans="1:7" x14ac:dyDescent="0.25">
      <c r="B305" s="16">
        <f>'[5]BP-Men'!B154</f>
        <v>0</v>
      </c>
      <c r="C305" s="16">
        <f>'[5]BP-Men'!C154</f>
        <v>0</v>
      </c>
      <c r="D305" s="16" t="str">
        <f t="shared" si="18"/>
        <v>0</v>
      </c>
      <c r="E305" s="16">
        <f>'[5]BP-Men'!D154</f>
        <v>0</v>
      </c>
      <c r="F305" s="17">
        <f>'[5]BP-Men'!E154</f>
        <v>0</v>
      </c>
      <c r="G305" s="51">
        <f>'[5]BP-Men'!F154</f>
        <v>0</v>
      </c>
    </row>
    <row r="306" spans="1:7" s="11" customFormat="1" x14ac:dyDescent="0.25">
      <c r="A306" s="22" t="s">
        <v>0</v>
      </c>
      <c r="B306" s="11">
        <v>1</v>
      </c>
      <c r="C306" s="11">
        <v>65</v>
      </c>
      <c r="D306" s="11" t="str">
        <f>'[5]BP-Men'!B155</f>
        <v>Men's M6  (65 - 69)</v>
      </c>
      <c r="F306" s="13"/>
      <c r="G306" s="30"/>
    </row>
    <row r="307" spans="1:7" x14ac:dyDescent="0.25">
      <c r="A307" s="28">
        <f>'[5]BP-Men'!A156</f>
        <v>52</v>
      </c>
      <c r="B307" s="16">
        <f>'[5]BP-Men'!B156</f>
        <v>0</v>
      </c>
      <c r="C307" s="16">
        <f>'[5]BP-Men'!C156</f>
        <v>0</v>
      </c>
      <c r="D307" s="16" t="str">
        <f t="shared" si="18"/>
        <v>0</v>
      </c>
      <c r="E307" s="16">
        <f>'[5]BP-Men'!D156</f>
        <v>0</v>
      </c>
      <c r="F307" s="17">
        <f>'[5]BP-Men'!E156</f>
        <v>0</v>
      </c>
      <c r="G307" s="51">
        <f>'[5]BP-Men'!F156</f>
        <v>0</v>
      </c>
    </row>
    <row r="308" spans="1:7" x14ac:dyDescent="0.25">
      <c r="A308" s="28">
        <f>'[5]BP-Men'!A157</f>
        <v>56</v>
      </c>
      <c r="B308" s="16">
        <f>'[5]BP-Men'!B157</f>
        <v>0</v>
      </c>
      <c r="C308" s="16">
        <f>'[5]BP-Men'!C157</f>
        <v>0</v>
      </c>
      <c r="D308" s="16" t="str">
        <f t="shared" ref="D308" si="19">RIGHT(C308,2)</f>
        <v>0</v>
      </c>
      <c r="E308" s="16">
        <f>'[5]BP-Men'!D157</f>
        <v>0</v>
      </c>
      <c r="F308" s="17">
        <f>'[5]BP-Men'!E157</f>
        <v>0</v>
      </c>
      <c r="G308" s="51">
        <f>'[5]BP-Men'!F157</f>
        <v>0</v>
      </c>
    </row>
    <row r="309" spans="1:7" x14ac:dyDescent="0.25">
      <c r="A309" s="28">
        <f>'[5]BP-Men'!A158</f>
        <v>60</v>
      </c>
      <c r="B309" s="16">
        <f>'[5]BP-Men'!B158</f>
        <v>0</v>
      </c>
      <c r="C309" s="16">
        <f>'[5]BP-Men'!C158</f>
        <v>0</v>
      </c>
      <c r="D309" s="16" t="str">
        <f t="shared" ref="D309" si="20">RIGHT(C309,2)</f>
        <v>0</v>
      </c>
      <c r="E309" s="16">
        <f>'[5]BP-Men'!D158</f>
        <v>0</v>
      </c>
      <c r="F309" s="17">
        <f>'[5]BP-Men'!E158</f>
        <v>0</v>
      </c>
      <c r="G309" s="51">
        <f>'[5]BP-Men'!F158</f>
        <v>0</v>
      </c>
    </row>
    <row r="310" spans="1:7" x14ac:dyDescent="0.25">
      <c r="A310" s="28">
        <f>'[5]BP-Men'!A159</f>
        <v>67.5</v>
      </c>
      <c r="B310" s="16">
        <f>'[5]BP-Men'!B159</f>
        <v>0</v>
      </c>
      <c r="C310" s="16">
        <f>'[5]BP-Men'!C159</f>
        <v>0</v>
      </c>
      <c r="D310" s="16" t="str">
        <f t="shared" si="18"/>
        <v>0</v>
      </c>
      <c r="E310" s="16">
        <f>'[5]BP-Men'!D159</f>
        <v>0</v>
      </c>
      <c r="F310" s="17">
        <f>'[5]BP-Men'!E159</f>
        <v>0</v>
      </c>
      <c r="G310" s="51">
        <f>'[5]BP-Men'!F159</f>
        <v>0</v>
      </c>
    </row>
    <row r="311" spans="1:7" x14ac:dyDescent="0.25">
      <c r="A311" s="28">
        <f>'[5]BP-Men'!A160</f>
        <v>75</v>
      </c>
      <c r="B311" s="16">
        <f>'[5]BP-Men'!B160</f>
        <v>145</v>
      </c>
      <c r="C311" s="16" t="str">
        <f>'[5]BP-Men'!C160</f>
        <v>Petukhov Yevgeny/38</v>
      </c>
      <c r="D311" s="16" t="str">
        <f t="shared" si="18"/>
        <v>38</v>
      </c>
      <c r="E311" s="16" t="str">
        <f>'[5]BP-Men'!D160</f>
        <v>RUS</v>
      </c>
      <c r="F311" s="17">
        <f>'[5]BP-Men'!E160</f>
        <v>39123</v>
      </c>
      <c r="G311" s="51" t="str">
        <f>'[5]BP-Men'!F160</f>
        <v>Chelyabinsk</v>
      </c>
    </row>
    <row r="312" spans="1:7" x14ac:dyDescent="0.25">
      <c r="A312" s="28" t="str">
        <f>'[5]BP-Men'!A161</f>
        <v>82.5</v>
      </c>
      <c r="B312" s="16">
        <f>'[5]BP-Men'!B161</f>
        <v>110</v>
      </c>
      <c r="C312" s="16" t="str">
        <f>'[5]BP-Men'!C161</f>
        <v>Yakushov Vyacheslav/41</v>
      </c>
      <c r="D312" s="16" t="str">
        <f t="shared" si="18"/>
        <v>41</v>
      </c>
      <c r="E312" s="16" t="str">
        <f>'[5]BP-Men'!D161</f>
        <v>RUS</v>
      </c>
      <c r="F312" s="17">
        <f>'[5]BP-Men'!E161</f>
        <v>40409</v>
      </c>
      <c r="G312" s="51" t="str">
        <f>'[5]BP-Men'!F161</f>
        <v>Moscow</v>
      </c>
    </row>
    <row r="313" spans="1:7" x14ac:dyDescent="0.25">
      <c r="A313" s="28">
        <f>'[5]BP-Men'!A162</f>
        <v>90</v>
      </c>
      <c r="B313" s="16">
        <f>'[5]BP-Men'!B162</f>
        <v>150</v>
      </c>
      <c r="C313" s="16" t="str">
        <f>'[5]BP-Men'!C162</f>
        <v>Andrianov Alexander/44</v>
      </c>
      <c r="D313" s="16" t="str">
        <f t="shared" si="18"/>
        <v>44</v>
      </c>
      <c r="E313" s="16" t="str">
        <f>'[5]BP-Men'!D162</f>
        <v>RUS</v>
      </c>
      <c r="F313" s="17">
        <f>'[5]BP-Men'!E162</f>
        <v>41137</v>
      </c>
      <c r="G313" s="51" t="str">
        <f>'[5]BP-Men'!F162</f>
        <v>Novosibirsk</v>
      </c>
    </row>
    <row r="314" spans="1:7" x14ac:dyDescent="0.25">
      <c r="A314" s="28">
        <f>'[5]BP-Men'!A163</f>
        <v>100</v>
      </c>
      <c r="B314" s="16">
        <f>'[5]BP-Men'!B163</f>
        <v>0</v>
      </c>
      <c r="C314" s="16">
        <f>'[5]BP-Men'!C163</f>
        <v>0</v>
      </c>
      <c r="D314" s="16" t="str">
        <f t="shared" si="18"/>
        <v>0</v>
      </c>
      <c r="E314" s="16">
        <f>'[5]BP-Men'!D163</f>
        <v>0</v>
      </c>
      <c r="F314" s="17">
        <f>'[5]BP-Men'!E163</f>
        <v>0</v>
      </c>
      <c r="G314" s="51">
        <f>'[5]BP-Men'!F163</f>
        <v>0</v>
      </c>
    </row>
    <row r="315" spans="1:7" x14ac:dyDescent="0.25">
      <c r="A315" s="28">
        <f>'[5]BP-Men'!A164</f>
        <v>110</v>
      </c>
      <c r="B315" s="16">
        <f>'[5]BP-Men'!B164</f>
        <v>140</v>
      </c>
      <c r="C315" s="16" t="str">
        <f>'[5]BP-Men'!C164</f>
        <v>Golovchenko Yevgen/46</v>
      </c>
      <c r="D315" s="16" t="str">
        <f t="shared" si="18"/>
        <v>46</v>
      </c>
      <c r="E315" s="16" t="str">
        <f>'[5]BP-Men'!D164</f>
        <v>UKR</v>
      </c>
      <c r="F315" s="17">
        <f>'[5]BP-Men'!E164</f>
        <v>40628</v>
      </c>
      <c r="G315" s="51" t="str">
        <f>'[5]BP-Men'!F164</f>
        <v>Kryvyi Rig</v>
      </c>
    </row>
    <row r="316" spans="1:7" x14ac:dyDescent="0.25">
      <c r="A316" s="28">
        <f>'[5]BP-Men'!A165</f>
        <v>125</v>
      </c>
      <c r="B316" s="16">
        <f>'[5]BP-Men'!B165</f>
        <v>0</v>
      </c>
      <c r="C316" s="16">
        <f>'[5]BP-Men'!C165</f>
        <v>0</v>
      </c>
      <c r="D316" s="16" t="str">
        <f t="shared" si="18"/>
        <v>0</v>
      </c>
      <c r="E316" s="16">
        <f>'[5]BP-Men'!D165</f>
        <v>0</v>
      </c>
      <c r="F316" s="17">
        <f>'[5]BP-Men'!E165</f>
        <v>0</v>
      </c>
      <c r="G316" s="51">
        <f>'[5]BP-Men'!F165</f>
        <v>0</v>
      </c>
    </row>
    <row r="317" spans="1:7" x14ac:dyDescent="0.25">
      <c r="A317" s="28">
        <f>'[5]BP-Men'!A166</f>
        <v>140</v>
      </c>
      <c r="B317" s="16">
        <f>'[5]BP-Men'!B166</f>
        <v>0</v>
      </c>
      <c r="C317" s="16">
        <f>'[5]BP-Men'!C166</f>
        <v>0</v>
      </c>
      <c r="D317" s="16" t="str">
        <f t="shared" si="18"/>
        <v>0</v>
      </c>
      <c r="E317" s="16">
        <f>'[5]BP-Men'!D166</f>
        <v>0</v>
      </c>
      <c r="F317" s="17">
        <f>'[5]BP-Men'!E166</f>
        <v>0</v>
      </c>
      <c r="G317" s="51">
        <f>'[5]BP-Men'!F166</f>
        <v>0</v>
      </c>
    </row>
    <row r="318" spans="1:7" x14ac:dyDescent="0.25">
      <c r="A318" s="28" t="str">
        <f>'[5]BP-Men'!A167</f>
        <v>140+</v>
      </c>
      <c r="B318" s="16">
        <f>'[5]BP-Men'!B167</f>
        <v>0</v>
      </c>
      <c r="C318" s="16">
        <f>'[5]BP-Men'!C167</f>
        <v>0</v>
      </c>
      <c r="D318" s="16" t="str">
        <f t="shared" si="18"/>
        <v>0</v>
      </c>
      <c r="E318" s="16">
        <f>'[5]BP-Men'!D167</f>
        <v>0</v>
      </c>
      <c r="F318" s="17">
        <f>'[5]BP-Men'!E167</f>
        <v>0</v>
      </c>
      <c r="G318" s="51">
        <f>'[5]BP-Men'!F167</f>
        <v>0</v>
      </c>
    </row>
    <row r="319" spans="1:7" x14ac:dyDescent="0.25">
      <c r="B319" s="16">
        <f>'[5]BP-Men'!B168</f>
        <v>0</v>
      </c>
      <c r="C319" s="16">
        <f>'[5]BP-Men'!C168</f>
        <v>0</v>
      </c>
      <c r="D319" s="16" t="str">
        <f t="shared" si="18"/>
        <v>0</v>
      </c>
      <c r="E319" s="16">
        <f>'[5]BP-Men'!D168</f>
        <v>0</v>
      </c>
      <c r="F319" s="17">
        <f>'[5]BP-Men'!E168</f>
        <v>0</v>
      </c>
      <c r="G319" s="51">
        <f>'[5]BP-Men'!F168</f>
        <v>0</v>
      </c>
    </row>
    <row r="320" spans="1:7" s="11" customFormat="1" x14ac:dyDescent="0.25">
      <c r="A320" s="22" t="s">
        <v>0</v>
      </c>
      <c r="B320" s="11">
        <v>1</v>
      </c>
      <c r="C320" s="11">
        <v>70</v>
      </c>
      <c r="D320" s="11" t="str">
        <f>'[5]BP-Men'!B169</f>
        <v>Men's M7  (70-74)</v>
      </c>
      <c r="F320" s="13"/>
      <c r="G320" s="30"/>
    </row>
    <row r="321" spans="1:7" x14ac:dyDescent="0.25">
      <c r="A321" s="28">
        <f>'[5]BP-Men'!A170</f>
        <v>52</v>
      </c>
      <c r="B321" s="16">
        <f>'[5]BP-Men'!B170</f>
        <v>0</v>
      </c>
      <c r="C321" s="16">
        <f>'[5]BP-Men'!C170</f>
        <v>0</v>
      </c>
      <c r="D321" s="16" t="str">
        <f t="shared" ref="D321" si="21">RIGHT(C321,2)</f>
        <v>0</v>
      </c>
      <c r="E321" s="16">
        <f>'[5]BP-Men'!D170</f>
        <v>0</v>
      </c>
      <c r="F321" s="17">
        <f>'[5]BP-Men'!E170</f>
        <v>0</v>
      </c>
      <c r="G321" s="51">
        <f>'[5]BP-Men'!F170</f>
        <v>0</v>
      </c>
    </row>
    <row r="322" spans="1:7" x14ac:dyDescent="0.25">
      <c r="A322" s="28">
        <f>'[5]BP-Men'!A171</f>
        <v>56</v>
      </c>
      <c r="B322" s="16">
        <f>'[5]BP-Men'!B171</f>
        <v>0</v>
      </c>
      <c r="C322" s="16">
        <f>'[5]BP-Men'!C171</f>
        <v>0</v>
      </c>
      <c r="D322" s="16" t="str">
        <f t="shared" ref="D322" si="22">RIGHT(C322,2)</f>
        <v>0</v>
      </c>
      <c r="E322" s="16">
        <f>'[5]BP-Men'!D171</f>
        <v>0</v>
      </c>
      <c r="F322" s="17">
        <f>'[5]BP-Men'!E171</f>
        <v>0</v>
      </c>
      <c r="G322" s="51">
        <f>'[5]BP-Men'!F171</f>
        <v>0</v>
      </c>
    </row>
    <row r="323" spans="1:7" x14ac:dyDescent="0.25">
      <c r="A323" s="28">
        <f>'[5]BP-Men'!A172</f>
        <v>60</v>
      </c>
      <c r="B323" s="16">
        <f>'[5]BP-Men'!B172</f>
        <v>0</v>
      </c>
      <c r="C323" s="16">
        <f>'[5]BP-Men'!C172</f>
        <v>0</v>
      </c>
      <c r="D323" s="16" t="str">
        <f t="shared" si="18"/>
        <v>0</v>
      </c>
      <c r="E323" s="16">
        <f>'[5]BP-Men'!D172</f>
        <v>0</v>
      </c>
      <c r="F323" s="17">
        <f>'[5]BP-Men'!E172</f>
        <v>0</v>
      </c>
      <c r="G323" s="51">
        <f>'[5]BP-Men'!F172</f>
        <v>0</v>
      </c>
    </row>
    <row r="324" spans="1:7" x14ac:dyDescent="0.25">
      <c r="A324" s="28" t="str">
        <f>'[5]BP-Men'!A173</f>
        <v>67.5</v>
      </c>
      <c r="B324" s="16">
        <f>'[5]BP-Men'!B173</f>
        <v>100</v>
      </c>
      <c r="C324" s="16" t="str">
        <f>'[5]BP-Men'!C173</f>
        <v>Kim Miron/41</v>
      </c>
      <c r="D324" s="16" t="str">
        <f t="shared" si="18"/>
        <v>41</v>
      </c>
      <c r="E324" s="16" t="str">
        <f>'[5]BP-Men'!D173</f>
        <v>RUS</v>
      </c>
      <c r="F324" s="17">
        <f>'[5]BP-Men'!E173</f>
        <v>41067</v>
      </c>
      <c r="G324" s="51" t="str">
        <f>'[5]BP-Men'!F173</f>
        <v>Moscow</v>
      </c>
    </row>
    <row r="325" spans="1:7" x14ac:dyDescent="0.25">
      <c r="A325" s="28">
        <f>'[5]BP-Men'!A174</f>
        <v>75</v>
      </c>
      <c r="B325" s="16">
        <f>'[5]BP-Men'!B174</f>
        <v>0</v>
      </c>
      <c r="C325" s="16">
        <f>'[5]BP-Men'!C174</f>
        <v>0</v>
      </c>
      <c r="D325" s="16" t="str">
        <f t="shared" si="18"/>
        <v>0</v>
      </c>
      <c r="E325" s="16">
        <f>'[5]BP-Men'!D174</f>
        <v>0</v>
      </c>
      <c r="F325" s="17">
        <f>'[5]BP-Men'!E174</f>
        <v>0</v>
      </c>
      <c r="G325" s="51">
        <f>'[5]BP-Men'!F174</f>
        <v>0</v>
      </c>
    </row>
    <row r="326" spans="1:7" x14ac:dyDescent="0.25">
      <c r="A326" s="28" t="str">
        <f>'[5]BP-Men'!A175</f>
        <v>82.5</v>
      </c>
      <c r="B326" s="16">
        <f>'[5]BP-Men'!B175</f>
        <v>97.5</v>
      </c>
      <c r="C326" s="16" t="str">
        <f>'[5]BP-Men'!C175</f>
        <v>Sannikov Vladimir/38</v>
      </c>
      <c r="D326" s="16" t="str">
        <f t="shared" si="18"/>
        <v>38</v>
      </c>
      <c r="E326" s="16" t="str">
        <f>'[5]BP-Men'!D175</f>
        <v>RUS</v>
      </c>
      <c r="F326" s="17">
        <f>'[5]BP-Men'!E175</f>
        <v>41067</v>
      </c>
      <c r="G326" s="51" t="str">
        <f>'[5]BP-Men'!F175</f>
        <v>Moscow</v>
      </c>
    </row>
    <row r="327" spans="1:7" x14ac:dyDescent="0.25">
      <c r="A327" s="28">
        <f>'[5]BP-Men'!A176</f>
        <v>90</v>
      </c>
      <c r="B327" s="16">
        <f>'[5]BP-Men'!B176</f>
        <v>0</v>
      </c>
      <c r="C327" s="16">
        <f>'[5]BP-Men'!C176</f>
        <v>0</v>
      </c>
      <c r="D327" s="16" t="str">
        <f t="shared" si="18"/>
        <v>0</v>
      </c>
      <c r="E327" s="16">
        <f>'[5]BP-Men'!D176</f>
        <v>0</v>
      </c>
      <c r="F327" s="17">
        <f>'[5]BP-Men'!E176</f>
        <v>0</v>
      </c>
      <c r="G327" s="51">
        <f>'[5]BP-Men'!F176</f>
        <v>0</v>
      </c>
    </row>
    <row r="328" spans="1:7" x14ac:dyDescent="0.25">
      <c r="A328" s="28">
        <f>'[5]BP-Men'!A177</f>
        <v>100</v>
      </c>
      <c r="B328" s="16">
        <f>'[5]BP-Men'!B177</f>
        <v>0</v>
      </c>
      <c r="C328" s="16">
        <f>'[5]BP-Men'!C177</f>
        <v>0</v>
      </c>
      <c r="D328" s="16" t="str">
        <f t="shared" si="18"/>
        <v>0</v>
      </c>
      <c r="E328" s="16">
        <f>'[5]BP-Men'!D177</f>
        <v>0</v>
      </c>
      <c r="F328" s="17">
        <f>'[5]BP-Men'!E177</f>
        <v>0</v>
      </c>
      <c r="G328" s="51">
        <f>'[5]BP-Men'!F177</f>
        <v>0</v>
      </c>
    </row>
    <row r="329" spans="1:7" x14ac:dyDescent="0.25">
      <c r="A329" s="28">
        <f>'[5]BP-Men'!A178</f>
        <v>110</v>
      </c>
      <c r="B329" s="16">
        <f>'[5]BP-Men'!B178</f>
        <v>0</v>
      </c>
      <c r="C329" s="16">
        <f>'[5]BP-Men'!C178</f>
        <v>0</v>
      </c>
      <c r="D329" s="16" t="str">
        <f t="shared" si="18"/>
        <v>0</v>
      </c>
      <c r="E329" s="16">
        <f>'[5]BP-Men'!D178</f>
        <v>0</v>
      </c>
      <c r="F329" s="17">
        <f>'[5]BP-Men'!E178</f>
        <v>0</v>
      </c>
      <c r="G329" s="51">
        <f>'[5]BP-Men'!F178</f>
        <v>0</v>
      </c>
    </row>
    <row r="330" spans="1:7" x14ac:dyDescent="0.25">
      <c r="A330" s="28">
        <f>'[5]BP-Men'!A179</f>
        <v>125</v>
      </c>
      <c r="B330" s="16">
        <f>'[5]BP-Men'!B179</f>
        <v>0</v>
      </c>
      <c r="C330" s="16">
        <f>'[5]BP-Men'!C179</f>
        <v>0</v>
      </c>
      <c r="D330" s="16" t="str">
        <f t="shared" si="18"/>
        <v>0</v>
      </c>
      <c r="E330" s="16">
        <f>'[5]BP-Men'!D179</f>
        <v>0</v>
      </c>
      <c r="F330" s="17">
        <f>'[5]BP-Men'!E179</f>
        <v>0</v>
      </c>
      <c r="G330" s="51">
        <f>'[5]BP-Men'!F179</f>
        <v>0</v>
      </c>
    </row>
    <row r="331" spans="1:7" x14ac:dyDescent="0.25">
      <c r="A331" s="28">
        <f>'[5]BP-Men'!A180</f>
        <v>140</v>
      </c>
      <c r="B331" s="16">
        <f>'[5]BP-Men'!B180</f>
        <v>0</v>
      </c>
      <c r="C331" s="16">
        <f>'[5]BP-Men'!C180</f>
        <v>0</v>
      </c>
      <c r="D331" s="16" t="str">
        <f t="shared" si="18"/>
        <v>0</v>
      </c>
      <c r="E331" s="16">
        <f>'[5]BP-Men'!D180</f>
        <v>0</v>
      </c>
      <c r="F331" s="17">
        <f>'[5]BP-Men'!E180</f>
        <v>0</v>
      </c>
      <c r="G331" s="51">
        <f>'[5]BP-Men'!F180</f>
        <v>0</v>
      </c>
    </row>
    <row r="332" spans="1:7" x14ac:dyDescent="0.25">
      <c r="A332" s="28" t="str">
        <f>'[5]BP-Men'!A181</f>
        <v>140+</v>
      </c>
      <c r="B332" s="16">
        <f>'[5]BP-Men'!B181</f>
        <v>0</v>
      </c>
      <c r="C332" s="16">
        <f>'[5]BP-Men'!C181</f>
        <v>0</v>
      </c>
      <c r="D332" s="16" t="str">
        <f t="shared" si="18"/>
        <v>0</v>
      </c>
      <c r="E332" s="16">
        <f>'[5]BP-Men'!D181</f>
        <v>0</v>
      </c>
      <c r="F332" s="17">
        <f>'[5]BP-Men'!E181</f>
        <v>0</v>
      </c>
      <c r="G332" s="51">
        <f>'[5]BP-Men'!F181</f>
        <v>0</v>
      </c>
    </row>
    <row r="334" spans="1:7" s="11" customFormat="1" x14ac:dyDescent="0.25">
      <c r="A334" s="22" t="s">
        <v>0</v>
      </c>
      <c r="B334" s="11">
        <v>1</v>
      </c>
      <c r="C334" s="11">
        <v>75</v>
      </c>
      <c r="D334" s="11" t="str">
        <f>'[5]BP-Men'!B182</f>
        <v>Men's M8  (75-79)</v>
      </c>
      <c r="F334" s="13"/>
      <c r="G334" s="30"/>
    </row>
    <row r="335" spans="1:7" x14ac:dyDescent="0.25">
      <c r="A335" s="28">
        <f>'[5]BP-Men'!A183</f>
        <v>52</v>
      </c>
      <c r="B335" s="16">
        <f>'[5]BP-Men'!B183</f>
        <v>0</v>
      </c>
      <c r="C335" s="16">
        <f>'[5]BP-Men'!C183</f>
        <v>0</v>
      </c>
      <c r="D335" s="16" t="str">
        <f t="shared" ref="D334:D341" si="23">RIGHT(C335,2)</f>
        <v>0</v>
      </c>
      <c r="E335" s="16">
        <f>'[5]BP-Men'!D183</f>
        <v>0</v>
      </c>
      <c r="F335" s="17">
        <f>'[5]BP-Men'!E183</f>
        <v>0</v>
      </c>
      <c r="G335" s="51">
        <f>'[5]BP-Men'!F183</f>
        <v>0</v>
      </c>
    </row>
    <row r="336" spans="1:7" x14ac:dyDescent="0.25">
      <c r="A336" s="28">
        <f>'[5]BP-Men'!A184</f>
        <v>56</v>
      </c>
      <c r="B336" s="16">
        <f>'[5]BP-Men'!B184</f>
        <v>0</v>
      </c>
      <c r="C336" s="16">
        <f>'[5]BP-Men'!C184</f>
        <v>0</v>
      </c>
      <c r="D336" s="16" t="str">
        <f t="shared" si="23"/>
        <v>0</v>
      </c>
      <c r="E336" s="16">
        <f>'[5]BP-Men'!D184</f>
        <v>0</v>
      </c>
      <c r="F336" s="17">
        <f>'[5]BP-Men'!E184</f>
        <v>0</v>
      </c>
      <c r="G336" s="51">
        <f>'[5]BP-Men'!F184</f>
        <v>0</v>
      </c>
    </row>
    <row r="337" spans="1:7" x14ac:dyDescent="0.25">
      <c r="A337" s="28">
        <f>'[5]BP-Men'!A185</f>
        <v>60</v>
      </c>
      <c r="B337" s="16">
        <f>'[5]BP-Men'!B185</f>
        <v>0</v>
      </c>
      <c r="C337" s="16">
        <f>'[5]BP-Men'!C185</f>
        <v>0</v>
      </c>
      <c r="D337" s="16" t="str">
        <f t="shared" si="23"/>
        <v>0</v>
      </c>
      <c r="E337" s="16">
        <f>'[5]BP-Men'!D185</f>
        <v>0</v>
      </c>
      <c r="F337" s="17">
        <f>'[5]BP-Men'!E185</f>
        <v>0</v>
      </c>
      <c r="G337" s="51">
        <f>'[5]BP-Men'!F185</f>
        <v>0</v>
      </c>
    </row>
    <row r="338" spans="1:7" x14ac:dyDescent="0.25">
      <c r="A338" s="28">
        <f>'[5]BP-Men'!A186</f>
        <v>67.5</v>
      </c>
      <c r="B338" s="16">
        <f>'[5]BP-Men'!B186</f>
        <v>0</v>
      </c>
      <c r="C338" s="16">
        <f>'[5]BP-Men'!C186</f>
        <v>0</v>
      </c>
      <c r="D338" s="16" t="str">
        <f t="shared" si="23"/>
        <v>0</v>
      </c>
      <c r="E338" s="16">
        <f>'[5]BP-Men'!D186</f>
        <v>0</v>
      </c>
      <c r="F338" s="17">
        <f>'[5]BP-Men'!E186</f>
        <v>0</v>
      </c>
      <c r="G338" s="51">
        <f>'[5]BP-Men'!F186</f>
        <v>0</v>
      </c>
    </row>
    <row r="339" spans="1:7" x14ac:dyDescent="0.25">
      <c r="A339" s="28">
        <f>'[5]BP-Men'!A187</f>
        <v>75</v>
      </c>
      <c r="B339" s="16">
        <f>'[5]BP-Men'!B187</f>
        <v>112.5</v>
      </c>
      <c r="C339" s="16" t="str">
        <f>'[5]BP-Men'!C187</f>
        <v>Rubin Grigori/36</v>
      </c>
      <c r="D339" s="16" t="str">
        <f t="shared" si="23"/>
        <v>36</v>
      </c>
      <c r="E339" s="16" t="str">
        <f>'[5]BP-Men'!D187</f>
        <v>ISR</v>
      </c>
      <c r="F339" s="17" t="str">
        <f>'[5]BP-Men'!E187</f>
        <v>23.08.2014</v>
      </c>
      <c r="G339" s="51" t="str">
        <f>'[5]BP-Men'!F187</f>
        <v>Moscow</v>
      </c>
    </row>
    <row r="340" spans="1:7" x14ac:dyDescent="0.25">
      <c r="A340" s="28">
        <f>'[5]BP-Men'!A188</f>
        <v>82.5</v>
      </c>
      <c r="B340" s="16">
        <f>'[5]BP-Men'!B188</f>
        <v>0</v>
      </c>
      <c r="C340" s="16">
        <f>'[5]BP-Men'!C188</f>
        <v>0</v>
      </c>
      <c r="D340" s="16" t="str">
        <f t="shared" si="23"/>
        <v>0</v>
      </c>
      <c r="E340" s="16">
        <f>'[5]BP-Men'!D188</f>
        <v>0</v>
      </c>
      <c r="F340" s="17">
        <f>'[5]BP-Men'!E188</f>
        <v>0</v>
      </c>
      <c r="G340" s="51">
        <f>'[5]BP-Men'!F188</f>
        <v>0</v>
      </c>
    </row>
    <row r="341" spans="1:7" x14ac:dyDescent="0.25">
      <c r="A341" s="28">
        <f>'[5]BP-Men'!A189</f>
        <v>90</v>
      </c>
      <c r="B341" s="16">
        <f>'[5]BP-Men'!B189</f>
        <v>0</v>
      </c>
      <c r="C341" s="16">
        <f>'[5]BP-Men'!C189</f>
        <v>0</v>
      </c>
      <c r="D341" s="16" t="str">
        <f t="shared" si="23"/>
        <v>0</v>
      </c>
      <c r="E341" s="16">
        <f>'[5]BP-Men'!D189</f>
        <v>0</v>
      </c>
      <c r="F341" s="17">
        <f>'[5]BP-Men'!E189</f>
        <v>0</v>
      </c>
      <c r="G341" s="51">
        <f>'[5]BP-Men'!F189</f>
        <v>0</v>
      </c>
    </row>
    <row r="342" spans="1:7" x14ac:dyDescent="0.25">
      <c r="A342" s="28">
        <f>'[5]BP-Men'!A190</f>
        <v>100</v>
      </c>
      <c r="B342" s="16">
        <f>'[5]BP-Men'!B190</f>
        <v>0</v>
      </c>
      <c r="C342" s="16">
        <f>'[5]BP-Men'!C190</f>
        <v>0</v>
      </c>
      <c r="D342" s="16" t="str">
        <f t="shared" ref="D342:D356" si="24">RIGHT(C342,2)</f>
        <v>0</v>
      </c>
      <c r="E342" s="16">
        <f>'[5]BP-Men'!D190</f>
        <v>0</v>
      </c>
      <c r="F342" s="17">
        <f>'[5]BP-Men'!E190</f>
        <v>0</v>
      </c>
      <c r="G342" s="51">
        <f>'[5]BP-Men'!F190</f>
        <v>0</v>
      </c>
    </row>
    <row r="343" spans="1:7" x14ac:dyDescent="0.25">
      <c r="A343" s="28">
        <f>'[5]BP-Men'!A191</f>
        <v>110</v>
      </c>
      <c r="B343" s="16">
        <f>'[5]BP-Men'!B191</f>
        <v>0</v>
      </c>
      <c r="C343" s="16">
        <f>'[5]BP-Men'!C191</f>
        <v>0</v>
      </c>
      <c r="D343" s="16" t="str">
        <f t="shared" si="24"/>
        <v>0</v>
      </c>
      <c r="E343" s="16">
        <f>'[5]BP-Men'!D191</f>
        <v>0</v>
      </c>
      <c r="F343" s="17">
        <f>'[5]BP-Men'!E191</f>
        <v>0</v>
      </c>
      <c r="G343" s="51">
        <f>'[5]BP-Men'!F191</f>
        <v>0</v>
      </c>
    </row>
    <row r="344" spans="1:7" x14ac:dyDescent="0.25">
      <c r="A344" s="28">
        <f>'[5]BP-Men'!A192</f>
        <v>125</v>
      </c>
      <c r="B344" s="16">
        <f>'[5]BP-Men'!B192</f>
        <v>0</v>
      </c>
      <c r="C344" s="16">
        <f>'[5]BP-Men'!C192</f>
        <v>0</v>
      </c>
      <c r="D344" s="16" t="str">
        <f t="shared" si="24"/>
        <v>0</v>
      </c>
      <c r="E344" s="16">
        <f>'[5]BP-Men'!D192</f>
        <v>0</v>
      </c>
      <c r="F344" s="17">
        <f>'[5]BP-Men'!E192</f>
        <v>0</v>
      </c>
      <c r="G344" s="51">
        <f>'[5]BP-Men'!F192</f>
        <v>0</v>
      </c>
    </row>
    <row r="345" spans="1:7" x14ac:dyDescent="0.25">
      <c r="A345" s="28">
        <f>'[5]BP-Men'!A193</f>
        <v>140</v>
      </c>
      <c r="B345" s="16">
        <f>'[5]BP-Men'!B193</f>
        <v>0</v>
      </c>
      <c r="C345" s="16">
        <f>'[5]BP-Men'!C193</f>
        <v>0</v>
      </c>
      <c r="D345" s="16" t="str">
        <f t="shared" si="24"/>
        <v>0</v>
      </c>
      <c r="E345" s="16">
        <f>'[5]BP-Men'!D193</f>
        <v>0</v>
      </c>
      <c r="F345" s="17">
        <f>'[5]BP-Men'!E193</f>
        <v>0</v>
      </c>
      <c r="G345" s="51">
        <f>'[5]BP-Men'!F193</f>
        <v>0</v>
      </c>
    </row>
    <row r="346" spans="1:7" x14ac:dyDescent="0.25">
      <c r="A346" s="28" t="str">
        <f>'[5]BP-Men'!A194</f>
        <v>140+</v>
      </c>
      <c r="B346" s="16">
        <f>'[5]BP-Men'!B194</f>
        <v>0</v>
      </c>
      <c r="C346" s="16">
        <f>'[5]BP-Men'!C194</f>
        <v>0</v>
      </c>
      <c r="D346" s="16" t="str">
        <f t="shared" si="24"/>
        <v>0</v>
      </c>
      <c r="E346" s="16">
        <f>'[5]BP-Men'!D194</f>
        <v>0</v>
      </c>
      <c r="F346" s="17">
        <f>'[5]BP-Men'!E194</f>
        <v>0</v>
      </c>
      <c r="G346" s="51">
        <f>'[5]BP-Men'!F194</f>
        <v>0</v>
      </c>
    </row>
    <row r="347" spans="1:7" x14ac:dyDescent="0.25">
      <c r="A347" s="28">
        <f>'[5]BP-Men'!A195</f>
        <v>0</v>
      </c>
      <c r="B347" s="16">
        <f>'[5]BP-Men'!B195</f>
        <v>0</v>
      </c>
      <c r="C347" s="16">
        <f>'[5]BP-Men'!C195</f>
        <v>0</v>
      </c>
      <c r="D347" s="16" t="str">
        <f t="shared" si="24"/>
        <v>0</v>
      </c>
      <c r="E347" s="16">
        <f>'[5]BP-Men'!D195</f>
        <v>0</v>
      </c>
      <c r="F347" s="17">
        <f>'[5]BP-Men'!E195</f>
        <v>0</v>
      </c>
      <c r="G347" s="51">
        <f>'[5]BP-Men'!F195</f>
        <v>0</v>
      </c>
    </row>
    <row r="348" spans="1:7" x14ac:dyDescent="0.25">
      <c r="A348" s="28">
        <f>'[5]BP-Men'!A196</f>
        <v>0</v>
      </c>
      <c r="B348" s="16">
        <f>'[5]BP-Men'!B196</f>
        <v>0</v>
      </c>
      <c r="C348" s="16">
        <f>'[5]BP-Men'!C196</f>
        <v>0</v>
      </c>
      <c r="D348" s="16" t="str">
        <f t="shared" si="24"/>
        <v>0</v>
      </c>
      <c r="E348" s="16">
        <f>'[5]BP-Men'!D196</f>
        <v>0</v>
      </c>
      <c r="F348" s="17">
        <f>'[5]BP-Men'!E196</f>
        <v>0</v>
      </c>
      <c r="G348" s="51">
        <f>'[5]BP-Men'!F196</f>
        <v>0</v>
      </c>
    </row>
    <row r="349" spans="1:7" x14ac:dyDescent="0.25">
      <c r="A349" s="28">
        <f>'[5]BP-Men'!A197</f>
        <v>0</v>
      </c>
      <c r="B349" s="16">
        <f>'[5]BP-Men'!B197</f>
        <v>0</v>
      </c>
      <c r="C349" s="16">
        <f>'[5]BP-Men'!C197</f>
        <v>0</v>
      </c>
      <c r="D349" s="16" t="str">
        <f t="shared" si="24"/>
        <v>0</v>
      </c>
      <c r="E349" s="16">
        <f>'[5]BP-Men'!D197</f>
        <v>0</v>
      </c>
      <c r="F349" s="17">
        <f>'[5]BP-Men'!E197</f>
        <v>0</v>
      </c>
      <c r="G349" s="51">
        <f>'[5]BP-Men'!F197</f>
        <v>0</v>
      </c>
    </row>
    <row r="350" spans="1:7" x14ac:dyDescent="0.25">
      <c r="A350" s="28">
        <f>'[5]BP-Men'!A198</f>
        <v>0</v>
      </c>
      <c r="B350" s="16">
        <f>'[5]BP-Men'!B198</f>
        <v>0</v>
      </c>
      <c r="C350" s="16">
        <f>'[5]BP-Men'!C198</f>
        <v>0</v>
      </c>
      <c r="D350" s="16" t="str">
        <f t="shared" si="24"/>
        <v>0</v>
      </c>
      <c r="E350" s="16">
        <f>'[5]BP-Men'!D198</f>
        <v>0</v>
      </c>
      <c r="F350" s="17">
        <f>'[5]BP-Men'!E198</f>
        <v>0</v>
      </c>
      <c r="G350" s="51">
        <f>'[5]BP-Men'!F198</f>
        <v>0</v>
      </c>
    </row>
    <row r="351" spans="1:7" x14ac:dyDescent="0.25">
      <c r="A351" s="28">
        <f>'[5]BP-Men'!A199</f>
        <v>0</v>
      </c>
      <c r="B351" s="16">
        <f>'[5]BP-Men'!B199</f>
        <v>0</v>
      </c>
      <c r="C351" s="16">
        <f>'[5]BP-Men'!C199</f>
        <v>0</v>
      </c>
      <c r="D351" s="16" t="str">
        <f t="shared" si="24"/>
        <v>0</v>
      </c>
      <c r="E351" s="16">
        <f>'[5]BP-Men'!D199</f>
        <v>0</v>
      </c>
      <c r="F351" s="17">
        <f>'[5]BP-Men'!E199</f>
        <v>0</v>
      </c>
      <c r="G351" s="51">
        <f>'[5]BP-Men'!F199</f>
        <v>0</v>
      </c>
    </row>
    <row r="352" spans="1:7" x14ac:dyDescent="0.25">
      <c r="A352" s="28">
        <f>'[5]BP-Men'!A200</f>
        <v>0</v>
      </c>
      <c r="B352" s="16">
        <f>'[5]BP-Men'!B200</f>
        <v>0</v>
      </c>
      <c r="C352" s="16">
        <f>'[5]BP-Men'!C200</f>
        <v>0</v>
      </c>
      <c r="D352" s="16" t="str">
        <f t="shared" si="24"/>
        <v>0</v>
      </c>
      <c r="E352" s="16">
        <f>'[5]BP-Men'!D200</f>
        <v>0</v>
      </c>
      <c r="F352" s="17">
        <f>'[5]BP-Men'!E200</f>
        <v>0</v>
      </c>
      <c r="G352" s="51">
        <f>'[5]BP-Men'!F200</f>
        <v>0</v>
      </c>
    </row>
    <row r="353" spans="1:7" x14ac:dyDescent="0.25">
      <c r="A353" s="28">
        <f>'[5]BP-Men'!A201</f>
        <v>0</v>
      </c>
      <c r="B353" s="16">
        <f>'[5]BP-Men'!B201</f>
        <v>0</v>
      </c>
      <c r="C353" s="16">
        <f>'[5]BP-Men'!C201</f>
        <v>0</v>
      </c>
      <c r="D353" s="16" t="str">
        <f t="shared" si="24"/>
        <v>0</v>
      </c>
      <c r="E353" s="16">
        <f>'[5]BP-Men'!D201</f>
        <v>0</v>
      </c>
      <c r="F353" s="17">
        <f>'[5]BP-Men'!E201</f>
        <v>0</v>
      </c>
      <c r="G353" s="51">
        <f>'[5]BP-Men'!F201</f>
        <v>0</v>
      </c>
    </row>
    <row r="354" spans="1:7" x14ac:dyDescent="0.25">
      <c r="A354" s="28">
        <f>'[5]BP-Men'!A202</f>
        <v>0</v>
      </c>
      <c r="B354" s="16">
        <f>'[5]BP-Men'!B202</f>
        <v>0</v>
      </c>
      <c r="C354" s="16">
        <f>'[5]BP-Men'!C202</f>
        <v>0</v>
      </c>
      <c r="D354" s="16" t="str">
        <f t="shared" si="24"/>
        <v>0</v>
      </c>
      <c r="E354" s="16">
        <f>'[5]BP-Men'!D202</f>
        <v>0</v>
      </c>
      <c r="F354" s="17">
        <f>'[5]BP-Men'!E202</f>
        <v>0</v>
      </c>
      <c r="G354" s="51">
        <f>'[5]BP-Men'!F202</f>
        <v>0</v>
      </c>
    </row>
    <row r="355" spans="1:7" x14ac:dyDescent="0.25">
      <c r="A355" s="28">
        <f>'[5]BP-Men'!A203</f>
        <v>0</v>
      </c>
      <c r="B355" s="16">
        <f>'[5]BP-Men'!B203</f>
        <v>0</v>
      </c>
      <c r="C355" s="16">
        <f>'[5]BP-Men'!C203</f>
        <v>0</v>
      </c>
      <c r="D355" s="16" t="str">
        <f t="shared" si="24"/>
        <v>0</v>
      </c>
      <c r="E355" s="16">
        <f>'[5]BP-Men'!D203</f>
        <v>0</v>
      </c>
      <c r="F355" s="17">
        <f>'[5]BP-Men'!E203</f>
        <v>0</v>
      </c>
      <c r="G355" s="51">
        <f>'[5]BP-Men'!F203</f>
        <v>0</v>
      </c>
    </row>
    <row r="356" spans="1:7" x14ac:dyDescent="0.25">
      <c r="A356" s="28">
        <f>'[5]BP-Men'!A204</f>
        <v>0</v>
      </c>
      <c r="B356" s="16">
        <f>'[5]BP-Men'!B204</f>
        <v>0</v>
      </c>
      <c r="C356" s="16">
        <f>'[5]BP-Men'!C204</f>
        <v>0</v>
      </c>
      <c r="D356" s="16" t="str">
        <f t="shared" si="24"/>
        <v>0</v>
      </c>
      <c r="E356" s="16">
        <f>'[5]BP-Men'!D204</f>
        <v>0</v>
      </c>
      <c r="F356" s="17">
        <f>'[5]BP-Men'!E204</f>
        <v>0</v>
      </c>
      <c r="G356" s="51">
        <f>'[5]BP-Men'!F204</f>
        <v>0</v>
      </c>
    </row>
    <row r="357" spans="1:7" x14ac:dyDescent="0.25">
      <c r="D357" s="16" t="str">
        <f t="shared" si="18"/>
        <v/>
      </c>
    </row>
    <row r="358" spans="1:7" x14ac:dyDescent="0.25">
      <c r="D358" s="16" t="str">
        <f t="shared" si="18"/>
        <v/>
      </c>
    </row>
    <row r="359" spans="1:7" x14ac:dyDescent="0.25">
      <c r="D359" s="16" t="str">
        <f t="shared" si="18"/>
        <v/>
      </c>
    </row>
    <row r="360" spans="1:7" x14ac:dyDescent="0.25">
      <c r="A360" s="28" t="s">
        <v>2</v>
      </c>
      <c r="D360" s="16" t="str">
        <f t="shared" si="18"/>
        <v/>
      </c>
    </row>
    <row r="361" spans="1:7" x14ac:dyDescent="0.25">
      <c r="A361" s="28" t="s">
        <v>2</v>
      </c>
      <c r="D361" s="16" t="str">
        <f t="shared" si="18"/>
        <v/>
      </c>
    </row>
    <row r="362" spans="1:7" x14ac:dyDescent="0.25">
      <c r="A362" s="28" t="s">
        <v>1</v>
      </c>
      <c r="D362" s="16" t="str">
        <f t="shared" si="18"/>
        <v/>
      </c>
    </row>
    <row r="363" spans="1:7" x14ac:dyDescent="0.25">
      <c r="D363" s="16" t="str">
        <f t="shared" si="18"/>
        <v/>
      </c>
    </row>
    <row r="364" spans="1:7" x14ac:dyDescent="0.25">
      <c r="D364" s="16" t="str">
        <f t="shared" si="18"/>
        <v/>
      </c>
    </row>
    <row r="365" spans="1:7" x14ac:dyDescent="0.25">
      <c r="D365" s="16" t="str">
        <f t="shared" si="18"/>
        <v/>
      </c>
    </row>
    <row r="366" spans="1:7" x14ac:dyDescent="0.25">
      <c r="D366" s="16" t="str">
        <f t="shared" ref="D366:D408" si="25">RIGHT(C366,2)</f>
        <v/>
      </c>
    </row>
    <row r="367" spans="1:7" x14ac:dyDescent="0.25">
      <c r="D367" s="16" t="str">
        <f t="shared" si="25"/>
        <v/>
      </c>
    </row>
    <row r="368" spans="1:7" x14ac:dyDescent="0.25">
      <c r="D368" s="16" t="str">
        <f t="shared" si="25"/>
        <v/>
      </c>
    </row>
    <row r="369" spans="4:4" x14ac:dyDescent="0.25">
      <c r="D369" s="16" t="str">
        <f t="shared" si="25"/>
        <v/>
      </c>
    </row>
    <row r="370" spans="4:4" x14ac:dyDescent="0.25">
      <c r="D370" s="16" t="str">
        <f t="shared" si="25"/>
        <v/>
      </c>
    </row>
    <row r="371" spans="4:4" x14ac:dyDescent="0.25">
      <c r="D371" s="16" t="str">
        <f t="shared" si="25"/>
        <v/>
      </c>
    </row>
    <row r="372" spans="4:4" x14ac:dyDescent="0.25">
      <c r="D372" s="16" t="str">
        <f t="shared" si="25"/>
        <v/>
      </c>
    </row>
    <row r="373" spans="4:4" x14ac:dyDescent="0.25">
      <c r="D373" s="16" t="str">
        <f t="shared" si="25"/>
        <v/>
      </c>
    </row>
    <row r="374" spans="4:4" x14ac:dyDescent="0.25">
      <c r="D374" s="16" t="str">
        <f t="shared" si="25"/>
        <v/>
      </c>
    </row>
    <row r="375" spans="4:4" x14ac:dyDescent="0.25">
      <c r="D375" s="16" t="str">
        <f t="shared" si="25"/>
        <v/>
      </c>
    </row>
    <row r="376" spans="4:4" x14ac:dyDescent="0.25">
      <c r="D376" s="16" t="str">
        <f t="shared" si="25"/>
        <v/>
      </c>
    </row>
    <row r="377" spans="4:4" x14ac:dyDescent="0.25">
      <c r="D377" s="16" t="str">
        <f t="shared" si="25"/>
        <v/>
      </c>
    </row>
    <row r="378" spans="4:4" x14ac:dyDescent="0.25">
      <c r="D378" s="16" t="str">
        <f t="shared" si="25"/>
        <v/>
      </c>
    </row>
    <row r="379" spans="4:4" x14ac:dyDescent="0.25">
      <c r="D379" s="16" t="str">
        <f t="shared" si="25"/>
        <v/>
      </c>
    </row>
    <row r="380" spans="4:4" x14ac:dyDescent="0.25">
      <c r="D380" s="16" t="str">
        <f t="shared" si="25"/>
        <v/>
      </c>
    </row>
    <row r="381" spans="4:4" x14ac:dyDescent="0.25">
      <c r="D381" s="16" t="str">
        <f t="shared" si="25"/>
        <v/>
      </c>
    </row>
    <row r="382" spans="4:4" x14ac:dyDescent="0.25">
      <c r="D382" s="16" t="str">
        <f t="shared" si="25"/>
        <v/>
      </c>
    </row>
    <row r="383" spans="4:4" x14ac:dyDescent="0.25">
      <c r="D383" s="16" t="str">
        <f t="shared" si="25"/>
        <v/>
      </c>
    </row>
    <row r="384" spans="4:4" x14ac:dyDescent="0.25">
      <c r="D384" s="16" t="str">
        <f t="shared" si="25"/>
        <v/>
      </c>
    </row>
    <row r="385" spans="4:4" x14ac:dyDescent="0.25">
      <c r="D385" s="16" t="str">
        <f t="shared" si="25"/>
        <v/>
      </c>
    </row>
    <row r="386" spans="4:4" x14ac:dyDescent="0.25">
      <c r="D386" s="16" t="str">
        <f t="shared" si="25"/>
        <v/>
      </c>
    </row>
    <row r="387" spans="4:4" x14ac:dyDescent="0.25">
      <c r="D387" s="16" t="str">
        <f t="shared" si="25"/>
        <v/>
      </c>
    </row>
    <row r="388" spans="4:4" x14ac:dyDescent="0.25">
      <c r="D388" s="16" t="str">
        <f t="shared" si="25"/>
        <v/>
      </c>
    </row>
    <row r="389" spans="4:4" x14ac:dyDescent="0.25">
      <c r="D389" s="16" t="str">
        <f t="shared" si="25"/>
        <v/>
      </c>
    </row>
    <row r="390" spans="4:4" x14ac:dyDescent="0.25">
      <c r="D390" s="16" t="str">
        <f t="shared" si="25"/>
        <v/>
      </c>
    </row>
    <row r="391" spans="4:4" x14ac:dyDescent="0.25">
      <c r="D391" s="16" t="str">
        <f t="shared" si="25"/>
        <v/>
      </c>
    </row>
    <row r="392" spans="4:4" x14ac:dyDescent="0.25">
      <c r="D392" s="16" t="str">
        <f t="shared" si="25"/>
        <v/>
      </c>
    </row>
    <row r="393" spans="4:4" x14ac:dyDescent="0.25">
      <c r="D393" s="16" t="str">
        <f t="shared" si="25"/>
        <v/>
      </c>
    </row>
    <row r="394" spans="4:4" x14ac:dyDescent="0.25">
      <c r="D394" s="16" t="str">
        <f t="shared" si="25"/>
        <v/>
      </c>
    </row>
    <row r="395" spans="4:4" x14ac:dyDescent="0.25">
      <c r="D395" s="16" t="str">
        <f t="shared" si="25"/>
        <v/>
      </c>
    </row>
    <row r="396" spans="4:4" x14ac:dyDescent="0.25">
      <c r="D396" s="16" t="str">
        <f t="shared" si="25"/>
        <v/>
      </c>
    </row>
    <row r="397" spans="4:4" x14ac:dyDescent="0.25">
      <c r="D397" s="16" t="str">
        <f t="shared" si="25"/>
        <v/>
      </c>
    </row>
    <row r="398" spans="4:4" x14ac:dyDescent="0.25">
      <c r="D398" s="16" t="str">
        <f t="shared" si="25"/>
        <v/>
      </c>
    </row>
    <row r="399" spans="4:4" x14ac:dyDescent="0.25">
      <c r="D399" s="16" t="str">
        <f t="shared" si="25"/>
        <v/>
      </c>
    </row>
    <row r="400" spans="4:4" x14ac:dyDescent="0.25">
      <c r="D400" s="16" t="str">
        <f t="shared" si="25"/>
        <v/>
      </c>
    </row>
    <row r="401" spans="4:4" x14ac:dyDescent="0.25">
      <c r="D401" s="16" t="str">
        <f t="shared" si="25"/>
        <v/>
      </c>
    </row>
    <row r="402" spans="4:4" x14ac:dyDescent="0.25">
      <c r="D402" s="16" t="str">
        <f t="shared" si="25"/>
        <v/>
      </c>
    </row>
    <row r="403" spans="4:4" x14ac:dyDescent="0.25">
      <c r="D403" s="16" t="str">
        <f t="shared" si="25"/>
        <v/>
      </c>
    </row>
    <row r="404" spans="4:4" x14ac:dyDescent="0.25">
      <c r="D404" s="16" t="str">
        <f t="shared" si="25"/>
        <v/>
      </c>
    </row>
    <row r="405" spans="4:4" x14ac:dyDescent="0.25">
      <c r="D405" s="16" t="str">
        <f t="shared" si="25"/>
        <v/>
      </c>
    </row>
    <row r="406" spans="4:4" x14ac:dyDescent="0.25">
      <c r="D406" s="16" t="str">
        <f t="shared" si="25"/>
        <v/>
      </c>
    </row>
    <row r="407" spans="4:4" x14ac:dyDescent="0.25">
      <c r="D407" s="16" t="str">
        <f t="shared" si="25"/>
        <v/>
      </c>
    </row>
    <row r="408" spans="4:4" x14ac:dyDescent="0.25">
      <c r="D408" s="16" t="str">
        <f t="shared" si="25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7"/>
  <sheetViews>
    <sheetView workbookViewId="0">
      <selection activeCell="C147" sqref="C147"/>
    </sheetView>
  </sheetViews>
  <sheetFormatPr defaultRowHeight="15" x14ac:dyDescent="0.25"/>
  <cols>
    <col min="1" max="1" width="9.140625" style="1"/>
    <col min="2" max="2" width="6.85546875" customWidth="1"/>
    <col min="3" max="3" width="23.7109375" customWidth="1"/>
    <col min="4" max="4" width="6.7109375" customWidth="1"/>
    <col min="6" max="6" width="12.42578125" style="10" customWidth="1"/>
    <col min="7" max="7" width="17.140625" style="29" customWidth="1"/>
  </cols>
  <sheetData>
    <row r="1" spans="1:7" s="16" customFormat="1" ht="23.25" x14ac:dyDescent="0.35">
      <c r="A1" s="28"/>
      <c r="B1" s="28">
        <v>10</v>
      </c>
      <c r="C1" s="46"/>
      <c r="D1" s="46"/>
      <c r="F1" s="17"/>
      <c r="G1" s="51"/>
    </row>
    <row r="2" spans="1:7" s="16" customFormat="1" x14ac:dyDescent="0.25">
      <c r="A2" s="28">
        <v>10</v>
      </c>
      <c r="B2" s="28"/>
      <c r="F2" s="17"/>
      <c r="G2" s="51"/>
    </row>
    <row r="3" spans="1:7" s="28" customFormat="1" x14ac:dyDescent="0.25">
      <c r="F3" s="50"/>
      <c r="G3" s="32"/>
    </row>
    <row r="4" spans="1:7" s="16" customFormat="1" x14ac:dyDescent="0.25">
      <c r="A4" s="28"/>
      <c r="B4" s="28"/>
      <c r="F4" s="17"/>
      <c r="G4" s="51"/>
    </row>
    <row r="5" spans="1:7" s="16" customFormat="1" x14ac:dyDescent="0.25">
      <c r="A5" s="28"/>
      <c r="B5" s="28"/>
      <c r="F5" s="17"/>
      <c r="G5" s="51"/>
    </row>
    <row r="6" spans="1:7" s="41" customFormat="1" ht="21" x14ac:dyDescent="0.35">
      <c r="A6" s="48"/>
      <c r="B6" s="41" t="str">
        <f>'[6]bp-sp-Wom'!B1</f>
        <v xml:space="preserve"> AWPC BP-SP Europe </v>
      </c>
      <c r="F6" s="42"/>
      <c r="G6" s="52"/>
    </row>
    <row r="7" spans="1:7" s="16" customFormat="1" x14ac:dyDescent="0.25">
      <c r="A7" s="28"/>
      <c r="F7" s="17"/>
      <c r="G7" s="51"/>
    </row>
    <row r="8" spans="1:7" s="16" customFormat="1" x14ac:dyDescent="0.25">
      <c r="A8" s="28"/>
      <c r="F8" s="17"/>
      <c r="G8" s="51"/>
    </row>
    <row r="9" spans="1:7" s="11" customFormat="1" x14ac:dyDescent="0.25">
      <c r="A9" s="22" t="s">
        <v>0</v>
      </c>
      <c r="B9" s="11">
        <v>0</v>
      </c>
      <c r="C9" s="11">
        <v>13</v>
      </c>
      <c r="D9" s="11" t="str">
        <f>'[6]bp-sp-Wom'!C2</f>
        <v>ДЕВУШКИ (13-15)</v>
      </c>
      <c r="F9" s="13"/>
      <c r="G9" s="30"/>
    </row>
    <row r="10" spans="1:7" s="16" customFormat="1" x14ac:dyDescent="0.25">
      <c r="A10" s="28">
        <f>'[6]bp-sp-Wom'!A3</f>
        <v>44</v>
      </c>
      <c r="B10" s="16">
        <f>'[6]bp-sp-Wom'!B3</f>
        <v>0</v>
      </c>
      <c r="C10" s="16">
        <f>'[6]bp-sp-Wom'!C3</f>
        <v>0</v>
      </c>
      <c r="D10" s="16" t="str">
        <f t="shared" ref="D10:D29" si="0">RIGHT(C10,2)</f>
        <v>0</v>
      </c>
      <c r="E10" s="16">
        <f>'[6]bp-sp-Wom'!D3</f>
        <v>0</v>
      </c>
      <c r="F10" s="17">
        <f>'[6]bp-sp-Wom'!E3</f>
        <v>0</v>
      </c>
      <c r="G10" s="51">
        <f>'[6]bp-sp-Wom'!F3</f>
        <v>0</v>
      </c>
    </row>
    <row r="11" spans="1:7" s="16" customFormat="1" x14ac:dyDescent="0.25">
      <c r="A11" s="28">
        <f>'[6]bp-sp-Wom'!A4</f>
        <v>48</v>
      </c>
      <c r="B11" s="16">
        <f>'[6]bp-sp-Wom'!B4</f>
        <v>0</v>
      </c>
      <c r="C11" s="16">
        <f>'[6]bp-sp-Wom'!C4</f>
        <v>0</v>
      </c>
      <c r="D11" s="16" t="str">
        <f t="shared" si="0"/>
        <v>0</v>
      </c>
      <c r="E11" s="16">
        <f>'[6]bp-sp-Wom'!D4</f>
        <v>0</v>
      </c>
      <c r="F11" s="17">
        <f>'[6]bp-sp-Wom'!E4</f>
        <v>0</v>
      </c>
      <c r="G11" s="51">
        <f>'[6]bp-sp-Wom'!F4</f>
        <v>0</v>
      </c>
    </row>
    <row r="12" spans="1:7" s="16" customFormat="1" x14ac:dyDescent="0.25">
      <c r="A12" s="28">
        <f>'[6]bp-sp-Wom'!A5</f>
        <v>52</v>
      </c>
      <c r="B12" s="16">
        <f>'[6]bp-sp-Wom'!B5</f>
        <v>65</v>
      </c>
      <c r="C12" s="16" t="str">
        <f>'[6]bp-sp-Wom'!C5</f>
        <v>Shuklina Anna/99</v>
      </c>
      <c r="D12" s="16" t="str">
        <f t="shared" si="0"/>
        <v>99</v>
      </c>
      <c r="E12" s="16" t="str">
        <f>'[6]bp-sp-Wom'!D5</f>
        <v>RUS</v>
      </c>
      <c r="F12" s="17">
        <f>'[6]bp-sp-Wom'!E5</f>
        <v>41321</v>
      </c>
      <c r="G12" s="51" t="str">
        <f>'[6]bp-sp-Wom'!F5</f>
        <v>Yekaterinburg</v>
      </c>
    </row>
    <row r="13" spans="1:7" s="16" customFormat="1" x14ac:dyDescent="0.25">
      <c r="A13" s="28">
        <f>'[6]bp-sp-Wom'!A6</f>
        <v>56</v>
      </c>
      <c r="B13" s="16">
        <f>'[6]bp-sp-Wom'!B6</f>
        <v>0</v>
      </c>
      <c r="C13" s="16">
        <f>'[6]bp-sp-Wom'!C6</f>
        <v>0</v>
      </c>
      <c r="D13" s="16" t="str">
        <f t="shared" si="0"/>
        <v>0</v>
      </c>
      <c r="E13" s="16">
        <f>'[6]bp-sp-Wom'!D6</f>
        <v>0</v>
      </c>
      <c r="F13" s="17">
        <f>'[6]bp-sp-Wom'!E6</f>
        <v>0</v>
      </c>
      <c r="G13" s="51">
        <f>'[6]bp-sp-Wom'!F6</f>
        <v>0</v>
      </c>
    </row>
    <row r="14" spans="1:7" s="16" customFormat="1" x14ac:dyDescent="0.25">
      <c r="A14" s="28">
        <f>'[6]bp-sp-Wom'!A7</f>
        <v>60</v>
      </c>
      <c r="B14" s="16">
        <f>'[6]bp-sp-Wom'!B7</f>
        <v>0</v>
      </c>
      <c r="C14" s="16">
        <f>'[6]bp-sp-Wom'!C7</f>
        <v>0</v>
      </c>
      <c r="D14" s="16" t="str">
        <f t="shared" si="0"/>
        <v>0</v>
      </c>
      <c r="E14" s="16">
        <f>'[6]bp-sp-Wom'!D7</f>
        <v>0</v>
      </c>
      <c r="F14" s="17">
        <f>'[6]bp-sp-Wom'!E7</f>
        <v>0</v>
      </c>
      <c r="G14" s="51">
        <f>'[6]bp-sp-Wom'!F7</f>
        <v>0</v>
      </c>
    </row>
    <row r="15" spans="1:7" s="16" customFormat="1" x14ac:dyDescent="0.25">
      <c r="A15" s="28">
        <f>'[6]bp-sp-Wom'!A8</f>
        <v>67.5</v>
      </c>
      <c r="B15" s="16">
        <f>'[6]bp-sp-Wom'!B8</f>
        <v>0</v>
      </c>
      <c r="C15" s="16">
        <f>'[6]bp-sp-Wom'!C8</f>
        <v>0</v>
      </c>
      <c r="D15" s="16" t="str">
        <f t="shared" si="0"/>
        <v>0</v>
      </c>
      <c r="E15" s="16">
        <f>'[6]bp-sp-Wom'!D8</f>
        <v>0</v>
      </c>
      <c r="F15" s="17">
        <f>'[6]bp-sp-Wom'!E8</f>
        <v>0</v>
      </c>
      <c r="G15" s="51">
        <f>'[6]bp-sp-Wom'!F8</f>
        <v>0</v>
      </c>
    </row>
    <row r="16" spans="1:7" s="16" customFormat="1" x14ac:dyDescent="0.25">
      <c r="A16" s="28">
        <f>'[6]bp-sp-Wom'!A9</f>
        <v>75</v>
      </c>
      <c r="B16" s="16">
        <f>'[6]bp-sp-Wom'!B9</f>
        <v>0</v>
      </c>
      <c r="C16" s="16">
        <f>'[6]bp-sp-Wom'!C9</f>
        <v>0</v>
      </c>
      <c r="D16" s="16" t="str">
        <f t="shared" si="0"/>
        <v>0</v>
      </c>
      <c r="E16" s="16">
        <f>'[6]bp-sp-Wom'!D9</f>
        <v>0</v>
      </c>
      <c r="F16" s="17">
        <f>'[6]bp-sp-Wom'!E9</f>
        <v>0</v>
      </c>
      <c r="G16" s="51">
        <f>'[6]bp-sp-Wom'!F9</f>
        <v>0</v>
      </c>
    </row>
    <row r="17" spans="1:7" s="16" customFormat="1" x14ac:dyDescent="0.25">
      <c r="A17" s="28">
        <f>'[6]bp-sp-Wom'!A10</f>
        <v>82.5</v>
      </c>
      <c r="B17" s="16">
        <f>'[6]bp-sp-Wom'!B10</f>
        <v>0</v>
      </c>
      <c r="C17" s="16">
        <f>'[6]bp-sp-Wom'!C10</f>
        <v>0</v>
      </c>
      <c r="D17" s="16" t="str">
        <f t="shared" si="0"/>
        <v>0</v>
      </c>
      <c r="E17" s="16">
        <f>'[6]bp-sp-Wom'!D10</f>
        <v>0</v>
      </c>
      <c r="F17" s="17">
        <f>'[6]bp-sp-Wom'!E10</f>
        <v>0</v>
      </c>
      <c r="G17" s="51">
        <f>'[6]bp-sp-Wom'!F10</f>
        <v>0</v>
      </c>
    </row>
    <row r="18" spans="1:7" s="16" customFormat="1" x14ac:dyDescent="0.25">
      <c r="A18" s="28">
        <f>'[6]bp-sp-Wom'!A11</f>
        <v>90</v>
      </c>
      <c r="B18" s="16">
        <f>'[6]bp-sp-Wom'!B11</f>
        <v>0</v>
      </c>
      <c r="C18" s="16">
        <f>'[6]bp-sp-Wom'!C11</f>
        <v>0</v>
      </c>
      <c r="D18" s="16" t="str">
        <f t="shared" si="0"/>
        <v>0</v>
      </c>
      <c r="E18" s="16">
        <f>'[6]bp-sp-Wom'!D11</f>
        <v>0</v>
      </c>
      <c r="F18" s="17">
        <f>'[6]bp-sp-Wom'!E11</f>
        <v>0</v>
      </c>
      <c r="G18" s="51">
        <f>'[6]bp-sp-Wom'!F11</f>
        <v>0</v>
      </c>
    </row>
    <row r="19" spans="1:7" s="16" customFormat="1" x14ac:dyDescent="0.25">
      <c r="A19" s="28" t="str">
        <f>'[6]bp-sp-Wom'!A12</f>
        <v>90+</v>
      </c>
      <c r="B19" s="16">
        <f>'[6]bp-sp-Wom'!B12</f>
        <v>0</v>
      </c>
      <c r="C19" s="16">
        <f>'[6]bp-sp-Wom'!C12</f>
        <v>0</v>
      </c>
      <c r="D19" s="16" t="str">
        <f t="shared" si="0"/>
        <v>0</v>
      </c>
      <c r="E19" s="16">
        <f>'[6]bp-sp-Wom'!D12</f>
        <v>0</v>
      </c>
      <c r="F19" s="17">
        <f>'[6]bp-sp-Wom'!E12</f>
        <v>0</v>
      </c>
      <c r="G19" s="51">
        <f>'[6]bp-sp-Wom'!F12</f>
        <v>0</v>
      </c>
    </row>
    <row r="20" spans="1:7" s="16" customFormat="1" x14ac:dyDescent="0.25">
      <c r="A20" s="28"/>
      <c r="F20" s="17"/>
      <c r="G20" s="51"/>
    </row>
    <row r="21" spans="1:7" s="11" customFormat="1" x14ac:dyDescent="0.25">
      <c r="A21" s="22" t="s">
        <v>0</v>
      </c>
      <c r="B21" s="11">
        <v>0</v>
      </c>
      <c r="C21" s="11">
        <v>16</v>
      </c>
      <c r="D21" s="11" t="str">
        <f>'[6]bp-sp-Wom'!C13</f>
        <v>ДЕВУШКИ (16-17)</v>
      </c>
      <c r="F21" s="13"/>
      <c r="G21" s="30"/>
    </row>
    <row r="22" spans="1:7" s="16" customFormat="1" x14ac:dyDescent="0.25">
      <c r="A22" s="28">
        <f>'[6]bp-sp-Wom'!A14</f>
        <v>44</v>
      </c>
      <c r="B22" s="16">
        <f>'[6]bp-sp-Wom'!B14</f>
        <v>45</v>
      </c>
      <c r="C22" s="16" t="str">
        <f>'[6]bp-sp-Wom'!C14</f>
        <v>Nazemnova Olga/99</v>
      </c>
      <c r="D22" s="16" t="str">
        <f t="shared" si="0"/>
        <v>99</v>
      </c>
      <c r="E22" s="16" t="str">
        <f>'[6]bp-sp-Wom'!D14</f>
        <v>RUS</v>
      </c>
      <c r="F22" s="17">
        <f>'[6]bp-sp-Wom'!E14</f>
        <v>41321</v>
      </c>
      <c r="G22" s="51" t="str">
        <f>'[6]bp-sp-Wom'!F14</f>
        <v>Yekaterinburg</v>
      </c>
    </row>
    <row r="23" spans="1:7" s="16" customFormat="1" x14ac:dyDescent="0.25">
      <c r="A23" s="28">
        <f>'[6]bp-sp-Wom'!A15</f>
        <v>48</v>
      </c>
      <c r="B23" s="16">
        <f>'[6]bp-sp-Wom'!B15</f>
        <v>0</v>
      </c>
      <c r="C23" s="16">
        <f>'[6]bp-sp-Wom'!C15</f>
        <v>0</v>
      </c>
      <c r="D23" s="16" t="str">
        <f t="shared" si="0"/>
        <v>0</v>
      </c>
      <c r="E23" s="16">
        <f>'[6]bp-sp-Wom'!D15</f>
        <v>0</v>
      </c>
      <c r="F23" s="17">
        <f>'[6]bp-sp-Wom'!E15</f>
        <v>0</v>
      </c>
      <c r="G23" s="51">
        <f>'[6]bp-sp-Wom'!F15</f>
        <v>0</v>
      </c>
    </row>
    <row r="24" spans="1:7" s="16" customFormat="1" x14ac:dyDescent="0.25">
      <c r="A24" s="28">
        <f>'[6]bp-sp-Wom'!A16</f>
        <v>52</v>
      </c>
      <c r="B24" s="16">
        <f>'[6]bp-sp-Wom'!B16</f>
        <v>55</v>
      </c>
      <c r="C24" s="16" t="str">
        <f>'[6]bp-sp-Wom'!C16</f>
        <v>Lukina Alena/96</v>
      </c>
      <c r="D24" s="16" t="str">
        <f t="shared" si="0"/>
        <v>96</v>
      </c>
      <c r="E24" s="16" t="str">
        <f>'[6]bp-sp-Wom'!D16</f>
        <v>RUS</v>
      </c>
      <c r="F24" s="17" t="str">
        <f>'[6]bp-sp-Wom'!E16</f>
        <v>30.05.2014</v>
      </c>
      <c r="G24" s="51" t="str">
        <f>'[6]bp-sp-Wom'!F16</f>
        <v>Kursk</v>
      </c>
    </row>
    <row r="25" spans="1:7" s="16" customFormat="1" x14ac:dyDescent="0.25">
      <c r="A25" s="28">
        <f>'[6]bp-sp-Wom'!A17</f>
        <v>56</v>
      </c>
      <c r="B25" s="16">
        <f>'[6]bp-sp-Wom'!B17</f>
        <v>0</v>
      </c>
      <c r="C25" s="16">
        <f>'[6]bp-sp-Wom'!C17</f>
        <v>0</v>
      </c>
      <c r="D25" s="16" t="str">
        <f t="shared" si="0"/>
        <v>0</v>
      </c>
      <c r="E25" s="16">
        <f>'[6]bp-sp-Wom'!D17</f>
        <v>0</v>
      </c>
      <c r="F25" s="17">
        <f>'[6]bp-sp-Wom'!E17</f>
        <v>0</v>
      </c>
      <c r="G25" s="51">
        <f>'[6]bp-sp-Wom'!F17</f>
        <v>0</v>
      </c>
    </row>
    <row r="26" spans="1:7" s="16" customFormat="1" x14ac:dyDescent="0.25">
      <c r="A26" s="28">
        <f>'[6]bp-sp-Wom'!A18</f>
        <v>60</v>
      </c>
      <c r="B26" s="16">
        <f>'[6]bp-sp-Wom'!B18</f>
        <v>0</v>
      </c>
      <c r="C26" s="16">
        <f>'[6]bp-sp-Wom'!C18</f>
        <v>0</v>
      </c>
      <c r="D26" s="16" t="str">
        <f t="shared" si="0"/>
        <v>0</v>
      </c>
      <c r="E26" s="16">
        <f>'[6]bp-sp-Wom'!D18</f>
        <v>0</v>
      </c>
      <c r="F26" s="17">
        <f>'[6]bp-sp-Wom'!E18</f>
        <v>0</v>
      </c>
      <c r="G26" s="51">
        <f>'[6]bp-sp-Wom'!F18</f>
        <v>0</v>
      </c>
    </row>
    <row r="27" spans="1:7" s="16" customFormat="1" x14ac:dyDescent="0.25">
      <c r="A27" s="28" t="str">
        <f>'[6]bp-sp-Wom'!A19</f>
        <v>67.5</v>
      </c>
      <c r="B27" s="16">
        <f>'[6]bp-sp-Wom'!B19</f>
        <v>95</v>
      </c>
      <c r="C27" s="16" t="str">
        <f>'[6]bp-sp-Wom'!C19</f>
        <v>Safronova Marina/98</v>
      </c>
      <c r="D27" s="16" t="str">
        <f t="shared" si="0"/>
        <v>98</v>
      </c>
      <c r="E27" s="16" t="str">
        <f>'[6]bp-sp-Wom'!D19</f>
        <v>RUS</v>
      </c>
      <c r="F27" s="17" t="str">
        <f>'[6]bp-sp-Wom'!E19</f>
        <v>30.05.2014</v>
      </c>
      <c r="G27" s="51" t="str">
        <f>'[6]bp-sp-Wom'!F19</f>
        <v>Kursk</v>
      </c>
    </row>
    <row r="28" spans="1:7" s="16" customFormat="1" x14ac:dyDescent="0.25">
      <c r="A28" s="28">
        <f>'[6]bp-sp-Wom'!A20</f>
        <v>75</v>
      </c>
      <c r="B28" s="16">
        <f>'[6]bp-sp-Wom'!B20</f>
        <v>0</v>
      </c>
      <c r="C28" s="16">
        <f>'[6]bp-sp-Wom'!C20</f>
        <v>0</v>
      </c>
      <c r="D28" s="16" t="str">
        <f t="shared" si="0"/>
        <v>0</v>
      </c>
      <c r="E28" s="16">
        <f>'[6]bp-sp-Wom'!D20</f>
        <v>0</v>
      </c>
      <c r="F28" s="17">
        <f>'[6]bp-sp-Wom'!E20</f>
        <v>0</v>
      </c>
      <c r="G28" s="51">
        <f>'[6]bp-sp-Wom'!F20</f>
        <v>0</v>
      </c>
    </row>
    <row r="29" spans="1:7" s="16" customFormat="1" x14ac:dyDescent="0.25">
      <c r="A29" s="28" t="str">
        <f>'[6]bp-sp-Wom'!A21</f>
        <v>82.5</v>
      </c>
      <c r="B29" s="16">
        <f>'[6]bp-sp-Wom'!B21</f>
        <v>0</v>
      </c>
      <c r="C29" s="16">
        <f>'[6]bp-sp-Wom'!C21</f>
        <v>0</v>
      </c>
      <c r="D29" s="16" t="str">
        <f t="shared" si="0"/>
        <v>0</v>
      </c>
      <c r="E29" s="16">
        <f>'[6]bp-sp-Wom'!D21</f>
        <v>0</v>
      </c>
      <c r="F29" s="17">
        <f>'[6]bp-sp-Wom'!E21</f>
        <v>0</v>
      </c>
      <c r="G29" s="51">
        <f>'[6]bp-sp-Wom'!F21</f>
        <v>0</v>
      </c>
    </row>
    <row r="30" spans="1:7" s="16" customFormat="1" x14ac:dyDescent="0.25">
      <c r="A30" s="28">
        <f>'[6]bp-sp-Wom'!A22</f>
        <v>90</v>
      </c>
      <c r="B30" s="16">
        <f>'[6]bp-sp-Wom'!B22</f>
        <v>0</v>
      </c>
      <c r="C30" s="16">
        <f>'[6]bp-sp-Wom'!C22</f>
        <v>0</v>
      </c>
      <c r="D30" s="16" t="str">
        <f t="shared" ref="D30:D96" si="1">RIGHT(C30,2)</f>
        <v>0</v>
      </c>
      <c r="E30" s="16">
        <f>'[6]bp-sp-Wom'!D22</f>
        <v>0</v>
      </c>
      <c r="F30" s="17">
        <f>'[6]bp-sp-Wom'!E22</f>
        <v>0</v>
      </c>
      <c r="G30" s="51">
        <f>'[6]bp-sp-Wom'!F22</f>
        <v>0</v>
      </c>
    </row>
    <row r="31" spans="1:7" s="16" customFormat="1" x14ac:dyDescent="0.25">
      <c r="A31" s="28" t="str">
        <f>'[6]bp-sp-Wom'!A23</f>
        <v>90+</v>
      </c>
      <c r="B31" s="16">
        <f>'[6]bp-sp-Wom'!B23</f>
        <v>0</v>
      </c>
      <c r="C31" s="16">
        <f>'[6]bp-sp-Wom'!C23</f>
        <v>0</v>
      </c>
      <c r="D31" s="16" t="str">
        <f t="shared" si="1"/>
        <v>0</v>
      </c>
      <c r="E31" s="16">
        <f>'[6]bp-sp-Wom'!D23</f>
        <v>0</v>
      </c>
      <c r="F31" s="17">
        <f>'[6]bp-sp-Wom'!E23</f>
        <v>0</v>
      </c>
      <c r="G31" s="51">
        <f>'[6]bp-sp-Wom'!F23</f>
        <v>0</v>
      </c>
    </row>
    <row r="32" spans="1:7" s="16" customFormat="1" x14ac:dyDescent="0.25">
      <c r="A32" s="28"/>
      <c r="F32" s="17"/>
      <c r="G32" s="51"/>
    </row>
    <row r="33" spans="1:7" s="11" customFormat="1" x14ac:dyDescent="0.25">
      <c r="A33" s="22" t="s">
        <v>0</v>
      </c>
      <c r="B33" s="11">
        <v>0</v>
      </c>
      <c r="C33" s="11">
        <v>18</v>
      </c>
      <c r="D33" s="11" t="str">
        <f>'[6]bp-sp-Wom'!C24</f>
        <v>ДЕВУШКИ  (18 - 19)</v>
      </c>
      <c r="F33" s="13"/>
      <c r="G33" s="30"/>
    </row>
    <row r="34" spans="1:7" s="16" customFormat="1" x14ac:dyDescent="0.25">
      <c r="A34" s="28">
        <f>'[6]bp-sp-Wom'!A25</f>
        <v>44</v>
      </c>
      <c r="B34" s="16">
        <f>'[6]bp-sp-Wom'!B25</f>
        <v>0</v>
      </c>
      <c r="C34" s="16">
        <f>'[6]bp-sp-Wom'!C25</f>
        <v>0</v>
      </c>
      <c r="D34" s="16" t="str">
        <f t="shared" si="1"/>
        <v>0</v>
      </c>
      <c r="E34" s="16">
        <f>'[6]bp-sp-Wom'!D25</f>
        <v>0</v>
      </c>
      <c r="F34" s="17">
        <f>'[6]bp-sp-Wom'!E25</f>
        <v>0</v>
      </c>
      <c r="G34" s="51">
        <f>'[6]bp-sp-Wom'!F25</f>
        <v>0</v>
      </c>
    </row>
    <row r="35" spans="1:7" s="16" customFormat="1" x14ac:dyDescent="0.25">
      <c r="A35" s="28">
        <f>'[6]bp-sp-Wom'!A26</f>
        <v>48</v>
      </c>
      <c r="B35" s="16">
        <f>'[6]bp-sp-Wom'!B26</f>
        <v>0</v>
      </c>
      <c r="C35" s="16">
        <f>'[6]bp-sp-Wom'!C26</f>
        <v>0</v>
      </c>
      <c r="D35" s="16" t="str">
        <f t="shared" si="1"/>
        <v>0</v>
      </c>
      <c r="E35" s="16">
        <f>'[6]bp-sp-Wom'!D26</f>
        <v>0</v>
      </c>
      <c r="F35" s="17">
        <f>'[6]bp-sp-Wom'!E26</f>
        <v>0</v>
      </c>
      <c r="G35" s="51">
        <f>'[6]bp-sp-Wom'!F26</f>
        <v>0</v>
      </c>
    </row>
    <row r="36" spans="1:7" s="16" customFormat="1" x14ac:dyDescent="0.25">
      <c r="A36" s="28">
        <f>'[6]bp-sp-Wom'!A27</f>
        <v>52</v>
      </c>
      <c r="B36" s="16">
        <f>'[6]bp-sp-Wom'!B27</f>
        <v>0</v>
      </c>
      <c r="C36" s="16">
        <f>'[6]bp-sp-Wom'!C27</f>
        <v>0</v>
      </c>
      <c r="D36" s="16" t="str">
        <f t="shared" si="1"/>
        <v>0</v>
      </c>
      <c r="E36" s="16">
        <f>'[6]bp-sp-Wom'!D27</f>
        <v>0</v>
      </c>
      <c r="F36" s="17">
        <f>'[6]bp-sp-Wom'!E27</f>
        <v>0</v>
      </c>
      <c r="G36" s="51">
        <f>'[6]bp-sp-Wom'!F27</f>
        <v>0</v>
      </c>
    </row>
    <row r="37" spans="1:7" s="16" customFormat="1" x14ac:dyDescent="0.25">
      <c r="A37" s="28">
        <f>'[6]bp-sp-Wom'!A28</f>
        <v>56</v>
      </c>
      <c r="B37" s="16">
        <f>'[6]bp-sp-Wom'!B28</f>
        <v>67.5</v>
      </c>
      <c r="C37" s="16" t="str">
        <f>'[6]bp-sp-Wom'!C28</f>
        <v>Nasyrova Dilyara/96</v>
      </c>
      <c r="D37" s="16" t="str">
        <f t="shared" si="1"/>
        <v>96</v>
      </c>
      <c r="E37" s="16" t="str">
        <f>'[6]bp-sp-Wom'!D28</f>
        <v>RUS</v>
      </c>
      <c r="F37" s="17" t="str">
        <f>'[6]bp-sp-Wom'!E28</f>
        <v>24.08.2014</v>
      </c>
      <c r="G37" s="51" t="str">
        <f>'[6]bp-sp-Wom'!F28</f>
        <v>Moscow</v>
      </c>
    </row>
    <row r="38" spans="1:7" s="16" customFormat="1" x14ac:dyDescent="0.25">
      <c r="A38" s="28">
        <f>'[6]bp-sp-Wom'!A29</f>
        <v>60</v>
      </c>
      <c r="B38" s="16">
        <f>'[6]bp-sp-Wom'!B29</f>
        <v>0</v>
      </c>
      <c r="C38" s="16">
        <f>'[6]bp-sp-Wom'!C29</f>
        <v>0</v>
      </c>
      <c r="D38" s="16" t="str">
        <f t="shared" si="1"/>
        <v>0</v>
      </c>
      <c r="E38" s="16">
        <f>'[6]bp-sp-Wom'!D29</f>
        <v>0</v>
      </c>
      <c r="F38" s="17">
        <f>'[6]bp-sp-Wom'!E29</f>
        <v>0</v>
      </c>
      <c r="G38" s="51">
        <f>'[6]bp-sp-Wom'!F29</f>
        <v>0</v>
      </c>
    </row>
    <row r="39" spans="1:7" s="16" customFormat="1" x14ac:dyDescent="0.25">
      <c r="A39" s="28">
        <f>'[6]bp-sp-Wom'!A30</f>
        <v>67.5</v>
      </c>
      <c r="B39" s="16">
        <f>'[6]bp-sp-Wom'!B30</f>
        <v>0</v>
      </c>
      <c r="C39" s="16">
        <f>'[6]bp-sp-Wom'!C30</f>
        <v>0</v>
      </c>
      <c r="D39" s="16" t="str">
        <f t="shared" si="1"/>
        <v>0</v>
      </c>
      <c r="E39" s="16">
        <f>'[6]bp-sp-Wom'!D30</f>
        <v>0</v>
      </c>
      <c r="F39" s="17">
        <f>'[6]bp-sp-Wom'!E30</f>
        <v>0</v>
      </c>
      <c r="G39" s="51">
        <f>'[6]bp-sp-Wom'!F30</f>
        <v>0</v>
      </c>
    </row>
    <row r="40" spans="1:7" s="16" customFormat="1" x14ac:dyDescent="0.25">
      <c r="A40" s="28">
        <f>'[6]bp-sp-Wom'!A31</f>
        <v>75</v>
      </c>
      <c r="B40" s="16">
        <f>'[6]bp-sp-Wom'!B31</f>
        <v>0</v>
      </c>
      <c r="C40" s="16">
        <f>'[6]bp-sp-Wom'!C31</f>
        <v>0</v>
      </c>
      <c r="D40" s="16" t="str">
        <f t="shared" si="1"/>
        <v>0</v>
      </c>
      <c r="E40" s="16">
        <f>'[6]bp-sp-Wom'!D31</f>
        <v>0</v>
      </c>
      <c r="F40" s="17">
        <f>'[6]bp-sp-Wom'!E31</f>
        <v>0</v>
      </c>
      <c r="G40" s="51">
        <f>'[6]bp-sp-Wom'!F31</f>
        <v>0</v>
      </c>
    </row>
    <row r="41" spans="1:7" s="16" customFormat="1" x14ac:dyDescent="0.25">
      <c r="A41" s="28">
        <f>'[6]bp-sp-Wom'!A32</f>
        <v>82.5</v>
      </c>
      <c r="B41" s="16">
        <f>'[6]bp-sp-Wom'!B32</f>
        <v>0</v>
      </c>
      <c r="C41" s="16">
        <f>'[6]bp-sp-Wom'!C32</f>
        <v>0</v>
      </c>
      <c r="D41" s="16" t="str">
        <f t="shared" si="1"/>
        <v>0</v>
      </c>
      <c r="E41" s="16">
        <f>'[6]bp-sp-Wom'!D32</f>
        <v>0</v>
      </c>
      <c r="F41" s="17">
        <f>'[6]bp-sp-Wom'!E32</f>
        <v>0</v>
      </c>
      <c r="G41" s="51">
        <f>'[6]bp-sp-Wom'!F32</f>
        <v>0</v>
      </c>
    </row>
    <row r="42" spans="1:7" s="16" customFormat="1" x14ac:dyDescent="0.25">
      <c r="A42" s="28">
        <f>'[6]bp-sp-Wom'!A33</f>
        <v>90</v>
      </c>
      <c r="B42" s="16">
        <f>'[6]bp-sp-Wom'!B33</f>
        <v>0</v>
      </c>
      <c r="C42" s="16">
        <f>'[6]bp-sp-Wom'!C33</f>
        <v>0</v>
      </c>
      <c r="D42" s="16" t="str">
        <f t="shared" si="1"/>
        <v>0</v>
      </c>
      <c r="E42" s="16">
        <f>'[6]bp-sp-Wom'!D33</f>
        <v>0</v>
      </c>
      <c r="F42" s="17">
        <f>'[6]bp-sp-Wom'!E33</f>
        <v>0</v>
      </c>
      <c r="G42" s="51">
        <f>'[6]bp-sp-Wom'!F33</f>
        <v>0</v>
      </c>
    </row>
    <row r="43" spans="1:7" s="16" customFormat="1" x14ac:dyDescent="0.25">
      <c r="A43" s="28" t="str">
        <f>'[6]bp-sp-Wom'!A34</f>
        <v>90+</v>
      </c>
      <c r="B43" s="16">
        <f>'[6]bp-sp-Wom'!B34</f>
        <v>0</v>
      </c>
      <c r="C43" s="16">
        <f>'[6]bp-sp-Wom'!C34</f>
        <v>0</v>
      </c>
      <c r="D43" s="16" t="str">
        <f t="shared" si="1"/>
        <v>0</v>
      </c>
      <c r="E43" s="16">
        <f>'[6]bp-sp-Wom'!D34</f>
        <v>0</v>
      </c>
      <c r="F43" s="17">
        <f>'[6]bp-sp-Wom'!E34</f>
        <v>0</v>
      </c>
      <c r="G43" s="51">
        <f>'[6]bp-sp-Wom'!F34</f>
        <v>0</v>
      </c>
    </row>
    <row r="44" spans="1:7" s="16" customFormat="1" x14ac:dyDescent="0.25">
      <c r="A44" s="28"/>
      <c r="F44" s="17"/>
      <c r="G44" s="51"/>
    </row>
    <row r="45" spans="1:7" s="11" customFormat="1" x14ac:dyDescent="0.25">
      <c r="A45" s="22" t="s">
        <v>0</v>
      </c>
      <c r="B45" s="11">
        <v>0</v>
      </c>
      <c r="C45" s="11">
        <v>20</v>
      </c>
      <c r="D45" s="11" t="str">
        <f>'[6]bp-sp-Wom'!C35</f>
        <v>ЮНИОРКИ  (20 - 23)</v>
      </c>
      <c r="F45" s="13"/>
      <c r="G45" s="30"/>
    </row>
    <row r="46" spans="1:7" s="16" customFormat="1" x14ac:dyDescent="0.25">
      <c r="A46" s="28">
        <f>'[6]bp-sp-Wom'!A36</f>
        <v>44</v>
      </c>
      <c r="B46" s="16">
        <f>'[6]bp-sp-Wom'!B36</f>
        <v>0</v>
      </c>
      <c r="C46" s="16">
        <f>'[6]bp-sp-Wom'!C36</f>
        <v>0</v>
      </c>
      <c r="D46" s="16" t="str">
        <f t="shared" si="1"/>
        <v>0</v>
      </c>
      <c r="E46" s="16">
        <f>'[6]bp-sp-Wom'!D36</f>
        <v>0</v>
      </c>
      <c r="F46" s="17">
        <f>'[6]bp-sp-Wom'!E36</f>
        <v>0</v>
      </c>
      <c r="G46" s="51">
        <f>'[6]bp-sp-Wom'!F36</f>
        <v>0</v>
      </c>
    </row>
    <row r="47" spans="1:7" s="16" customFormat="1" x14ac:dyDescent="0.25">
      <c r="A47" s="28">
        <f>'[6]bp-sp-Wom'!A37</f>
        <v>48</v>
      </c>
      <c r="B47" s="16">
        <f>'[6]bp-sp-Wom'!B37</f>
        <v>65</v>
      </c>
      <c r="C47" s="16" t="str">
        <f>'[6]bp-sp-Wom'!C37</f>
        <v>Ogurtsova Yuliya/90</v>
      </c>
      <c r="D47" s="16" t="str">
        <f t="shared" si="1"/>
        <v>90</v>
      </c>
      <c r="E47" s="16" t="str">
        <f>'[6]bp-sp-Wom'!D37</f>
        <v>RUS</v>
      </c>
      <c r="F47" s="17">
        <f>'[6]bp-sp-Wom'!E37</f>
        <v>41496</v>
      </c>
      <c r="G47" s="51" t="str">
        <f>'[6]bp-sp-Wom'!F37</f>
        <v>Kursk</v>
      </c>
    </row>
    <row r="48" spans="1:7" s="16" customFormat="1" x14ac:dyDescent="0.25">
      <c r="A48" s="28">
        <f>'[6]bp-sp-Wom'!A38</f>
        <v>52</v>
      </c>
      <c r="B48" s="16">
        <f>'[6]bp-sp-Wom'!B38</f>
        <v>90</v>
      </c>
      <c r="C48" s="16" t="str">
        <f>'[6]bp-sp-Wom'!C38</f>
        <v>Blinkova Natalya/91</v>
      </c>
      <c r="D48" s="16" t="str">
        <f t="shared" si="1"/>
        <v>91</v>
      </c>
      <c r="E48" s="16" t="str">
        <f>'[6]bp-sp-Wom'!D38</f>
        <v>RUS</v>
      </c>
      <c r="F48" s="17">
        <f>'[6]bp-sp-Wom'!E38</f>
        <v>41496</v>
      </c>
      <c r="G48" s="51" t="str">
        <f>'[6]bp-sp-Wom'!F38</f>
        <v>Kursk</v>
      </c>
    </row>
    <row r="49" spans="1:7" s="16" customFormat="1" x14ac:dyDescent="0.25">
      <c r="A49" s="28">
        <f>'[6]bp-sp-Wom'!A39</f>
        <v>56</v>
      </c>
      <c r="B49" s="16">
        <f>'[6]bp-sp-Wom'!B39</f>
        <v>100</v>
      </c>
      <c r="C49" s="16" t="str">
        <f>'[6]bp-sp-Wom'!C39</f>
        <v>Blinkova Natalya/91</v>
      </c>
      <c r="D49" s="16" t="str">
        <f t="shared" si="1"/>
        <v>91</v>
      </c>
      <c r="E49" s="16" t="str">
        <f>'[6]bp-sp-Wom'!D39</f>
        <v>RUS</v>
      </c>
      <c r="F49" s="17">
        <f>'[6]bp-sp-Wom'!E39</f>
        <v>41619</v>
      </c>
      <c r="G49" s="51" t="str">
        <f>'[6]bp-sp-Wom'!F39</f>
        <v>Kursk</v>
      </c>
    </row>
    <row r="50" spans="1:7" s="16" customFormat="1" x14ac:dyDescent="0.25">
      <c r="A50" s="28">
        <f>'[6]bp-sp-Wom'!A40</f>
        <v>60</v>
      </c>
      <c r="B50" s="16">
        <f>'[6]bp-sp-Wom'!B40</f>
        <v>0</v>
      </c>
      <c r="C50" s="16">
        <f>'[6]bp-sp-Wom'!C40</f>
        <v>0</v>
      </c>
      <c r="D50" s="16" t="str">
        <f t="shared" si="1"/>
        <v>0</v>
      </c>
      <c r="E50" s="16">
        <f>'[6]bp-sp-Wom'!D40</f>
        <v>0</v>
      </c>
      <c r="F50" s="17">
        <f>'[6]bp-sp-Wom'!E40</f>
        <v>0</v>
      </c>
      <c r="G50" s="51">
        <f>'[6]bp-sp-Wom'!F40</f>
        <v>0</v>
      </c>
    </row>
    <row r="51" spans="1:7" s="16" customFormat="1" x14ac:dyDescent="0.25">
      <c r="A51" s="28">
        <f>'[6]bp-sp-Wom'!A41</f>
        <v>67.5</v>
      </c>
      <c r="B51" s="16">
        <f>'[6]bp-sp-Wom'!B41</f>
        <v>0</v>
      </c>
      <c r="C51" s="16">
        <f>'[6]bp-sp-Wom'!C41</f>
        <v>0</v>
      </c>
      <c r="D51" s="16" t="str">
        <f t="shared" si="1"/>
        <v>0</v>
      </c>
      <c r="E51" s="16">
        <f>'[6]bp-sp-Wom'!D41</f>
        <v>0</v>
      </c>
      <c r="F51" s="17">
        <f>'[6]bp-sp-Wom'!E41</f>
        <v>0</v>
      </c>
      <c r="G51" s="51">
        <f>'[6]bp-sp-Wom'!F41</f>
        <v>0</v>
      </c>
    </row>
    <row r="52" spans="1:7" s="16" customFormat="1" x14ac:dyDescent="0.25">
      <c r="A52" s="28">
        <f>'[6]bp-sp-Wom'!A42</f>
        <v>75</v>
      </c>
      <c r="B52" s="16">
        <f>'[6]bp-sp-Wom'!B42</f>
        <v>0</v>
      </c>
      <c r="C52" s="16">
        <f>'[6]bp-sp-Wom'!C42</f>
        <v>0</v>
      </c>
      <c r="D52" s="16" t="str">
        <f t="shared" si="1"/>
        <v>0</v>
      </c>
      <c r="E52" s="16">
        <f>'[6]bp-sp-Wom'!D42</f>
        <v>0</v>
      </c>
      <c r="F52" s="17">
        <f>'[6]bp-sp-Wom'!E42</f>
        <v>0</v>
      </c>
      <c r="G52" s="51">
        <f>'[6]bp-sp-Wom'!F42</f>
        <v>0</v>
      </c>
    </row>
    <row r="53" spans="1:7" s="16" customFormat="1" x14ac:dyDescent="0.25">
      <c r="A53" s="28">
        <f>'[6]bp-sp-Wom'!A43</f>
        <v>82.5</v>
      </c>
      <c r="B53" s="16">
        <f>'[6]bp-sp-Wom'!B43</f>
        <v>0</v>
      </c>
      <c r="C53" s="16">
        <f>'[6]bp-sp-Wom'!C43</f>
        <v>0</v>
      </c>
      <c r="D53" s="16" t="str">
        <f t="shared" si="1"/>
        <v>0</v>
      </c>
      <c r="E53" s="16">
        <f>'[6]bp-sp-Wom'!D43</f>
        <v>0</v>
      </c>
      <c r="F53" s="17">
        <f>'[6]bp-sp-Wom'!E43</f>
        <v>0</v>
      </c>
      <c r="G53" s="51">
        <f>'[6]bp-sp-Wom'!F43</f>
        <v>0</v>
      </c>
    </row>
    <row r="54" spans="1:7" s="16" customFormat="1" x14ac:dyDescent="0.25">
      <c r="A54" s="28">
        <f>'[6]bp-sp-Wom'!A44</f>
        <v>90</v>
      </c>
      <c r="B54" s="16">
        <f>'[6]bp-sp-Wom'!B44</f>
        <v>0</v>
      </c>
      <c r="C54" s="16">
        <f>'[6]bp-sp-Wom'!C44</f>
        <v>0</v>
      </c>
      <c r="D54" s="16" t="str">
        <f t="shared" si="1"/>
        <v>0</v>
      </c>
      <c r="E54" s="16">
        <f>'[6]bp-sp-Wom'!D44</f>
        <v>0</v>
      </c>
      <c r="F54" s="17">
        <f>'[6]bp-sp-Wom'!E44</f>
        <v>0</v>
      </c>
      <c r="G54" s="51">
        <f>'[6]bp-sp-Wom'!F44</f>
        <v>0</v>
      </c>
    </row>
    <row r="55" spans="1:7" s="16" customFormat="1" x14ac:dyDescent="0.25">
      <c r="A55" s="28" t="str">
        <f>'[6]bp-sp-Wom'!A45</f>
        <v>90+</v>
      </c>
      <c r="B55" s="16">
        <f>'[6]bp-sp-Wom'!B45</f>
        <v>0</v>
      </c>
      <c r="C55" s="16">
        <f>'[6]bp-sp-Wom'!C45</f>
        <v>0</v>
      </c>
      <c r="D55" s="16" t="str">
        <f t="shared" si="1"/>
        <v>0</v>
      </c>
      <c r="E55" s="16">
        <f>'[6]bp-sp-Wom'!D45</f>
        <v>0</v>
      </c>
      <c r="F55" s="17">
        <f>'[6]bp-sp-Wom'!E45</f>
        <v>0</v>
      </c>
      <c r="G55" s="51">
        <f>'[6]bp-sp-Wom'!F45</f>
        <v>0</v>
      </c>
    </row>
    <row r="56" spans="1:7" s="16" customFormat="1" x14ac:dyDescent="0.25">
      <c r="A56" s="28"/>
      <c r="F56" s="17"/>
      <c r="G56" s="51"/>
    </row>
    <row r="57" spans="1:7" s="11" customFormat="1" x14ac:dyDescent="0.25">
      <c r="A57" s="22" t="s">
        <v>0</v>
      </c>
      <c r="B57" s="11">
        <v>0</v>
      </c>
      <c r="C57" s="11">
        <v>-2</v>
      </c>
      <c r="D57" s="11" t="str">
        <f>'[6]bp-sp-Wom'!C46</f>
        <v>ЖЕНЩИНЫ</v>
      </c>
      <c r="F57" s="13"/>
      <c r="G57" s="30"/>
    </row>
    <row r="58" spans="1:7" s="16" customFormat="1" x14ac:dyDescent="0.25">
      <c r="A58" s="28">
        <f>'[6]bp-sp-Wom'!A47</f>
        <v>44</v>
      </c>
      <c r="B58" s="16">
        <f>'[6]bp-sp-Wom'!B47</f>
        <v>45</v>
      </c>
      <c r="C58" s="16" t="str">
        <f>'[6]bp-sp-Wom'!C47</f>
        <v>Nazemnova Olga/97</v>
      </c>
      <c r="D58" s="16" t="str">
        <f t="shared" si="1"/>
        <v>97</v>
      </c>
      <c r="E58" s="16" t="str">
        <f>'[6]bp-sp-Wom'!D47</f>
        <v>RUS</v>
      </c>
      <c r="F58" s="17">
        <f>'[6]bp-sp-Wom'!E47</f>
        <v>41321</v>
      </c>
      <c r="G58" s="51" t="str">
        <f>'[6]bp-sp-Wom'!F47</f>
        <v>Yekaterinburg</v>
      </c>
    </row>
    <row r="59" spans="1:7" s="16" customFormat="1" x14ac:dyDescent="0.25">
      <c r="A59" s="28">
        <f>'[6]bp-sp-Wom'!A48</f>
        <v>48</v>
      </c>
      <c r="B59" s="16">
        <f>'[6]bp-sp-Wom'!B48</f>
        <v>72.5</v>
      </c>
      <c r="C59" s="16" t="str">
        <f>'[6]bp-sp-Wom'!C48</f>
        <v>Vakhterova Yuliya/80</v>
      </c>
      <c r="D59" s="16" t="str">
        <f t="shared" si="1"/>
        <v>80</v>
      </c>
      <c r="E59" s="16" t="str">
        <f>'[6]bp-sp-Wom'!D48</f>
        <v>RUS</v>
      </c>
      <c r="F59" s="17" t="str">
        <f>'[6]bp-sp-Wom'!E48</f>
        <v>24.08.2014</v>
      </c>
      <c r="G59" s="51" t="str">
        <f>'[6]bp-sp-Wom'!F48</f>
        <v>Moscow</v>
      </c>
    </row>
    <row r="60" spans="1:7" s="16" customFormat="1" x14ac:dyDescent="0.25">
      <c r="A60" s="28">
        <f>'[6]bp-sp-Wom'!A49</f>
        <v>52</v>
      </c>
      <c r="B60" s="16">
        <f>'[6]bp-sp-Wom'!B49</f>
        <v>90</v>
      </c>
      <c r="C60" s="16" t="str">
        <f>'[6]bp-sp-Wom'!C49</f>
        <v>Blinkova Natalya/91</v>
      </c>
      <c r="D60" s="16" t="str">
        <f t="shared" si="1"/>
        <v>91</v>
      </c>
      <c r="E60" s="16" t="str">
        <f>'[6]bp-sp-Wom'!D49</f>
        <v>RUS</v>
      </c>
      <c r="F60" s="17">
        <f>'[6]bp-sp-Wom'!E49</f>
        <v>41496</v>
      </c>
      <c r="G60" s="51" t="str">
        <f>'[6]bp-sp-Wom'!F49</f>
        <v>Kursk</v>
      </c>
    </row>
    <row r="61" spans="1:7" s="16" customFormat="1" x14ac:dyDescent="0.25">
      <c r="A61" s="28">
        <f>'[6]bp-sp-Wom'!A50</f>
        <v>56</v>
      </c>
      <c r="B61" s="16">
        <f>'[6]bp-sp-Wom'!B50</f>
        <v>100</v>
      </c>
      <c r="C61" s="16" t="str">
        <f>'[6]bp-sp-Wom'!C50</f>
        <v>Blinkova Natalya/91</v>
      </c>
      <c r="D61" s="16" t="str">
        <f t="shared" si="1"/>
        <v>91</v>
      </c>
      <c r="E61" s="16" t="str">
        <f>'[6]bp-sp-Wom'!D50</f>
        <v>RUS</v>
      </c>
      <c r="F61" s="17">
        <f>'[6]bp-sp-Wom'!E50</f>
        <v>41619</v>
      </c>
      <c r="G61" s="51" t="str">
        <f>'[6]bp-sp-Wom'!F50</f>
        <v>Kursk</v>
      </c>
    </row>
    <row r="62" spans="1:7" s="16" customFormat="1" x14ac:dyDescent="0.25">
      <c r="A62" s="28">
        <f>'[6]bp-sp-Wom'!A51</f>
        <v>60</v>
      </c>
      <c r="B62" s="16">
        <f>'[6]bp-sp-Wom'!B51</f>
        <v>105</v>
      </c>
      <c r="C62" s="16" t="str">
        <f>'[6]bp-sp-Wom'!C51</f>
        <v>Baranova Kristina/88</v>
      </c>
      <c r="D62" s="16" t="str">
        <f t="shared" si="1"/>
        <v>88</v>
      </c>
      <c r="E62" s="16" t="str">
        <f>'[6]bp-sp-Wom'!D51</f>
        <v>RUS</v>
      </c>
      <c r="F62" s="17" t="str">
        <f>'[6]bp-sp-Wom'!E51</f>
        <v>04.07.2014</v>
      </c>
      <c r="G62" s="51" t="str">
        <f>'[6]bp-sp-Wom'!F51</f>
        <v>Novosibirsk</v>
      </c>
    </row>
    <row r="63" spans="1:7" s="16" customFormat="1" x14ac:dyDescent="0.25">
      <c r="A63" s="28">
        <f>'[6]bp-sp-Wom'!A52</f>
        <v>67.5</v>
      </c>
      <c r="B63" s="16">
        <f>'[6]bp-sp-Wom'!B52</f>
        <v>95</v>
      </c>
      <c r="C63" s="16" t="str">
        <f>'[6]bp-sp-Wom'!C52</f>
        <v>Safronova Marina/98</v>
      </c>
      <c r="D63" s="16" t="str">
        <f t="shared" si="1"/>
        <v>98</v>
      </c>
      <c r="E63" s="16" t="str">
        <f>'[6]bp-sp-Wom'!D52</f>
        <v>RUS</v>
      </c>
      <c r="F63" s="17" t="str">
        <f>'[6]bp-sp-Wom'!E52</f>
        <v>30.05.2014</v>
      </c>
      <c r="G63" s="51" t="str">
        <f>'[6]bp-sp-Wom'!F52</f>
        <v>Kursk</v>
      </c>
    </row>
    <row r="64" spans="1:7" s="16" customFormat="1" x14ac:dyDescent="0.25">
      <c r="A64" s="28">
        <f>'[6]bp-sp-Wom'!A53</f>
        <v>75</v>
      </c>
      <c r="B64" s="16">
        <f>'[6]bp-sp-Wom'!B53</f>
        <v>55</v>
      </c>
      <c r="C64" s="16" t="str">
        <f>'[6]bp-sp-Wom'!C53</f>
        <v>Mimonova Olga/89</v>
      </c>
      <c r="D64" s="16" t="str">
        <f t="shared" si="1"/>
        <v>89</v>
      </c>
      <c r="E64" s="16" t="str">
        <f>'[6]bp-sp-Wom'!D53</f>
        <v>RUS</v>
      </c>
      <c r="F64" s="17" t="str">
        <f>'[6]bp-sp-Wom'!E53</f>
        <v>30.05.2014</v>
      </c>
      <c r="G64" s="51" t="str">
        <f>'[6]bp-sp-Wom'!F53</f>
        <v>Kursk</v>
      </c>
    </row>
    <row r="65" spans="1:7" s="16" customFormat="1" x14ac:dyDescent="0.25">
      <c r="A65" s="28">
        <f>'[6]bp-sp-Wom'!A54</f>
        <v>82.5</v>
      </c>
      <c r="B65" s="16">
        <f>'[6]bp-sp-Wom'!B54</f>
        <v>132.5</v>
      </c>
      <c r="C65" s="16" t="str">
        <f>'[6]bp-sp-Wom'!C54</f>
        <v>Pugovkina Alla/75</v>
      </c>
      <c r="D65" s="16" t="str">
        <f t="shared" si="1"/>
        <v>75</v>
      </c>
      <c r="E65" s="16" t="str">
        <f>'[6]bp-sp-Wom'!D54</f>
        <v>RUS</v>
      </c>
      <c r="F65" s="17" t="str">
        <f>'[6]bp-sp-Wom'!E54</f>
        <v>24.08.2014</v>
      </c>
      <c r="G65" s="51" t="str">
        <f>'[6]bp-sp-Wom'!F54</f>
        <v>Moscow</v>
      </c>
    </row>
    <row r="66" spans="1:7" s="16" customFormat="1" x14ac:dyDescent="0.25">
      <c r="A66" s="28">
        <f>'[6]bp-sp-Wom'!A55</f>
        <v>90</v>
      </c>
      <c r="B66" s="16">
        <f>'[6]bp-sp-Wom'!B55</f>
        <v>0</v>
      </c>
      <c r="C66" s="16">
        <f>'[6]bp-sp-Wom'!C55</f>
        <v>0</v>
      </c>
      <c r="D66" s="16" t="str">
        <f t="shared" si="1"/>
        <v>0</v>
      </c>
      <c r="E66" s="16">
        <f>'[6]bp-sp-Wom'!D55</f>
        <v>0</v>
      </c>
      <c r="F66" s="17">
        <f>'[6]bp-sp-Wom'!E55</f>
        <v>0</v>
      </c>
      <c r="G66" s="51">
        <f>'[6]bp-sp-Wom'!F55</f>
        <v>0</v>
      </c>
    </row>
    <row r="67" spans="1:7" s="16" customFormat="1" x14ac:dyDescent="0.25">
      <c r="A67" s="28" t="str">
        <f>'[6]bp-sp-Wom'!A56</f>
        <v>90+</v>
      </c>
      <c r="B67" s="16">
        <f>'[6]bp-sp-Wom'!B56</f>
        <v>0</v>
      </c>
      <c r="C67" s="16">
        <f>'[6]bp-sp-Wom'!C56</f>
        <v>0</v>
      </c>
      <c r="D67" s="16" t="str">
        <f t="shared" si="1"/>
        <v>0</v>
      </c>
      <c r="E67" s="16">
        <f>'[6]bp-sp-Wom'!D56</f>
        <v>0</v>
      </c>
      <c r="F67" s="17">
        <f>'[6]bp-sp-Wom'!E56</f>
        <v>0</v>
      </c>
      <c r="G67" s="51">
        <f>'[6]bp-sp-Wom'!F56</f>
        <v>0</v>
      </c>
    </row>
    <row r="68" spans="1:7" s="16" customFormat="1" x14ac:dyDescent="0.25">
      <c r="A68" s="28"/>
      <c r="B68" s="16">
        <f>'[6]bp-sp-Wom'!B57</f>
        <v>0</v>
      </c>
      <c r="C68" s="16">
        <f>'[6]bp-sp-Wom'!C57</f>
        <v>0</v>
      </c>
      <c r="D68" s="16" t="str">
        <f t="shared" si="1"/>
        <v>0</v>
      </c>
      <c r="E68" s="16">
        <f>'[6]bp-sp-Wom'!D57</f>
        <v>0</v>
      </c>
      <c r="F68" s="17">
        <f>'[6]bp-sp-Wom'!E57</f>
        <v>0</v>
      </c>
      <c r="G68" s="51">
        <f>'[6]bp-sp-Wom'!F57</f>
        <v>0</v>
      </c>
    </row>
    <row r="69" spans="1:7" s="11" customFormat="1" x14ac:dyDescent="0.25">
      <c r="A69" s="22" t="s">
        <v>0</v>
      </c>
      <c r="B69" s="11">
        <v>0</v>
      </c>
      <c r="C69" s="11">
        <v>-4</v>
      </c>
      <c r="D69" s="11" t="str">
        <f>'[6]bp-sp-Wom'!B58</f>
        <v>ЖЕНЩИНЫ - САБМАСТЕРC (33 - 39)</v>
      </c>
      <c r="F69" s="13"/>
      <c r="G69" s="30"/>
    </row>
    <row r="70" spans="1:7" s="16" customFormat="1" x14ac:dyDescent="0.25">
      <c r="A70" s="28">
        <f>'[6]bp-sp-Wom'!A59</f>
        <v>44</v>
      </c>
      <c r="B70" s="16">
        <f>'[6]bp-sp-Wom'!B59</f>
        <v>0</v>
      </c>
      <c r="C70" s="16">
        <f>'[6]bp-sp-Wom'!C59</f>
        <v>0</v>
      </c>
      <c r="D70" s="16" t="str">
        <f t="shared" si="1"/>
        <v>0</v>
      </c>
      <c r="E70" s="16">
        <f>'[6]bp-sp-Wom'!D59</f>
        <v>0</v>
      </c>
      <c r="F70" s="17">
        <f>'[6]bp-sp-Wom'!E59</f>
        <v>0</v>
      </c>
      <c r="G70" s="51">
        <f>'[6]bp-sp-Wom'!F59</f>
        <v>0</v>
      </c>
    </row>
    <row r="71" spans="1:7" s="16" customFormat="1" x14ac:dyDescent="0.25">
      <c r="A71" s="28">
        <f>'[6]bp-sp-Wom'!A60</f>
        <v>48</v>
      </c>
      <c r="B71" s="16">
        <f>'[6]bp-sp-Wom'!B60</f>
        <v>0</v>
      </c>
      <c r="C71" s="16">
        <f>'[6]bp-sp-Wom'!C60</f>
        <v>0</v>
      </c>
      <c r="D71" s="16" t="str">
        <f t="shared" si="1"/>
        <v>0</v>
      </c>
      <c r="E71" s="16">
        <f>'[6]bp-sp-Wom'!D60</f>
        <v>0</v>
      </c>
      <c r="F71" s="17">
        <f>'[6]bp-sp-Wom'!E60</f>
        <v>0</v>
      </c>
      <c r="G71" s="51">
        <f>'[6]bp-sp-Wom'!F60</f>
        <v>0</v>
      </c>
    </row>
    <row r="72" spans="1:7" s="16" customFormat="1" x14ac:dyDescent="0.25">
      <c r="A72" s="28">
        <f>'[6]bp-sp-Wom'!A61</f>
        <v>52</v>
      </c>
      <c r="B72" s="16">
        <f>'[6]bp-sp-Wom'!B61</f>
        <v>0</v>
      </c>
      <c r="C72" s="16">
        <f>'[6]bp-sp-Wom'!C61</f>
        <v>0</v>
      </c>
      <c r="D72" s="16" t="str">
        <f t="shared" si="1"/>
        <v>0</v>
      </c>
      <c r="E72" s="16">
        <f>'[6]bp-sp-Wom'!D61</f>
        <v>0</v>
      </c>
      <c r="F72" s="17">
        <f>'[6]bp-sp-Wom'!E61</f>
        <v>0</v>
      </c>
      <c r="G72" s="51">
        <f>'[6]bp-sp-Wom'!F61</f>
        <v>0</v>
      </c>
    </row>
    <row r="73" spans="1:7" s="16" customFormat="1" x14ac:dyDescent="0.25">
      <c r="A73" s="28">
        <f>'[6]bp-sp-Wom'!A62</f>
        <v>56</v>
      </c>
      <c r="B73" s="16">
        <f>'[6]bp-sp-Wom'!B62</f>
        <v>65</v>
      </c>
      <c r="C73" s="16" t="str">
        <f>'[6]bp-sp-Wom'!C62</f>
        <v>Ryzhikh Olga/79</v>
      </c>
      <c r="D73" s="16" t="str">
        <f t="shared" si="1"/>
        <v>79</v>
      </c>
      <c r="E73" s="16" t="str">
        <f>'[6]bp-sp-Wom'!D62</f>
        <v>RUS</v>
      </c>
      <c r="F73" s="17" t="str">
        <f>'[6]bp-sp-Wom'!E62</f>
        <v>30.05.2014</v>
      </c>
      <c r="G73" s="51" t="str">
        <f>'[6]bp-sp-Wom'!F62</f>
        <v>Kursk</v>
      </c>
    </row>
    <row r="74" spans="1:7" s="16" customFormat="1" x14ac:dyDescent="0.25">
      <c r="A74" s="28">
        <f>'[6]bp-sp-Wom'!A63</f>
        <v>60</v>
      </c>
      <c r="B74" s="16">
        <f>'[6]bp-sp-Wom'!B63</f>
        <v>0</v>
      </c>
      <c r="C74" s="16">
        <f>'[6]bp-sp-Wom'!C63</f>
        <v>0</v>
      </c>
      <c r="D74" s="16" t="str">
        <f t="shared" si="1"/>
        <v>0</v>
      </c>
      <c r="E74" s="16">
        <f>'[6]bp-sp-Wom'!D63</f>
        <v>0</v>
      </c>
      <c r="F74" s="17">
        <f>'[6]bp-sp-Wom'!E63</f>
        <v>0</v>
      </c>
      <c r="G74" s="51">
        <f>'[6]bp-sp-Wom'!F63</f>
        <v>0</v>
      </c>
    </row>
    <row r="75" spans="1:7" s="16" customFormat="1" x14ac:dyDescent="0.25">
      <c r="A75" s="28">
        <f>'[6]bp-sp-Wom'!A64</f>
        <v>67.5</v>
      </c>
      <c r="B75" s="16">
        <f>'[6]bp-sp-Wom'!B64</f>
        <v>0</v>
      </c>
      <c r="C75" s="16">
        <f>'[6]bp-sp-Wom'!C64</f>
        <v>0</v>
      </c>
      <c r="D75" s="16" t="str">
        <f t="shared" si="1"/>
        <v>0</v>
      </c>
      <c r="E75" s="16">
        <f>'[6]bp-sp-Wom'!D64</f>
        <v>0</v>
      </c>
      <c r="F75" s="17">
        <f>'[6]bp-sp-Wom'!E64</f>
        <v>0</v>
      </c>
      <c r="G75" s="51">
        <f>'[6]bp-sp-Wom'!F64</f>
        <v>0</v>
      </c>
    </row>
    <row r="76" spans="1:7" s="16" customFormat="1" x14ac:dyDescent="0.25">
      <c r="A76" s="28">
        <f>'[6]bp-sp-Wom'!A65</f>
        <v>75</v>
      </c>
      <c r="B76" s="16">
        <f>'[6]bp-sp-Wom'!B65</f>
        <v>0</v>
      </c>
      <c r="C76" s="16">
        <f>'[6]bp-sp-Wom'!C65</f>
        <v>0</v>
      </c>
      <c r="D76" s="16" t="str">
        <f t="shared" si="1"/>
        <v>0</v>
      </c>
      <c r="E76" s="16">
        <f>'[6]bp-sp-Wom'!D65</f>
        <v>0</v>
      </c>
      <c r="F76" s="17">
        <f>'[6]bp-sp-Wom'!E65</f>
        <v>0</v>
      </c>
      <c r="G76" s="51">
        <f>'[6]bp-sp-Wom'!F65</f>
        <v>0</v>
      </c>
    </row>
    <row r="77" spans="1:7" s="16" customFormat="1" x14ac:dyDescent="0.25">
      <c r="A77" s="28">
        <f>'[6]bp-sp-Wom'!A66</f>
        <v>82.5</v>
      </c>
      <c r="B77" s="16">
        <f>'[6]bp-sp-Wom'!B66</f>
        <v>132.5</v>
      </c>
      <c r="C77" s="16" t="str">
        <f>'[6]bp-sp-Wom'!C66</f>
        <v>Pugovkina Alla/75</v>
      </c>
      <c r="D77" s="16" t="str">
        <f t="shared" si="1"/>
        <v>75</v>
      </c>
      <c r="E77" s="16" t="str">
        <f>'[6]bp-sp-Wom'!D66</f>
        <v>RUS</v>
      </c>
      <c r="F77" s="17" t="str">
        <f>'[6]bp-sp-Wom'!E66</f>
        <v>24.08.2014</v>
      </c>
      <c r="G77" s="51" t="str">
        <f>'[6]bp-sp-Wom'!F66</f>
        <v>Moscow</v>
      </c>
    </row>
    <row r="78" spans="1:7" s="16" customFormat="1" x14ac:dyDescent="0.25">
      <c r="A78" s="28">
        <f>'[6]bp-sp-Wom'!A67</f>
        <v>90</v>
      </c>
      <c r="B78" s="16">
        <f>'[6]bp-sp-Wom'!B67</f>
        <v>0</v>
      </c>
      <c r="C78" s="16">
        <f>'[6]bp-sp-Wom'!C67</f>
        <v>0</v>
      </c>
      <c r="D78" s="16" t="str">
        <f t="shared" si="1"/>
        <v>0</v>
      </c>
      <c r="E78" s="16">
        <f>'[6]bp-sp-Wom'!D67</f>
        <v>0</v>
      </c>
      <c r="F78" s="17">
        <f>'[6]bp-sp-Wom'!E67</f>
        <v>0</v>
      </c>
      <c r="G78" s="51">
        <f>'[6]bp-sp-Wom'!F67</f>
        <v>0</v>
      </c>
    </row>
    <row r="79" spans="1:7" s="16" customFormat="1" x14ac:dyDescent="0.25">
      <c r="A79" s="28" t="str">
        <f>'[6]bp-sp-Wom'!A68</f>
        <v>90+</v>
      </c>
      <c r="B79" s="16">
        <f>'[6]bp-sp-Wom'!B68</f>
        <v>0</v>
      </c>
      <c r="C79" s="16">
        <f>'[6]bp-sp-Wom'!C68</f>
        <v>0</v>
      </c>
      <c r="D79" s="16" t="str">
        <f t="shared" si="1"/>
        <v>0</v>
      </c>
      <c r="E79" s="16">
        <f>'[6]bp-sp-Wom'!D68</f>
        <v>0</v>
      </c>
      <c r="F79" s="17">
        <f>'[6]bp-sp-Wom'!E68</f>
        <v>0</v>
      </c>
      <c r="G79" s="51">
        <f>'[6]bp-sp-Wom'!F68</f>
        <v>0</v>
      </c>
    </row>
    <row r="80" spans="1:7" s="16" customFormat="1" x14ac:dyDescent="0.25">
      <c r="A80" s="28"/>
      <c r="B80" s="16">
        <f>'[6]bp-sp-Wom'!B69</f>
        <v>0</v>
      </c>
      <c r="C80" s="16">
        <f>'[6]bp-sp-Wom'!C69</f>
        <v>0</v>
      </c>
      <c r="D80" s="16" t="str">
        <f t="shared" si="1"/>
        <v>0</v>
      </c>
      <c r="E80" s="16">
        <f>'[6]bp-sp-Wom'!D69</f>
        <v>0</v>
      </c>
      <c r="F80" s="17">
        <f>'[6]bp-sp-Wom'!E69</f>
        <v>0</v>
      </c>
      <c r="G80" s="51">
        <f>'[6]bp-sp-Wom'!F69</f>
        <v>0</v>
      </c>
    </row>
    <row r="81" spans="1:7" s="11" customFormat="1" x14ac:dyDescent="0.25">
      <c r="A81" s="22" t="s">
        <v>0</v>
      </c>
      <c r="B81" s="11">
        <v>0</v>
      </c>
      <c r="C81" s="11">
        <v>40</v>
      </c>
      <c r="D81" s="11" t="str">
        <f>'[6]bp-sp-Wom'!C70</f>
        <v>МАСТЕРС - 1(40-44)</v>
      </c>
      <c r="F81" s="13"/>
      <c r="G81" s="30"/>
    </row>
    <row r="82" spans="1:7" s="16" customFormat="1" x14ac:dyDescent="0.25">
      <c r="A82" s="28">
        <f>'[6]bp-sp-Wom'!A71</f>
        <v>44</v>
      </c>
      <c r="B82" s="16">
        <f>'[6]bp-sp-Wom'!B71</f>
        <v>0</v>
      </c>
      <c r="C82" s="16">
        <f>'[6]bp-sp-Wom'!C71</f>
        <v>0</v>
      </c>
      <c r="D82" s="16" t="str">
        <f t="shared" si="1"/>
        <v>0</v>
      </c>
      <c r="E82" s="16">
        <f>'[6]bp-sp-Wom'!D71</f>
        <v>0</v>
      </c>
      <c r="F82" s="17">
        <f>'[6]bp-sp-Wom'!E71</f>
        <v>0</v>
      </c>
      <c r="G82" s="51">
        <f>'[6]bp-sp-Wom'!F71</f>
        <v>0</v>
      </c>
    </row>
    <row r="83" spans="1:7" s="16" customFormat="1" x14ac:dyDescent="0.25">
      <c r="A83" s="28">
        <f>'[6]bp-sp-Wom'!A72</f>
        <v>48</v>
      </c>
      <c r="B83" s="16">
        <f>'[6]bp-sp-Wom'!B72</f>
        <v>0</v>
      </c>
      <c r="C83" s="16">
        <f>'[6]bp-sp-Wom'!C72</f>
        <v>0</v>
      </c>
      <c r="D83" s="16" t="str">
        <f t="shared" si="1"/>
        <v>0</v>
      </c>
      <c r="E83" s="16">
        <f>'[6]bp-sp-Wom'!D72</f>
        <v>0</v>
      </c>
      <c r="F83" s="17">
        <f>'[6]bp-sp-Wom'!E72</f>
        <v>0</v>
      </c>
      <c r="G83" s="51">
        <f>'[6]bp-sp-Wom'!F72</f>
        <v>0</v>
      </c>
    </row>
    <row r="84" spans="1:7" s="16" customFormat="1" x14ac:dyDescent="0.25">
      <c r="A84" s="28">
        <f>'[6]bp-sp-Wom'!A73</f>
        <v>52</v>
      </c>
      <c r="B84" s="16">
        <f>'[6]bp-sp-Wom'!B73</f>
        <v>0</v>
      </c>
      <c r="C84" s="16">
        <f>'[6]bp-sp-Wom'!C73</f>
        <v>0</v>
      </c>
      <c r="D84" s="16" t="str">
        <f t="shared" si="1"/>
        <v>0</v>
      </c>
      <c r="E84" s="16">
        <f>'[6]bp-sp-Wom'!D73</f>
        <v>0</v>
      </c>
      <c r="F84" s="17">
        <f>'[6]bp-sp-Wom'!E73</f>
        <v>0</v>
      </c>
      <c r="G84" s="51">
        <f>'[6]bp-sp-Wom'!F73</f>
        <v>0</v>
      </c>
    </row>
    <row r="85" spans="1:7" s="16" customFormat="1" x14ac:dyDescent="0.25">
      <c r="A85" s="28">
        <f>'[6]bp-sp-Wom'!A74</f>
        <v>56</v>
      </c>
      <c r="B85" s="16">
        <f>'[6]bp-sp-Wom'!B74</f>
        <v>0</v>
      </c>
      <c r="C85" s="16">
        <f>'[6]bp-sp-Wom'!C74</f>
        <v>0</v>
      </c>
      <c r="D85" s="16" t="str">
        <f t="shared" si="1"/>
        <v>0</v>
      </c>
      <c r="E85" s="16">
        <f>'[6]bp-sp-Wom'!D74</f>
        <v>0</v>
      </c>
      <c r="F85" s="17">
        <f>'[6]bp-sp-Wom'!E74</f>
        <v>0</v>
      </c>
      <c r="G85" s="51">
        <f>'[6]bp-sp-Wom'!F74</f>
        <v>0</v>
      </c>
    </row>
    <row r="86" spans="1:7" s="16" customFormat="1" x14ac:dyDescent="0.25">
      <c r="A86" s="28">
        <f>'[6]bp-sp-Wom'!A75</f>
        <v>60</v>
      </c>
      <c r="B86" s="16">
        <f>'[6]bp-sp-Wom'!B75</f>
        <v>0</v>
      </c>
      <c r="C86" s="16">
        <f>'[6]bp-sp-Wom'!C75</f>
        <v>0</v>
      </c>
      <c r="D86" s="16" t="str">
        <f t="shared" si="1"/>
        <v>0</v>
      </c>
      <c r="E86" s="16">
        <f>'[6]bp-sp-Wom'!D75</f>
        <v>0</v>
      </c>
      <c r="F86" s="17">
        <f>'[6]bp-sp-Wom'!E75</f>
        <v>0</v>
      </c>
      <c r="G86" s="51">
        <f>'[6]bp-sp-Wom'!F75</f>
        <v>0</v>
      </c>
    </row>
    <row r="87" spans="1:7" s="16" customFormat="1" x14ac:dyDescent="0.25">
      <c r="A87" s="28" t="str">
        <f>'[6]bp-sp-Wom'!A76</f>
        <v>67.5</v>
      </c>
      <c r="B87" s="16">
        <f>'[6]bp-sp-Wom'!B76</f>
        <v>82.5</v>
      </c>
      <c r="C87" s="16" t="str">
        <f>'[6]bp-sp-Wom'!C76</f>
        <v>Nikolenko Anna/70</v>
      </c>
      <c r="D87" s="16" t="str">
        <f t="shared" si="1"/>
        <v>70</v>
      </c>
      <c r="E87" s="16" t="str">
        <f>'[6]bp-sp-Wom'!D76</f>
        <v>RUS</v>
      </c>
      <c r="F87" s="17">
        <f>'[6]bp-sp-Wom'!E76</f>
        <v>41439</v>
      </c>
      <c r="G87" s="51" t="str">
        <f>'[6]bp-sp-Wom'!F76</f>
        <v>Moscow</v>
      </c>
    </row>
    <row r="88" spans="1:7" s="16" customFormat="1" x14ac:dyDescent="0.25">
      <c r="A88" s="28">
        <f>'[6]bp-sp-Wom'!A77</f>
        <v>75</v>
      </c>
      <c r="B88" s="16">
        <f>'[6]bp-sp-Wom'!B77</f>
        <v>0</v>
      </c>
      <c r="C88" s="16">
        <f>'[6]bp-sp-Wom'!C77</f>
        <v>0</v>
      </c>
      <c r="D88" s="16" t="str">
        <f t="shared" si="1"/>
        <v>0</v>
      </c>
      <c r="E88" s="16">
        <f>'[6]bp-sp-Wom'!D77</f>
        <v>0</v>
      </c>
      <c r="F88" s="17">
        <f>'[6]bp-sp-Wom'!E77</f>
        <v>0</v>
      </c>
      <c r="G88" s="51">
        <f>'[6]bp-sp-Wom'!F77</f>
        <v>0</v>
      </c>
    </row>
    <row r="89" spans="1:7" s="16" customFormat="1" x14ac:dyDescent="0.25">
      <c r="A89" s="28">
        <f>'[6]bp-sp-Wom'!A78</f>
        <v>82.5</v>
      </c>
      <c r="B89" s="16">
        <f>'[6]bp-sp-Wom'!B78</f>
        <v>0</v>
      </c>
      <c r="C89" s="16">
        <f>'[6]bp-sp-Wom'!C78</f>
        <v>0</v>
      </c>
      <c r="D89" s="16" t="str">
        <f t="shared" si="1"/>
        <v>0</v>
      </c>
      <c r="E89" s="16">
        <f>'[6]bp-sp-Wom'!D78</f>
        <v>0</v>
      </c>
      <c r="F89" s="17">
        <f>'[6]bp-sp-Wom'!E78</f>
        <v>0</v>
      </c>
      <c r="G89" s="51">
        <f>'[6]bp-sp-Wom'!F78</f>
        <v>0</v>
      </c>
    </row>
    <row r="90" spans="1:7" s="16" customFormat="1" x14ac:dyDescent="0.25">
      <c r="A90" s="28">
        <f>'[6]bp-sp-Wom'!A79</f>
        <v>90</v>
      </c>
      <c r="B90" s="16">
        <f>'[6]bp-sp-Wom'!B79</f>
        <v>0</v>
      </c>
      <c r="C90" s="16">
        <f>'[6]bp-sp-Wom'!C79</f>
        <v>0</v>
      </c>
      <c r="D90" s="16" t="str">
        <f t="shared" si="1"/>
        <v>0</v>
      </c>
      <c r="E90" s="16">
        <f>'[6]bp-sp-Wom'!D79</f>
        <v>0</v>
      </c>
      <c r="F90" s="17">
        <f>'[6]bp-sp-Wom'!E79</f>
        <v>0</v>
      </c>
      <c r="G90" s="51">
        <f>'[6]bp-sp-Wom'!F79</f>
        <v>0</v>
      </c>
    </row>
    <row r="91" spans="1:7" s="16" customFormat="1" x14ac:dyDescent="0.25">
      <c r="A91" s="28" t="str">
        <f>'[6]bp-sp-Wom'!A80</f>
        <v>90+</v>
      </c>
      <c r="B91" s="16">
        <f>'[6]bp-sp-Wom'!B80</f>
        <v>0</v>
      </c>
      <c r="C91" s="16">
        <f>'[6]bp-sp-Wom'!C80</f>
        <v>0</v>
      </c>
      <c r="D91" s="16" t="str">
        <f t="shared" si="1"/>
        <v>0</v>
      </c>
      <c r="E91" s="16">
        <f>'[6]bp-sp-Wom'!D80</f>
        <v>0</v>
      </c>
      <c r="F91" s="17">
        <f>'[6]bp-sp-Wom'!E80</f>
        <v>0</v>
      </c>
      <c r="G91" s="51">
        <f>'[6]bp-sp-Wom'!F80</f>
        <v>0</v>
      </c>
    </row>
    <row r="92" spans="1:7" s="16" customFormat="1" x14ac:dyDescent="0.25">
      <c r="A92" s="28"/>
      <c r="B92" s="16">
        <f>'[6]bp-sp-Wom'!B81</f>
        <v>0</v>
      </c>
      <c r="C92" s="16">
        <f>'[6]bp-sp-Wom'!C81</f>
        <v>0</v>
      </c>
      <c r="D92" s="16" t="str">
        <f t="shared" si="1"/>
        <v>0</v>
      </c>
      <c r="E92" s="16">
        <f>'[6]bp-sp-Wom'!D81</f>
        <v>0</v>
      </c>
      <c r="F92" s="17">
        <f>'[6]bp-sp-Wom'!E81</f>
        <v>0</v>
      </c>
      <c r="G92" s="51">
        <f>'[6]bp-sp-Wom'!F81</f>
        <v>0</v>
      </c>
    </row>
    <row r="93" spans="1:7" s="11" customFormat="1" x14ac:dyDescent="0.25">
      <c r="A93" s="22" t="s">
        <v>0</v>
      </c>
      <c r="B93" s="11">
        <v>0</v>
      </c>
      <c r="C93" s="11">
        <v>45</v>
      </c>
      <c r="D93" s="11" t="str">
        <f>'[6]bp-sp-Wom'!C82</f>
        <v>МАСТЕРС -2(45-49)</v>
      </c>
      <c r="F93" s="13"/>
      <c r="G93" s="30"/>
    </row>
    <row r="94" spans="1:7" s="16" customFormat="1" x14ac:dyDescent="0.25">
      <c r="A94" s="28">
        <f>'[6]bp-sp-Wom'!A83</f>
        <v>44</v>
      </c>
      <c r="B94" s="16">
        <f>'[6]bp-sp-Wom'!B83</f>
        <v>0</v>
      </c>
      <c r="C94" s="16">
        <f>'[6]bp-sp-Wom'!C83</f>
        <v>0</v>
      </c>
      <c r="D94" s="16" t="str">
        <f t="shared" si="1"/>
        <v>0</v>
      </c>
      <c r="E94" s="16">
        <f>'[6]bp-sp-Wom'!D83</f>
        <v>0</v>
      </c>
      <c r="F94" s="17">
        <f>'[6]bp-sp-Wom'!E83</f>
        <v>0</v>
      </c>
      <c r="G94" s="51">
        <f>'[6]bp-sp-Wom'!F83</f>
        <v>0</v>
      </c>
    </row>
    <row r="95" spans="1:7" s="16" customFormat="1" x14ac:dyDescent="0.25">
      <c r="A95" s="28">
        <f>'[6]bp-sp-Wom'!A84</f>
        <v>48</v>
      </c>
      <c r="B95" s="16">
        <f>'[6]bp-sp-Wom'!B84</f>
        <v>65</v>
      </c>
      <c r="C95" s="16" t="str">
        <f>'[6]bp-sp-Wom'!C84</f>
        <v>Marieva Natalya/68</v>
      </c>
      <c r="D95" s="16" t="str">
        <f t="shared" si="1"/>
        <v>68</v>
      </c>
      <c r="E95" s="16" t="str">
        <f>'[6]bp-sp-Wom'!D84</f>
        <v>RUS</v>
      </c>
      <c r="F95" s="17" t="str">
        <f>'[6]bp-sp-Wom'!E84</f>
        <v>30.05.2014</v>
      </c>
      <c r="G95" s="51" t="str">
        <f>'[6]bp-sp-Wom'!F84</f>
        <v>Kursk</v>
      </c>
    </row>
    <row r="96" spans="1:7" s="16" customFormat="1" x14ac:dyDescent="0.25">
      <c r="A96" s="28">
        <f>'[6]bp-sp-Wom'!A85</f>
        <v>52</v>
      </c>
      <c r="B96" s="16">
        <f>'[6]bp-sp-Wom'!B85</f>
        <v>0</v>
      </c>
      <c r="C96" s="16">
        <f>'[6]bp-sp-Wom'!C85</f>
        <v>0</v>
      </c>
      <c r="D96" s="16" t="str">
        <f t="shared" si="1"/>
        <v>0</v>
      </c>
      <c r="E96" s="16">
        <f>'[6]bp-sp-Wom'!D85</f>
        <v>0</v>
      </c>
      <c r="F96" s="17">
        <f>'[6]bp-sp-Wom'!E85</f>
        <v>0</v>
      </c>
      <c r="G96" s="51">
        <f>'[6]bp-sp-Wom'!F85</f>
        <v>0</v>
      </c>
    </row>
    <row r="97" spans="1:7" s="16" customFormat="1" x14ac:dyDescent="0.25">
      <c r="A97" s="28">
        <f>'[6]bp-sp-Wom'!A86</f>
        <v>56</v>
      </c>
      <c r="B97" s="16">
        <f>'[6]bp-sp-Wom'!B86</f>
        <v>0</v>
      </c>
      <c r="C97" s="16">
        <f>'[6]bp-sp-Wom'!C86</f>
        <v>0</v>
      </c>
      <c r="D97" s="16" t="str">
        <f t="shared" ref="D97:D132" si="2">RIGHT(C97,2)</f>
        <v>0</v>
      </c>
      <c r="E97" s="16">
        <f>'[6]bp-sp-Wom'!D86</f>
        <v>0</v>
      </c>
      <c r="F97" s="17">
        <f>'[6]bp-sp-Wom'!E86</f>
        <v>0</v>
      </c>
      <c r="G97" s="51">
        <f>'[6]bp-sp-Wom'!F86</f>
        <v>0</v>
      </c>
    </row>
    <row r="98" spans="1:7" s="16" customFormat="1" x14ac:dyDescent="0.25">
      <c r="A98" s="28">
        <f>'[6]bp-sp-Wom'!A87</f>
        <v>60</v>
      </c>
      <c r="B98" s="16">
        <f>'[6]bp-sp-Wom'!B87</f>
        <v>0</v>
      </c>
      <c r="C98" s="16">
        <f>'[6]bp-sp-Wom'!C87</f>
        <v>0</v>
      </c>
      <c r="D98" s="16" t="str">
        <f t="shared" si="2"/>
        <v>0</v>
      </c>
      <c r="E98" s="16">
        <f>'[6]bp-sp-Wom'!D87</f>
        <v>0</v>
      </c>
      <c r="F98" s="17">
        <f>'[6]bp-sp-Wom'!E87</f>
        <v>0</v>
      </c>
      <c r="G98" s="51">
        <f>'[6]bp-sp-Wom'!F87</f>
        <v>0</v>
      </c>
    </row>
    <row r="99" spans="1:7" s="16" customFormat="1" x14ac:dyDescent="0.25">
      <c r="A99" s="28" t="str">
        <f>'[6]bp-sp-Wom'!A88</f>
        <v>67.5</v>
      </c>
      <c r="B99" s="16">
        <f>'[6]bp-sp-Wom'!B88</f>
        <v>0</v>
      </c>
      <c r="C99" s="16">
        <f>'[6]bp-sp-Wom'!C88</f>
        <v>0</v>
      </c>
      <c r="D99" s="16" t="str">
        <f t="shared" si="2"/>
        <v>0</v>
      </c>
      <c r="E99" s="16">
        <f>'[6]bp-sp-Wom'!D88</f>
        <v>0</v>
      </c>
      <c r="F99" s="17">
        <f>'[6]bp-sp-Wom'!E88</f>
        <v>0</v>
      </c>
      <c r="G99" s="51">
        <f>'[6]bp-sp-Wom'!F88</f>
        <v>0</v>
      </c>
    </row>
    <row r="100" spans="1:7" s="16" customFormat="1" x14ac:dyDescent="0.25">
      <c r="A100" s="28">
        <f>'[6]bp-sp-Wom'!A89</f>
        <v>75</v>
      </c>
      <c r="B100" s="16">
        <f>'[6]bp-sp-Wom'!B89</f>
        <v>0</v>
      </c>
      <c r="C100" s="16">
        <f>'[6]bp-sp-Wom'!C89</f>
        <v>0</v>
      </c>
      <c r="D100" s="16" t="str">
        <f t="shared" si="2"/>
        <v>0</v>
      </c>
      <c r="E100" s="16">
        <f>'[6]bp-sp-Wom'!D89</f>
        <v>0</v>
      </c>
      <c r="F100" s="17">
        <f>'[6]bp-sp-Wom'!E89</f>
        <v>0</v>
      </c>
      <c r="G100" s="51">
        <f>'[6]bp-sp-Wom'!F89</f>
        <v>0</v>
      </c>
    </row>
    <row r="101" spans="1:7" s="16" customFormat="1" x14ac:dyDescent="0.25">
      <c r="A101" s="28">
        <f>'[6]bp-sp-Wom'!A90</f>
        <v>82.5</v>
      </c>
      <c r="B101" s="16">
        <f>'[6]bp-sp-Wom'!B90</f>
        <v>0</v>
      </c>
      <c r="C101" s="16">
        <f>'[6]bp-sp-Wom'!C90</f>
        <v>0</v>
      </c>
      <c r="D101" s="16" t="str">
        <f t="shared" si="2"/>
        <v>0</v>
      </c>
      <c r="E101" s="16">
        <f>'[6]bp-sp-Wom'!D90</f>
        <v>0</v>
      </c>
      <c r="F101" s="17">
        <f>'[6]bp-sp-Wom'!E90</f>
        <v>0</v>
      </c>
      <c r="G101" s="51">
        <f>'[6]bp-sp-Wom'!F90</f>
        <v>0</v>
      </c>
    </row>
    <row r="102" spans="1:7" s="16" customFormat="1" x14ac:dyDescent="0.25">
      <c r="A102" s="28">
        <f>'[6]bp-sp-Wom'!A91</f>
        <v>90</v>
      </c>
      <c r="B102" s="16">
        <f>'[6]bp-sp-Wom'!B91</f>
        <v>0</v>
      </c>
      <c r="C102" s="16">
        <f>'[6]bp-sp-Wom'!C91</f>
        <v>0</v>
      </c>
      <c r="D102" s="16" t="str">
        <f t="shared" si="2"/>
        <v>0</v>
      </c>
      <c r="E102" s="16">
        <f>'[6]bp-sp-Wom'!D91</f>
        <v>0</v>
      </c>
      <c r="F102" s="17">
        <f>'[6]bp-sp-Wom'!E91</f>
        <v>0</v>
      </c>
      <c r="G102" s="51">
        <f>'[6]bp-sp-Wom'!F91</f>
        <v>0</v>
      </c>
    </row>
    <row r="103" spans="1:7" s="16" customFormat="1" x14ac:dyDescent="0.25">
      <c r="A103" s="28" t="str">
        <f>'[6]bp-sp-Wom'!A92</f>
        <v>90+</v>
      </c>
      <c r="B103" s="16">
        <f>'[6]bp-sp-Wom'!B92</f>
        <v>0</v>
      </c>
      <c r="C103" s="16">
        <f>'[6]bp-sp-Wom'!C92</f>
        <v>0</v>
      </c>
      <c r="D103" s="16" t="str">
        <f t="shared" si="2"/>
        <v>0</v>
      </c>
      <c r="E103" s="16">
        <f>'[6]bp-sp-Wom'!D92</f>
        <v>0</v>
      </c>
      <c r="F103" s="17">
        <f>'[6]bp-sp-Wom'!E92</f>
        <v>0</v>
      </c>
      <c r="G103" s="51">
        <f>'[6]bp-sp-Wom'!F92</f>
        <v>0</v>
      </c>
    </row>
    <row r="104" spans="1:7" s="16" customFormat="1" x14ac:dyDescent="0.25">
      <c r="A104" s="28"/>
      <c r="F104" s="17"/>
      <c r="G104" s="51"/>
    </row>
    <row r="105" spans="1:7" s="11" customFormat="1" x14ac:dyDescent="0.25">
      <c r="A105" s="22" t="s">
        <v>0</v>
      </c>
      <c r="B105" s="11">
        <v>0</v>
      </c>
      <c r="C105" s="11">
        <v>50</v>
      </c>
      <c r="D105" s="11" t="str">
        <f>'[6]bp-sp-Wom'!C93</f>
        <v>МАСТЕРС -3(50-54)</v>
      </c>
      <c r="F105" s="13"/>
      <c r="G105" s="30"/>
    </row>
    <row r="106" spans="1:7" s="16" customFormat="1" x14ac:dyDescent="0.25">
      <c r="A106" s="28">
        <f>'[6]bp-sp-Wom'!A94</f>
        <v>44</v>
      </c>
      <c r="B106" s="16">
        <f>'[6]bp-sp-Wom'!B94</f>
        <v>0</v>
      </c>
      <c r="C106" s="16">
        <f>'[6]bp-sp-Wom'!C94</f>
        <v>0</v>
      </c>
      <c r="D106" s="16" t="str">
        <f t="shared" si="2"/>
        <v>0</v>
      </c>
      <c r="E106" s="16">
        <f>'[6]bp-sp-Wom'!D94</f>
        <v>0</v>
      </c>
      <c r="F106" s="17">
        <f>'[6]bp-sp-Wom'!E94</f>
        <v>0</v>
      </c>
      <c r="G106" s="51">
        <f>'[6]bp-sp-Wom'!F94</f>
        <v>0</v>
      </c>
    </row>
    <row r="107" spans="1:7" s="16" customFormat="1" x14ac:dyDescent="0.25">
      <c r="A107" s="28">
        <f>'[6]bp-sp-Wom'!A95</f>
        <v>48</v>
      </c>
      <c r="B107" s="16">
        <f>'[6]bp-sp-Wom'!B95</f>
        <v>0</v>
      </c>
      <c r="C107" s="16">
        <f>'[6]bp-sp-Wom'!C95</f>
        <v>0</v>
      </c>
      <c r="D107" s="16" t="str">
        <f t="shared" si="2"/>
        <v>0</v>
      </c>
      <c r="E107" s="16">
        <f>'[6]bp-sp-Wom'!D95</f>
        <v>0</v>
      </c>
      <c r="F107" s="17">
        <f>'[6]bp-sp-Wom'!E95</f>
        <v>0</v>
      </c>
      <c r="G107" s="51">
        <f>'[6]bp-sp-Wom'!F95</f>
        <v>0</v>
      </c>
    </row>
    <row r="108" spans="1:7" s="16" customFormat="1" x14ac:dyDescent="0.25">
      <c r="A108" s="28">
        <f>'[6]bp-sp-Wom'!A96</f>
        <v>52</v>
      </c>
      <c r="B108" s="16">
        <f>'[6]bp-sp-Wom'!B96</f>
        <v>0</v>
      </c>
      <c r="C108" s="16">
        <f>'[6]bp-sp-Wom'!C96</f>
        <v>0</v>
      </c>
      <c r="D108" s="16" t="str">
        <f t="shared" si="2"/>
        <v>0</v>
      </c>
      <c r="E108" s="16">
        <f>'[6]bp-sp-Wom'!D96</f>
        <v>0</v>
      </c>
      <c r="F108" s="17">
        <f>'[6]bp-sp-Wom'!E96</f>
        <v>0</v>
      </c>
      <c r="G108" s="51">
        <f>'[6]bp-sp-Wom'!F96</f>
        <v>0</v>
      </c>
    </row>
    <row r="109" spans="1:7" s="16" customFormat="1" x14ac:dyDescent="0.25">
      <c r="A109" s="28">
        <f>'[6]bp-sp-Wom'!A97</f>
        <v>56</v>
      </c>
      <c r="B109" s="16">
        <f>'[6]bp-sp-Wom'!B97</f>
        <v>0</v>
      </c>
      <c r="C109" s="16">
        <f>'[6]bp-sp-Wom'!C97</f>
        <v>0</v>
      </c>
      <c r="D109" s="16" t="str">
        <f t="shared" si="2"/>
        <v>0</v>
      </c>
      <c r="E109" s="16">
        <f>'[6]bp-sp-Wom'!D97</f>
        <v>0</v>
      </c>
      <c r="F109" s="17">
        <f>'[6]bp-sp-Wom'!E97</f>
        <v>0</v>
      </c>
      <c r="G109" s="51">
        <f>'[6]bp-sp-Wom'!F97</f>
        <v>0</v>
      </c>
    </row>
    <row r="110" spans="1:7" s="16" customFormat="1" x14ac:dyDescent="0.25">
      <c r="A110" s="28">
        <f>'[6]bp-sp-Wom'!A98</f>
        <v>60</v>
      </c>
      <c r="B110" s="16">
        <f>'[6]bp-sp-Wom'!B98</f>
        <v>0</v>
      </c>
      <c r="C110" s="16">
        <f>'[6]bp-sp-Wom'!C98</f>
        <v>0</v>
      </c>
      <c r="D110" s="16" t="str">
        <f t="shared" si="2"/>
        <v>0</v>
      </c>
      <c r="E110" s="16">
        <f>'[6]bp-sp-Wom'!D98</f>
        <v>0</v>
      </c>
      <c r="F110" s="17">
        <f>'[6]bp-sp-Wom'!E98</f>
        <v>0</v>
      </c>
      <c r="G110" s="51">
        <f>'[6]bp-sp-Wom'!F98</f>
        <v>0</v>
      </c>
    </row>
    <row r="111" spans="1:7" s="16" customFormat="1" x14ac:dyDescent="0.25">
      <c r="A111" s="28" t="str">
        <f>'[6]bp-sp-Wom'!A99</f>
        <v>67.5</v>
      </c>
      <c r="B111" s="16">
        <f>'[6]bp-sp-Wom'!B99</f>
        <v>0</v>
      </c>
      <c r="C111" s="16">
        <f>'[6]bp-sp-Wom'!C99</f>
        <v>0</v>
      </c>
      <c r="D111" s="16" t="str">
        <f t="shared" si="2"/>
        <v>0</v>
      </c>
      <c r="E111" s="16">
        <f>'[6]bp-sp-Wom'!D99</f>
        <v>0</v>
      </c>
      <c r="F111" s="17">
        <f>'[6]bp-sp-Wom'!E99</f>
        <v>0</v>
      </c>
      <c r="G111" s="51">
        <f>'[6]bp-sp-Wom'!F99</f>
        <v>0</v>
      </c>
    </row>
    <row r="112" spans="1:7" s="16" customFormat="1" x14ac:dyDescent="0.25">
      <c r="A112" s="28">
        <f>'[6]bp-sp-Wom'!A100</f>
        <v>75</v>
      </c>
      <c r="B112" s="16">
        <f>'[6]bp-sp-Wom'!B100</f>
        <v>0</v>
      </c>
      <c r="C112" s="16">
        <f>'[6]bp-sp-Wom'!C100</f>
        <v>0</v>
      </c>
      <c r="D112" s="16" t="str">
        <f t="shared" si="2"/>
        <v>0</v>
      </c>
      <c r="E112" s="16">
        <f>'[6]bp-sp-Wom'!D100</f>
        <v>0</v>
      </c>
      <c r="F112" s="17">
        <f>'[6]bp-sp-Wom'!E100</f>
        <v>0</v>
      </c>
      <c r="G112" s="51">
        <f>'[6]bp-sp-Wom'!F100</f>
        <v>0</v>
      </c>
    </row>
    <row r="113" spans="1:7" s="16" customFormat="1" x14ac:dyDescent="0.25">
      <c r="A113" s="28">
        <f>'[6]bp-sp-Wom'!A101</f>
        <v>82.5</v>
      </c>
      <c r="B113" s="16">
        <f>'[6]bp-sp-Wom'!B101</f>
        <v>0</v>
      </c>
      <c r="C113" s="16">
        <f>'[6]bp-sp-Wom'!C101</f>
        <v>0</v>
      </c>
      <c r="D113" s="16" t="str">
        <f t="shared" si="2"/>
        <v>0</v>
      </c>
      <c r="E113" s="16">
        <f>'[6]bp-sp-Wom'!D101</f>
        <v>0</v>
      </c>
      <c r="F113" s="17">
        <f>'[6]bp-sp-Wom'!E101</f>
        <v>0</v>
      </c>
      <c r="G113" s="51">
        <f>'[6]bp-sp-Wom'!F101</f>
        <v>0</v>
      </c>
    </row>
    <row r="114" spans="1:7" s="16" customFormat="1" x14ac:dyDescent="0.25">
      <c r="A114" s="28">
        <f>'[6]bp-sp-Wom'!A102</f>
        <v>90</v>
      </c>
      <c r="B114" s="16">
        <f>'[6]bp-sp-Wom'!B102</f>
        <v>0</v>
      </c>
      <c r="C114" s="16">
        <f>'[6]bp-sp-Wom'!C102</f>
        <v>0</v>
      </c>
      <c r="D114" s="16" t="str">
        <f t="shared" si="2"/>
        <v>0</v>
      </c>
      <c r="E114" s="16">
        <f>'[6]bp-sp-Wom'!D102</f>
        <v>0</v>
      </c>
      <c r="F114" s="17">
        <f>'[6]bp-sp-Wom'!E102</f>
        <v>0</v>
      </c>
      <c r="G114" s="51">
        <f>'[6]bp-sp-Wom'!F102</f>
        <v>0</v>
      </c>
    </row>
    <row r="115" spans="1:7" s="16" customFormat="1" x14ac:dyDescent="0.25">
      <c r="A115" s="28" t="str">
        <f>'[6]bp-sp-Wom'!A103</f>
        <v>90+</v>
      </c>
      <c r="B115" s="16">
        <f>'[6]bp-sp-Wom'!B103</f>
        <v>0</v>
      </c>
      <c r="C115" s="16">
        <f>'[6]bp-sp-Wom'!C103</f>
        <v>0</v>
      </c>
      <c r="D115" s="16" t="str">
        <f t="shared" si="2"/>
        <v>0</v>
      </c>
      <c r="E115" s="16">
        <f>'[6]bp-sp-Wom'!D103</f>
        <v>0</v>
      </c>
      <c r="F115" s="17">
        <f>'[6]bp-sp-Wom'!E103</f>
        <v>0</v>
      </c>
      <c r="G115" s="51">
        <f>'[6]bp-sp-Wom'!F103</f>
        <v>0</v>
      </c>
    </row>
    <row r="116" spans="1:7" s="16" customFormat="1" x14ac:dyDescent="0.25">
      <c r="A116" s="28"/>
      <c r="F116" s="17"/>
      <c r="G116" s="51"/>
    </row>
    <row r="117" spans="1:7" s="11" customFormat="1" x14ac:dyDescent="0.25">
      <c r="A117" s="22" t="s">
        <v>0</v>
      </c>
      <c r="B117" s="11">
        <v>0</v>
      </c>
      <c r="C117" s="11">
        <v>55</v>
      </c>
      <c r="D117" s="11" t="str">
        <f>'[6]bp-sp-Wom'!C104</f>
        <v>МАСТЕРС -4(55-59)</v>
      </c>
      <c r="F117" s="13"/>
      <c r="G117" s="30"/>
    </row>
    <row r="118" spans="1:7" s="16" customFormat="1" x14ac:dyDescent="0.25">
      <c r="A118" s="28">
        <f>'[6]bp-sp-Wom'!A105</f>
        <v>44</v>
      </c>
      <c r="B118" s="16">
        <f>'[6]bp-sp-Wom'!B105</f>
        <v>0</v>
      </c>
      <c r="C118" s="16">
        <f>'[6]bp-sp-Wom'!C105</f>
        <v>0</v>
      </c>
      <c r="D118" s="16" t="str">
        <f t="shared" si="2"/>
        <v>0</v>
      </c>
      <c r="E118" s="16">
        <f>'[6]bp-sp-Wom'!D105</f>
        <v>0</v>
      </c>
      <c r="F118" s="17">
        <f>'[6]bp-sp-Wom'!E105</f>
        <v>0</v>
      </c>
      <c r="G118" s="51">
        <f>'[6]bp-sp-Wom'!F105</f>
        <v>0</v>
      </c>
    </row>
    <row r="119" spans="1:7" s="16" customFormat="1" x14ac:dyDescent="0.25">
      <c r="A119" s="28">
        <f>'[6]bp-sp-Wom'!A106</f>
        <v>48</v>
      </c>
      <c r="B119" s="16">
        <f>'[6]bp-sp-Wom'!B106</f>
        <v>0</v>
      </c>
      <c r="C119" s="16">
        <f>'[6]bp-sp-Wom'!C106</f>
        <v>0</v>
      </c>
      <c r="D119" s="16" t="str">
        <f t="shared" si="2"/>
        <v>0</v>
      </c>
      <c r="E119" s="16">
        <f>'[6]bp-sp-Wom'!D106</f>
        <v>0</v>
      </c>
      <c r="F119" s="17">
        <f>'[6]bp-sp-Wom'!E106</f>
        <v>0</v>
      </c>
      <c r="G119" s="51">
        <f>'[6]bp-sp-Wom'!F106</f>
        <v>0</v>
      </c>
    </row>
    <row r="120" spans="1:7" s="16" customFormat="1" x14ac:dyDescent="0.25">
      <c r="A120" s="28">
        <f>'[6]bp-sp-Wom'!A107</f>
        <v>52</v>
      </c>
      <c r="B120" s="16">
        <f>'[6]bp-sp-Wom'!B107</f>
        <v>0</v>
      </c>
      <c r="C120" s="16">
        <f>'[6]bp-sp-Wom'!C107</f>
        <v>0</v>
      </c>
      <c r="D120" s="16" t="str">
        <f t="shared" si="2"/>
        <v>0</v>
      </c>
      <c r="E120" s="16">
        <f>'[6]bp-sp-Wom'!D107</f>
        <v>0</v>
      </c>
      <c r="F120" s="17">
        <f>'[6]bp-sp-Wom'!E107</f>
        <v>0</v>
      </c>
      <c r="G120" s="51">
        <f>'[6]bp-sp-Wom'!F107</f>
        <v>0</v>
      </c>
    </row>
    <row r="121" spans="1:7" s="16" customFormat="1" x14ac:dyDescent="0.25">
      <c r="A121" s="28">
        <f>'[6]bp-sp-Wom'!A108</f>
        <v>56</v>
      </c>
      <c r="B121" s="16">
        <f>'[6]bp-sp-Wom'!B108</f>
        <v>0</v>
      </c>
      <c r="C121" s="16">
        <f>'[6]bp-sp-Wom'!C108</f>
        <v>0</v>
      </c>
      <c r="D121" s="16" t="str">
        <f t="shared" si="2"/>
        <v>0</v>
      </c>
      <c r="E121" s="16">
        <f>'[6]bp-sp-Wom'!D108</f>
        <v>0</v>
      </c>
      <c r="F121" s="17">
        <f>'[6]bp-sp-Wom'!E108</f>
        <v>0</v>
      </c>
      <c r="G121" s="51">
        <f>'[6]bp-sp-Wom'!F108</f>
        <v>0</v>
      </c>
    </row>
    <row r="122" spans="1:7" s="16" customFormat="1" x14ac:dyDescent="0.25">
      <c r="A122" s="28">
        <f>'[6]bp-sp-Wom'!A109</f>
        <v>60</v>
      </c>
      <c r="B122" s="16">
        <f>'[6]bp-sp-Wom'!B109</f>
        <v>0</v>
      </c>
      <c r="C122" s="16">
        <f>'[6]bp-sp-Wom'!C109</f>
        <v>0</v>
      </c>
      <c r="D122" s="16" t="str">
        <f t="shared" si="2"/>
        <v>0</v>
      </c>
      <c r="E122" s="16">
        <f>'[6]bp-sp-Wom'!D109</f>
        <v>0</v>
      </c>
      <c r="F122" s="17">
        <f>'[6]bp-sp-Wom'!E109</f>
        <v>0</v>
      </c>
      <c r="G122" s="51">
        <f>'[6]bp-sp-Wom'!F109</f>
        <v>0</v>
      </c>
    </row>
    <row r="123" spans="1:7" s="16" customFormat="1" x14ac:dyDescent="0.25">
      <c r="A123" s="28" t="str">
        <f>'[6]bp-sp-Wom'!A110</f>
        <v>67.5</v>
      </c>
      <c r="B123" s="16">
        <f>'[6]bp-sp-Wom'!B110</f>
        <v>0</v>
      </c>
      <c r="C123" s="16">
        <f>'[6]bp-sp-Wom'!C110</f>
        <v>0</v>
      </c>
      <c r="D123" s="16" t="str">
        <f t="shared" si="2"/>
        <v>0</v>
      </c>
      <c r="E123" s="16">
        <f>'[6]bp-sp-Wom'!D110</f>
        <v>0</v>
      </c>
      <c r="F123" s="17">
        <f>'[6]bp-sp-Wom'!E110</f>
        <v>0</v>
      </c>
      <c r="G123" s="51">
        <f>'[6]bp-sp-Wom'!F110</f>
        <v>0</v>
      </c>
    </row>
    <row r="124" spans="1:7" s="16" customFormat="1" x14ac:dyDescent="0.25">
      <c r="A124" s="28">
        <f>'[6]bp-sp-Wom'!A111</f>
        <v>75</v>
      </c>
      <c r="B124" s="16">
        <f>'[6]bp-sp-Wom'!B111</f>
        <v>0</v>
      </c>
      <c r="C124" s="16">
        <f>'[6]bp-sp-Wom'!C111</f>
        <v>0</v>
      </c>
      <c r="D124" s="16" t="str">
        <f t="shared" si="2"/>
        <v>0</v>
      </c>
      <c r="E124" s="16">
        <f>'[6]bp-sp-Wom'!D111</f>
        <v>0</v>
      </c>
      <c r="F124" s="17">
        <f>'[6]bp-sp-Wom'!E111</f>
        <v>0</v>
      </c>
      <c r="G124" s="51">
        <f>'[6]bp-sp-Wom'!F111</f>
        <v>0</v>
      </c>
    </row>
    <row r="125" spans="1:7" s="16" customFormat="1" x14ac:dyDescent="0.25">
      <c r="A125" s="28">
        <f>'[6]bp-sp-Wom'!A112</f>
        <v>82.5</v>
      </c>
      <c r="B125" s="16">
        <f>'[6]bp-sp-Wom'!B112</f>
        <v>0</v>
      </c>
      <c r="C125" s="16">
        <f>'[6]bp-sp-Wom'!C112</f>
        <v>0</v>
      </c>
      <c r="D125" s="16" t="str">
        <f t="shared" si="2"/>
        <v>0</v>
      </c>
      <c r="E125" s="16">
        <f>'[6]bp-sp-Wom'!D112</f>
        <v>0</v>
      </c>
      <c r="F125" s="17">
        <f>'[6]bp-sp-Wom'!E112</f>
        <v>0</v>
      </c>
      <c r="G125" s="51">
        <f>'[6]bp-sp-Wom'!F112</f>
        <v>0</v>
      </c>
    </row>
    <row r="126" spans="1:7" s="16" customFormat="1" x14ac:dyDescent="0.25">
      <c r="A126" s="28">
        <f>'[6]bp-sp-Wom'!A113</f>
        <v>90</v>
      </c>
      <c r="B126" s="16">
        <f>'[6]bp-sp-Wom'!B113</f>
        <v>0</v>
      </c>
      <c r="C126" s="16">
        <f>'[6]bp-sp-Wom'!C113</f>
        <v>0</v>
      </c>
      <c r="D126" s="16" t="str">
        <f t="shared" si="2"/>
        <v>0</v>
      </c>
      <c r="E126" s="16">
        <f>'[6]bp-sp-Wom'!D113</f>
        <v>0</v>
      </c>
      <c r="F126" s="17">
        <f>'[6]bp-sp-Wom'!E113</f>
        <v>0</v>
      </c>
      <c r="G126" s="51">
        <f>'[6]bp-sp-Wom'!F113</f>
        <v>0</v>
      </c>
    </row>
    <row r="127" spans="1:7" s="16" customFormat="1" x14ac:dyDescent="0.25">
      <c r="A127" s="28" t="str">
        <f>'[6]bp-sp-Wom'!A114</f>
        <v>90+</v>
      </c>
      <c r="B127" s="16">
        <f>'[6]bp-sp-Wom'!B114</f>
        <v>0</v>
      </c>
      <c r="C127" s="16">
        <f>'[6]bp-sp-Wom'!C114</f>
        <v>0</v>
      </c>
      <c r="D127" s="16" t="str">
        <f t="shared" si="2"/>
        <v>0</v>
      </c>
      <c r="E127" s="16">
        <f>'[6]bp-sp-Wom'!D114</f>
        <v>0</v>
      </c>
      <c r="F127" s="17">
        <f>'[6]bp-sp-Wom'!E114</f>
        <v>0</v>
      </c>
      <c r="G127" s="51">
        <f>'[6]bp-sp-Wom'!F114</f>
        <v>0</v>
      </c>
    </row>
    <row r="128" spans="1:7" s="16" customFormat="1" x14ac:dyDescent="0.25">
      <c r="A128" s="28">
        <f>'[6]bp-sp-Wom'!A115</f>
        <v>0</v>
      </c>
      <c r="B128" s="16">
        <f>'[6]bp-sp-Wom'!B115</f>
        <v>0</v>
      </c>
      <c r="C128" s="16">
        <f>'[6]bp-sp-Wom'!C115</f>
        <v>0</v>
      </c>
      <c r="D128" s="16" t="str">
        <f t="shared" si="2"/>
        <v>0</v>
      </c>
      <c r="E128" s="16">
        <f>'[6]bp-sp-Wom'!D115</f>
        <v>0</v>
      </c>
      <c r="F128" s="17">
        <f>'[6]bp-sp-Wom'!E115</f>
        <v>0</v>
      </c>
      <c r="G128" s="51">
        <f>'[6]bp-sp-Wom'!F115</f>
        <v>0</v>
      </c>
    </row>
    <row r="129" spans="1:7" s="16" customFormat="1" x14ac:dyDescent="0.25">
      <c r="A129" s="28">
        <f>'[6]bp-sp-Wom'!A116</f>
        <v>0</v>
      </c>
      <c r="B129" s="16">
        <f>'[6]bp-sp-Wom'!B116</f>
        <v>0</v>
      </c>
      <c r="C129" s="16">
        <f>'[6]bp-sp-Wom'!C116</f>
        <v>0</v>
      </c>
      <c r="D129" s="16" t="str">
        <f t="shared" si="2"/>
        <v>0</v>
      </c>
      <c r="E129" s="16">
        <f>'[6]bp-sp-Wom'!D116</f>
        <v>0</v>
      </c>
      <c r="F129" s="17">
        <f>'[6]bp-sp-Wom'!E116</f>
        <v>0</v>
      </c>
      <c r="G129" s="51">
        <f>'[6]bp-sp-Wom'!F116</f>
        <v>0</v>
      </c>
    </row>
    <row r="130" spans="1:7" s="16" customFormat="1" x14ac:dyDescent="0.25">
      <c r="A130" s="28">
        <f>'[6]bp-sp-Wom'!A117</f>
        <v>0</v>
      </c>
      <c r="B130" s="16">
        <f>'[6]bp-sp-Wom'!B117</f>
        <v>0</v>
      </c>
      <c r="C130" s="16">
        <f>'[6]bp-sp-Wom'!C117</f>
        <v>0</v>
      </c>
      <c r="D130" s="16" t="str">
        <f t="shared" si="2"/>
        <v>0</v>
      </c>
      <c r="E130" s="16">
        <f>'[6]bp-sp-Wom'!D117</f>
        <v>0</v>
      </c>
      <c r="F130" s="17">
        <f>'[6]bp-sp-Wom'!E117</f>
        <v>0</v>
      </c>
      <c r="G130" s="51">
        <f>'[6]bp-sp-Wom'!F117</f>
        <v>0</v>
      </c>
    </row>
    <row r="131" spans="1:7" s="16" customFormat="1" x14ac:dyDescent="0.25">
      <c r="A131" s="28">
        <f>'[6]bp-sp-Wom'!A118</f>
        <v>0</v>
      </c>
      <c r="B131" s="16">
        <f>'[6]bp-sp-Wom'!B118</f>
        <v>0</v>
      </c>
      <c r="C131" s="16">
        <f>'[6]bp-sp-Wom'!C118</f>
        <v>0</v>
      </c>
      <c r="D131" s="16" t="str">
        <f t="shared" si="2"/>
        <v>0</v>
      </c>
      <c r="E131" s="16">
        <f>'[6]bp-sp-Wom'!D118</f>
        <v>0</v>
      </c>
      <c r="F131" s="17">
        <f>'[6]bp-sp-Wom'!E118</f>
        <v>0</v>
      </c>
      <c r="G131" s="51">
        <f>'[6]bp-sp-Wom'!F118</f>
        <v>0</v>
      </c>
    </row>
    <row r="132" spans="1:7" x14ac:dyDescent="0.25">
      <c r="A132" s="1">
        <f>'[6]bp-sp-Wom'!A119</f>
        <v>0</v>
      </c>
      <c r="B132">
        <f>'[6]bp-sp-Wom'!B119</f>
        <v>0</v>
      </c>
      <c r="C132">
        <f>'[6]bp-sp-Wom'!C119</f>
        <v>0</v>
      </c>
      <c r="D132" t="str">
        <f t="shared" si="2"/>
        <v>0</v>
      </c>
      <c r="E132" s="16">
        <f>'[6]bp-sp-Wom'!D119</f>
        <v>0</v>
      </c>
      <c r="F132" s="17">
        <f>'[6]bp-sp-Wom'!E119</f>
        <v>0</v>
      </c>
      <c r="G132" s="51">
        <f>'[6]bp-sp-Wom'!F119</f>
        <v>0</v>
      </c>
    </row>
    <row r="133" spans="1:7" x14ac:dyDescent="0.25">
      <c r="A133" s="1">
        <f>'[6]bp-sp-Wom'!A120</f>
        <v>0</v>
      </c>
      <c r="B133">
        <f>'[6]bp-sp-Wom'!B120</f>
        <v>0</v>
      </c>
      <c r="C133">
        <f>'[6]bp-sp-Wom'!C120</f>
        <v>0</v>
      </c>
      <c r="D133" t="str">
        <f t="shared" ref="D133:D143" si="3">RIGHT(C133,2)</f>
        <v>0</v>
      </c>
      <c r="E133" s="16">
        <f>'[6]bp-sp-Wom'!D120</f>
        <v>0</v>
      </c>
      <c r="F133" s="17">
        <f>'[6]bp-sp-Wom'!E120</f>
        <v>0</v>
      </c>
      <c r="G133" s="51">
        <f>'[6]bp-sp-Wom'!F120</f>
        <v>0</v>
      </c>
    </row>
    <row r="134" spans="1:7" x14ac:dyDescent="0.25">
      <c r="A134" s="1">
        <f>'[6]bp-sp-Wom'!A121</f>
        <v>0</v>
      </c>
      <c r="B134">
        <f>'[6]bp-sp-Wom'!B121</f>
        <v>0</v>
      </c>
      <c r="C134">
        <f>'[6]bp-sp-Wom'!C121</f>
        <v>0</v>
      </c>
      <c r="D134" t="str">
        <f t="shared" si="3"/>
        <v>0</v>
      </c>
      <c r="E134" s="16">
        <f>'[6]bp-sp-Wom'!D121</f>
        <v>0</v>
      </c>
      <c r="F134" s="17">
        <f>'[6]bp-sp-Wom'!E121</f>
        <v>0</v>
      </c>
      <c r="G134" s="51">
        <f>'[6]bp-sp-Wom'!F121</f>
        <v>0</v>
      </c>
    </row>
    <row r="135" spans="1:7" x14ac:dyDescent="0.25">
      <c r="A135" s="1">
        <f>'[6]bp-sp-Wom'!A122</f>
        <v>0</v>
      </c>
      <c r="B135">
        <f>'[6]bp-sp-Wom'!B122</f>
        <v>0</v>
      </c>
      <c r="C135">
        <f>'[6]bp-sp-Wom'!C122</f>
        <v>0</v>
      </c>
      <c r="D135" t="str">
        <f t="shared" si="3"/>
        <v>0</v>
      </c>
      <c r="E135" s="16">
        <f>'[6]bp-sp-Wom'!D122</f>
        <v>0</v>
      </c>
      <c r="F135" s="17">
        <f>'[6]bp-sp-Wom'!E122</f>
        <v>0</v>
      </c>
      <c r="G135" s="51">
        <f>'[6]bp-sp-Wom'!F122</f>
        <v>0</v>
      </c>
    </row>
    <row r="136" spans="1:7" x14ac:dyDescent="0.25">
      <c r="A136" s="1">
        <f>'[6]bp-sp-Wom'!A123</f>
        <v>0</v>
      </c>
      <c r="B136">
        <f>'[6]bp-sp-Wom'!B123</f>
        <v>0</v>
      </c>
      <c r="C136">
        <f>'[6]bp-sp-Wom'!C123</f>
        <v>0</v>
      </c>
      <c r="D136" t="str">
        <f t="shared" si="3"/>
        <v>0</v>
      </c>
      <c r="E136" s="16">
        <f>'[6]bp-sp-Wom'!D123</f>
        <v>0</v>
      </c>
      <c r="F136" s="17">
        <f>'[6]bp-sp-Wom'!E123</f>
        <v>0</v>
      </c>
      <c r="G136" s="51">
        <f>'[6]bp-sp-Wom'!F123</f>
        <v>0</v>
      </c>
    </row>
    <row r="137" spans="1:7" x14ac:dyDescent="0.25">
      <c r="A137" s="1">
        <f>'[6]bp-sp-Wom'!A124</f>
        <v>0</v>
      </c>
      <c r="B137">
        <f>'[6]bp-sp-Wom'!B124</f>
        <v>0</v>
      </c>
      <c r="C137">
        <f>'[6]bp-sp-Wom'!C124</f>
        <v>0</v>
      </c>
      <c r="D137" t="str">
        <f t="shared" si="3"/>
        <v>0</v>
      </c>
      <c r="E137" s="16">
        <f>'[6]bp-sp-Wom'!D124</f>
        <v>0</v>
      </c>
      <c r="F137" s="17">
        <f>'[6]bp-sp-Wom'!E124</f>
        <v>0</v>
      </c>
      <c r="G137" s="51">
        <f>'[6]bp-sp-Wom'!F124</f>
        <v>0</v>
      </c>
    </row>
    <row r="138" spans="1:7" x14ac:dyDescent="0.25">
      <c r="A138" s="1">
        <f>'[6]bp-sp-Wom'!A125</f>
        <v>0</v>
      </c>
      <c r="B138">
        <f>'[6]bp-sp-Wom'!B125</f>
        <v>0</v>
      </c>
      <c r="C138">
        <f>'[6]bp-sp-Wom'!C125</f>
        <v>0</v>
      </c>
      <c r="D138" t="str">
        <f t="shared" si="3"/>
        <v>0</v>
      </c>
      <c r="E138" s="16">
        <f>'[6]bp-sp-Wom'!D125</f>
        <v>0</v>
      </c>
      <c r="F138" s="17">
        <f>'[6]bp-sp-Wom'!E125</f>
        <v>0</v>
      </c>
      <c r="G138" s="51">
        <f>'[6]bp-sp-Wom'!F125</f>
        <v>0</v>
      </c>
    </row>
    <row r="139" spans="1:7" x14ac:dyDescent="0.25">
      <c r="A139" s="1">
        <f>'[6]bp-sp-Wom'!A126</f>
        <v>0</v>
      </c>
      <c r="B139">
        <f>'[6]bp-sp-Wom'!B126</f>
        <v>0</v>
      </c>
      <c r="C139">
        <f>'[6]bp-sp-Wom'!C126</f>
        <v>0</v>
      </c>
      <c r="D139" t="str">
        <f t="shared" si="3"/>
        <v>0</v>
      </c>
      <c r="E139" s="16">
        <f>'[6]bp-sp-Wom'!D126</f>
        <v>0</v>
      </c>
      <c r="F139" s="17">
        <f>'[6]bp-sp-Wom'!E126</f>
        <v>0</v>
      </c>
      <c r="G139" s="51">
        <f>'[6]bp-sp-Wom'!F126</f>
        <v>0</v>
      </c>
    </row>
    <row r="140" spans="1:7" x14ac:dyDescent="0.25">
      <c r="A140" s="1">
        <f>'[6]bp-sp-Wom'!A127</f>
        <v>0</v>
      </c>
      <c r="B140">
        <f>'[6]bp-sp-Wom'!B127</f>
        <v>0</v>
      </c>
      <c r="C140">
        <f>'[6]bp-sp-Wom'!C127</f>
        <v>0</v>
      </c>
      <c r="D140" t="str">
        <f t="shared" si="3"/>
        <v>0</v>
      </c>
      <c r="E140" s="16">
        <f>'[6]bp-sp-Wom'!D127</f>
        <v>0</v>
      </c>
      <c r="F140" s="17">
        <f>'[6]bp-sp-Wom'!E127</f>
        <v>0</v>
      </c>
      <c r="G140" s="51">
        <f>'[6]bp-sp-Wom'!F127</f>
        <v>0</v>
      </c>
    </row>
    <row r="141" spans="1:7" x14ac:dyDescent="0.25">
      <c r="A141" s="1">
        <f>'[6]bp-sp-Wom'!A128</f>
        <v>0</v>
      </c>
      <c r="B141">
        <f>'[6]bp-sp-Wom'!B128</f>
        <v>0</v>
      </c>
      <c r="C141">
        <f>'[6]bp-sp-Wom'!C128</f>
        <v>0</v>
      </c>
      <c r="D141" t="str">
        <f t="shared" si="3"/>
        <v>0</v>
      </c>
      <c r="E141" s="16">
        <f>'[6]bp-sp-Wom'!D128</f>
        <v>0</v>
      </c>
      <c r="F141" s="17">
        <f>'[6]bp-sp-Wom'!E128</f>
        <v>0</v>
      </c>
      <c r="G141" s="51">
        <f>'[6]bp-sp-Wom'!F128</f>
        <v>0</v>
      </c>
    </row>
    <row r="142" spans="1:7" x14ac:dyDescent="0.25">
      <c r="A142" s="1">
        <f>'[6]bp-sp-Wom'!A129</f>
        <v>0</v>
      </c>
      <c r="B142">
        <f>'[6]bp-sp-Wom'!B129</f>
        <v>0</v>
      </c>
      <c r="C142">
        <f>'[6]bp-sp-Wom'!C129</f>
        <v>0</v>
      </c>
      <c r="D142" t="str">
        <f t="shared" si="3"/>
        <v>0</v>
      </c>
      <c r="E142" s="16">
        <f>'[6]bp-sp-Wom'!D129</f>
        <v>0</v>
      </c>
      <c r="F142" s="17">
        <f>'[6]bp-sp-Wom'!E129</f>
        <v>0</v>
      </c>
      <c r="G142" s="51">
        <f>'[6]bp-sp-Wom'!F129</f>
        <v>0</v>
      </c>
    </row>
    <row r="143" spans="1:7" x14ac:dyDescent="0.25">
      <c r="A143" s="1">
        <f>'[6]bp-sp-Wom'!A130</f>
        <v>0</v>
      </c>
      <c r="B143">
        <f>'[6]bp-sp-Wom'!B130</f>
        <v>0</v>
      </c>
      <c r="C143">
        <f>'[6]bp-sp-Wom'!C130</f>
        <v>0</v>
      </c>
      <c r="D143" t="str">
        <f t="shared" si="3"/>
        <v>0</v>
      </c>
      <c r="E143" s="16">
        <f>'[6]bp-sp-Wom'!D130</f>
        <v>0</v>
      </c>
      <c r="F143" s="17">
        <f>'[6]bp-sp-Wom'!E130</f>
        <v>0</v>
      </c>
      <c r="G143" s="51">
        <f>'[6]bp-sp-Wom'!F130</f>
        <v>0</v>
      </c>
    </row>
    <row r="151" spans="1:7" x14ac:dyDescent="0.25">
      <c r="B151" t="str">
        <f>'[6]bp-sp-Men'!B1</f>
        <v xml:space="preserve"> AWPC BP-SP- Europe</v>
      </c>
    </row>
    <row r="152" spans="1:7" s="11" customFormat="1" x14ac:dyDescent="0.25">
      <c r="A152" s="22" t="s">
        <v>0</v>
      </c>
      <c r="B152" s="11">
        <v>1</v>
      </c>
      <c r="C152" s="11">
        <v>13</v>
      </c>
      <c r="D152" s="11" t="str">
        <f>'[6]bp-sp-Men'!B2</f>
        <v>Teens1  (13 - 15)</v>
      </c>
      <c r="F152" s="13"/>
      <c r="G152" s="30"/>
    </row>
    <row r="153" spans="1:7" x14ac:dyDescent="0.25">
      <c r="A153" s="1">
        <f>'[6]bp-sp-Men'!A3</f>
        <v>52</v>
      </c>
      <c r="B153">
        <f>'[6]bp-sp-Men'!B3</f>
        <v>70</v>
      </c>
      <c r="C153" t="str">
        <f>'[6]bp-sp-Men'!C3</f>
        <v>Mamayev Maxim/97</v>
      </c>
      <c r="D153" t="str">
        <f t="shared" ref="D151:D167" si="4">RIGHT(C153,2)</f>
        <v>97</v>
      </c>
      <c r="E153" t="str">
        <f>'[6]bp-sp-Men'!D3</f>
        <v>RUS</v>
      </c>
      <c r="F153" s="10">
        <f>'[6]bp-sp-Men'!E3</f>
        <v>41496</v>
      </c>
      <c r="G153" s="29" t="str">
        <f>'[6]bp-sp-Men'!F3</f>
        <v>Kursk</v>
      </c>
    </row>
    <row r="154" spans="1:7" x14ac:dyDescent="0.25">
      <c r="A154" s="1">
        <f>'[6]bp-sp-Men'!A4</f>
        <v>56</v>
      </c>
      <c r="B154">
        <f>'[6]bp-sp-Men'!B4</f>
        <v>0</v>
      </c>
      <c r="C154">
        <f>'[6]bp-sp-Men'!C4</f>
        <v>0</v>
      </c>
      <c r="D154" t="str">
        <f t="shared" si="4"/>
        <v>0</v>
      </c>
      <c r="E154">
        <f>'[6]bp-sp-Men'!D4</f>
        <v>0</v>
      </c>
      <c r="F154" s="10">
        <f>'[6]bp-sp-Men'!E4</f>
        <v>0</v>
      </c>
      <c r="G154" s="29">
        <f>'[6]bp-sp-Men'!F4</f>
        <v>0</v>
      </c>
    </row>
    <row r="155" spans="1:7" x14ac:dyDescent="0.25">
      <c r="A155" s="1">
        <f>'[6]bp-sp-Men'!A5</f>
        <v>60</v>
      </c>
      <c r="B155">
        <f>'[6]bp-sp-Men'!B5</f>
        <v>100</v>
      </c>
      <c r="C155" t="str">
        <f>'[6]bp-sp-Men'!C5</f>
        <v>Kusochkin Vyacheslav/97</v>
      </c>
      <c r="D155" t="str">
        <f t="shared" si="4"/>
        <v>97</v>
      </c>
      <c r="E155" t="str">
        <f>'[6]bp-sp-Men'!D5</f>
        <v>RUS</v>
      </c>
      <c r="F155" s="10">
        <f>'[6]bp-sp-Men'!E5</f>
        <v>41321</v>
      </c>
      <c r="G155" s="29" t="str">
        <f>'[6]bp-sp-Men'!F5</f>
        <v>Yekaterinburg</v>
      </c>
    </row>
    <row r="156" spans="1:7" x14ac:dyDescent="0.25">
      <c r="A156" s="1" t="str">
        <f>'[6]bp-sp-Men'!A6</f>
        <v>67.5</v>
      </c>
      <c r="B156">
        <f>'[6]bp-sp-Men'!B6</f>
        <v>132.5</v>
      </c>
      <c r="C156" t="str">
        <f>'[6]bp-sp-Men'!C6</f>
        <v>Mandzhavidze Boris/97</v>
      </c>
      <c r="D156" t="str">
        <f t="shared" si="4"/>
        <v>97</v>
      </c>
      <c r="E156" t="str">
        <f>'[6]bp-sp-Men'!D6</f>
        <v>RUS</v>
      </c>
      <c r="F156" s="10">
        <f>'[6]bp-sp-Men'!E6</f>
        <v>41439</v>
      </c>
      <c r="G156" s="29" t="str">
        <f>'[6]bp-sp-Men'!F6</f>
        <v>Moscow</v>
      </c>
    </row>
    <row r="157" spans="1:7" x14ac:dyDescent="0.25">
      <c r="A157" s="1">
        <f>'[6]bp-sp-Men'!A7</f>
        <v>75</v>
      </c>
      <c r="B157">
        <f>'[6]bp-sp-Men'!B7</f>
        <v>120</v>
      </c>
      <c r="C157" t="str">
        <f>'[6]bp-sp-Men'!C7</f>
        <v>Kuvshinov Ilya/99</v>
      </c>
      <c r="D157" t="str">
        <f t="shared" si="4"/>
        <v>99</v>
      </c>
      <c r="E157" t="str">
        <f>'[6]bp-sp-Men'!D7</f>
        <v>RUS</v>
      </c>
      <c r="F157" s="10" t="str">
        <f>'[6]bp-sp-Men'!E7</f>
        <v>24.08.2014</v>
      </c>
      <c r="G157" s="29" t="str">
        <f>'[6]bp-sp-Men'!F7</f>
        <v>Moscow</v>
      </c>
    </row>
    <row r="158" spans="1:7" x14ac:dyDescent="0.25">
      <c r="A158" s="1">
        <f>'[6]bp-sp-Men'!A8</f>
        <v>82.5</v>
      </c>
      <c r="B158">
        <f>'[6]bp-sp-Men'!B8</f>
        <v>130</v>
      </c>
      <c r="C158" t="str">
        <f>'[6]bp-sp-Men'!C8</f>
        <v>Zazulin Nikita/98</v>
      </c>
      <c r="D158" t="str">
        <f t="shared" si="4"/>
        <v>98</v>
      </c>
      <c r="E158" t="str">
        <f>'[6]bp-sp-Men'!D8</f>
        <v>RUS</v>
      </c>
      <c r="F158" s="10" t="str">
        <f>'[6]bp-sp-Men'!E8</f>
        <v>08.02.2014</v>
      </c>
      <c r="G158" s="29" t="str">
        <f>'[6]bp-sp-Men'!F8</f>
        <v>Yekaterinburg</v>
      </c>
    </row>
    <row r="159" spans="1:7" x14ac:dyDescent="0.25">
      <c r="A159" s="1">
        <f>'[6]bp-sp-Men'!A9</f>
        <v>90</v>
      </c>
      <c r="B159">
        <f>'[6]bp-sp-Men'!B9</f>
        <v>0</v>
      </c>
      <c r="C159">
        <f>'[6]bp-sp-Men'!C9</f>
        <v>0</v>
      </c>
      <c r="D159" t="str">
        <f t="shared" si="4"/>
        <v>0</v>
      </c>
      <c r="E159">
        <f>'[6]bp-sp-Men'!D9</f>
        <v>0</v>
      </c>
      <c r="F159" s="10">
        <f>'[6]bp-sp-Men'!E9</f>
        <v>0</v>
      </c>
      <c r="G159" s="29">
        <f>'[6]bp-sp-Men'!F9</f>
        <v>0</v>
      </c>
    </row>
    <row r="160" spans="1:7" x14ac:dyDescent="0.25">
      <c r="A160" s="1">
        <f>'[6]bp-sp-Men'!A10</f>
        <v>100</v>
      </c>
      <c r="B160">
        <f>'[6]bp-sp-Men'!B10</f>
        <v>0</v>
      </c>
      <c r="C160">
        <f>'[6]bp-sp-Men'!C10</f>
        <v>0</v>
      </c>
      <c r="D160" t="str">
        <f t="shared" si="4"/>
        <v>0</v>
      </c>
      <c r="E160">
        <f>'[6]bp-sp-Men'!D10</f>
        <v>0</v>
      </c>
      <c r="F160" s="10">
        <f>'[6]bp-sp-Men'!E10</f>
        <v>0</v>
      </c>
      <c r="G160" s="29">
        <f>'[6]bp-sp-Men'!F10</f>
        <v>0</v>
      </c>
    </row>
    <row r="161" spans="1:7" x14ac:dyDescent="0.25">
      <c r="A161" s="1">
        <f>'[6]bp-sp-Men'!A11</f>
        <v>110</v>
      </c>
      <c r="B161">
        <f>'[6]bp-sp-Men'!B11</f>
        <v>0</v>
      </c>
      <c r="C161">
        <f>'[6]bp-sp-Men'!C11</f>
        <v>0</v>
      </c>
      <c r="D161" t="str">
        <f t="shared" si="4"/>
        <v>0</v>
      </c>
      <c r="E161">
        <f>'[6]bp-sp-Men'!D11</f>
        <v>0</v>
      </c>
      <c r="F161" s="10">
        <f>'[6]bp-sp-Men'!E11</f>
        <v>0</v>
      </c>
      <c r="G161" s="29">
        <f>'[6]bp-sp-Men'!F11</f>
        <v>0</v>
      </c>
    </row>
    <row r="162" spans="1:7" x14ac:dyDescent="0.25">
      <c r="A162" s="1">
        <f>'[6]bp-sp-Men'!A12</f>
        <v>125</v>
      </c>
      <c r="B162">
        <f>'[6]bp-sp-Men'!B12</f>
        <v>0</v>
      </c>
      <c r="C162">
        <f>'[6]bp-sp-Men'!C12</f>
        <v>0</v>
      </c>
      <c r="D162" t="str">
        <f t="shared" si="4"/>
        <v>0</v>
      </c>
      <c r="E162">
        <f>'[6]bp-sp-Men'!D12</f>
        <v>0</v>
      </c>
      <c r="F162" s="10">
        <f>'[6]bp-sp-Men'!E12</f>
        <v>0</v>
      </c>
      <c r="G162" s="29">
        <f>'[6]bp-sp-Men'!F12</f>
        <v>0</v>
      </c>
    </row>
    <row r="163" spans="1:7" x14ac:dyDescent="0.25">
      <c r="A163" s="1">
        <f>'[6]bp-sp-Men'!A13</f>
        <v>140</v>
      </c>
      <c r="B163">
        <f>'[6]bp-sp-Men'!B13</f>
        <v>0</v>
      </c>
      <c r="C163">
        <f>'[6]bp-sp-Men'!C13</f>
        <v>0</v>
      </c>
      <c r="D163" t="str">
        <f t="shared" si="4"/>
        <v>0</v>
      </c>
      <c r="E163">
        <f>'[6]bp-sp-Men'!D13</f>
        <v>0</v>
      </c>
      <c r="F163" s="10">
        <f>'[6]bp-sp-Men'!E13</f>
        <v>0</v>
      </c>
      <c r="G163" s="29">
        <f>'[6]bp-sp-Men'!F13</f>
        <v>0</v>
      </c>
    </row>
    <row r="164" spans="1:7" x14ac:dyDescent="0.25">
      <c r="A164" s="1" t="str">
        <f>'[6]bp-sp-Men'!A14</f>
        <v>140+</v>
      </c>
      <c r="B164">
        <f>'[6]bp-sp-Men'!B14</f>
        <v>0</v>
      </c>
      <c r="C164">
        <f>'[6]bp-sp-Men'!C14</f>
        <v>0</v>
      </c>
      <c r="D164" t="str">
        <f t="shared" ref="D164:D165" si="5">RIGHT(C164,2)</f>
        <v>0</v>
      </c>
      <c r="E164">
        <f>'[6]bp-sp-Men'!D14</f>
        <v>0</v>
      </c>
      <c r="F164" s="10">
        <f>'[6]bp-sp-Men'!E14</f>
        <v>0</v>
      </c>
      <c r="G164" s="29">
        <f>'[6]bp-sp-Men'!F14</f>
        <v>0</v>
      </c>
    </row>
    <row r="165" spans="1:7" s="16" customFormat="1" x14ac:dyDescent="0.25">
      <c r="A165" s="1">
        <f>'[6]bp-sp-Men'!A15</f>
        <v>0</v>
      </c>
      <c r="B165">
        <f>'[6]bp-sp-Men'!B15</f>
        <v>0</v>
      </c>
      <c r="C165">
        <f>'[6]bp-sp-Men'!C15</f>
        <v>0</v>
      </c>
      <c r="D165" t="str">
        <f t="shared" si="5"/>
        <v>0</v>
      </c>
      <c r="E165">
        <f>'[6]bp-sp-Men'!D15</f>
        <v>0</v>
      </c>
      <c r="F165" s="10">
        <f>'[6]bp-sp-Men'!E15</f>
        <v>0</v>
      </c>
      <c r="G165" s="29">
        <f>'[6]bp-sp-Men'!F15</f>
        <v>0</v>
      </c>
    </row>
    <row r="166" spans="1:7" s="11" customFormat="1" x14ac:dyDescent="0.25">
      <c r="A166" s="22" t="s">
        <v>0</v>
      </c>
      <c r="B166" s="11">
        <v>1</v>
      </c>
      <c r="C166" s="11">
        <v>16</v>
      </c>
      <c r="D166" s="11" t="str">
        <f>'[6]bp-sp-Men'!B16</f>
        <v>Teens2  (16 - 17)</v>
      </c>
      <c r="F166" s="13"/>
      <c r="G166" s="30"/>
    </row>
    <row r="167" spans="1:7" x14ac:dyDescent="0.25">
      <c r="A167" s="1">
        <f>'[6]bp-sp-Men'!A17</f>
        <v>52</v>
      </c>
      <c r="B167">
        <f>'[6]bp-sp-Men'!B17</f>
        <v>0</v>
      </c>
      <c r="C167">
        <f>'[6]bp-sp-Men'!C17</f>
        <v>0</v>
      </c>
      <c r="D167" t="str">
        <f t="shared" si="4"/>
        <v>0</v>
      </c>
      <c r="E167">
        <f>'[6]bp-sp-Men'!D17</f>
        <v>0</v>
      </c>
      <c r="F167" s="10">
        <f>'[6]bp-sp-Men'!E17</f>
        <v>0</v>
      </c>
      <c r="G167" s="29">
        <f>'[6]bp-sp-Men'!F17</f>
        <v>0</v>
      </c>
    </row>
    <row r="168" spans="1:7" x14ac:dyDescent="0.25">
      <c r="A168" s="1">
        <f>'[6]bp-sp-Men'!A18</f>
        <v>56</v>
      </c>
      <c r="B168">
        <f>'[6]bp-sp-Men'!B18</f>
        <v>100</v>
      </c>
      <c r="C168" t="str">
        <f>'[6]bp-sp-Men'!C18</f>
        <v>Borzenkov Maxim/96</v>
      </c>
      <c r="D168" t="str">
        <f t="shared" ref="D168:D178" si="6">RIGHT(C168,2)</f>
        <v>96</v>
      </c>
      <c r="E168" t="str">
        <f>'[6]bp-sp-Men'!D18</f>
        <v>RUS</v>
      </c>
      <c r="F168" s="10" t="str">
        <f>'[6]bp-sp-Men'!E18</f>
        <v>30.05.2014</v>
      </c>
      <c r="G168" s="29" t="str">
        <f>'[6]bp-sp-Men'!F18</f>
        <v>Kursk</v>
      </c>
    </row>
    <row r="169" spans="1:7" x14ac:dyDescent="0.25">
      <c r="A169" s="1">
        <f>'[6]bp-sp-Men'!A19</f>
        <v>60</v>
      </c>
      <c r="B169">
        <f>'[6]bp-sp-Men'!B19</f>
        <v>97.5</v>
      </c>
      <c r="C169" t="str">
        <f>'[6]bp-sp-Men'!C19</f>
        <v>Morozov Yevgeniy/97</v>
      </c>
      <c r="D169" t="str">
        <f t="shared" si="6"/>
        <v>97</v>
      </c>
      <c r="E169" t="str">
        <f>'[6]bp-sp-Men'!D19</f>
        <v>RUS</v>
      </c>
      <c r="F169" s="10">
        <f>'[6]bp-sp-Men'!E19</f>
        <v>41608</v>
      </c>
      <c r="G169" s="29" t="str">
        <f>'[6]bp-sp-Men'!F19</f>
        <v>Yekaterinburg</v>
      </c>
    </row>
    <row r="170" spans="1:7" x14ac:dyDescent="0.25">
      <c r="A170" s="1" t="str">
        <f>'[6]bp-sp-Men'!A20</f>
        <v>67.5</v>
      </c>
      <c r="B170">
        <f>'[6]bp-sp-Men'!B20</f>
        <v>137.5</v>
      </c>
      <c r="C170" t="str">
        <f>'[6]bp-sp-Men'!C20</f>
        <v>Tonkoglaz Vladimir/96</v>
      </c>
      <c r="D170" t="str">
        <f t="shared" si="6"/>
        <v>96</v>
      </c>
      <c r="E170" t="str">
        <f>'[6]bp-sp-Men'!D20</f>
        <v>RUS</v>
      </c>
      <c r="F170" s="10">
        <f>'[6]bp-sp-Men'!E20</f>
        <v>41439</v>
      </c>
      <c r="G170" s="29" t="str">
        <f>'[6]bp-sp-Men'!F20</f>
        <v>Moscow</v>
      </c>
    </row>
    <row r="171" spans="1:7" x14ac:dyDescent="0.25">
      <c r="A171" s="1">
        <f>'[6]bp-sp-Men'!A21</f>
        <v>75</v>
      </c>
      <c r="B171">
        <f>'[6]bp-sp-Men'!B21</f>
        <v>147.5</v>
      </c>
      <c r="C171" t="str">
        <f>'[6]bp-sp-Men'!C21</f>
        <v>Kusochkin Vyacheslav/97</v>
      </c>
      <c r="D171" t="str">
        <f t="shared" si="6"/>
        <v>97</v>
      </c>
      <c r="E171" t="str">
        <f>'[6]bp-sp-Men'!D21</f>
        <v>RUS</v>
      </c>
      <c r="F171" s="10" t="str">
        <f>'[6]bp-sp-Men'!E21</f>
        <v>08.02.2014</v>
      </c>
      <c r="G171" s="29" t="str">
        <f>'[6]bp-sp-Men'!F21</f>
        <v>Yekaterinburg</v>
      </c>
    </row>
    <row r="172" spans="1:7" x14ac:dyDescent="0.25">
      <c r="A172" s="1" t="str">
        <f>'[6]bp-sp-Men'!A22</f>
        <v>82.5</v>
      </c>
      <c r="B172">
        <f>'[6]bp-sp-Men'!B22</f>
        <v>127.5</v>
      </c>
      <c r="C172" t="str">
        <f>'[6]bp-sp-Men'!C22</f>
        <v>Kopytov Alexandr/96</v>
      </c>
      <c r="D172" t="str">
        <f t="shared" si="6"/>
        <v>96</v>
      </c>
      <c r="E172" t="str">
        <f>'[6]bp-sp-Men'!D22</f>
        <v>RUS</v>
      </c>
      <c r="F172" s="10">
        <f>'[6]bp-sp-Men'!E22</f>
        <v>41321</v>
      </c>
      <c r="G172" s="29" t="str">
        <f>'[6]bp-sp-Men'!F22</f>
        <v>Yekaterinburg</v>
      </c>
    </row>
    <row r="173" spans="1:7" x14ac:dyDescent="0.25">
      <c r="A173" s="1">
        <f>'[6]bp-sp-Men'!A23</f>
        <v>90</v>
      </c>
      <c r="B173">
        <f>'[6]bp-sp-Men'!B23</f>
        <v>0</v>
      </c>
      <c r="C173">
        <f>'[6]bp-sp-Men'!C23</f>
        <v>0</v>
      </c>
      <c r="D173" t="str">
        <f t="shared" si="6"/>
        <v>0</v>
      </c>
      <c r="E173">
        <f>'[6]bp-sp-Men'!D23</f>
        <v>0</v>
      </c>
      <c r="F173" s="10">
        <f>'[6]bp-sp-Men'!E23</f>
        <v>0</v>
      </c>
      <c r="G173" s="29">
        <f>'[6]bp-sp-Men'!F23</f>
        <v>0</v>
      </c>
    </row>
    <row r="174" spans="1:7" x14ac:dyDescent="0.25">
      <c r="A174" s="1">
        <f>'[6]bp-sp-Men'!A24</f>
        <v>100</v>
      </c>
      <c r="B174">
        <f>'[6]bp-sp-Men'!B24</f>
        <v>0</v>
      </c>
      <c r="C174">
        <f>'[6]bp-sp-Men'!C24</f>
        <v>0</v>
      </c>
      <c r="D174" t="str">
        <f t="shared" si="6"/>
        <v>0</v>
      </c>
      <c r="E174">
        <f>'[6]bp-sp-Men'!D24</f>
        <v>0</v>
      </c>
      <c r="F174" s="10">
        <f>'[6]bp-sp-Men'!E24</f>
        <v>0</v>
      </c>
      <c r="G174" s="29">
        <f>'[6]bp-sp-Men'!F24</f>
        <v>0</v>
      </c>
    </row>
    <row r="175" spans="1:7" x14ac:dyDescent="0.25">
      <c r="A175" s="1">
        <f>'[6]bp-sp-Men'!A25</f>
        <v>110</v>
      </c>
      <c r="B175">
        <f>'[6]bp-sp-Men'!B25</f>
        <v>0</v>
      </c>
      <c r="C175">
        <f>'[6]bp-sp-Men'!C25</f>
        <v>0</v>
      </c>
      <c r="D175" t="str">
        <f t="shared" si="6"/>
        <v>0</v>
      </c>
      <c r="E175">
        <f>'[6]bp-sp-Men'!D25</f>
        <v>0</v>
      </c>
      <c r="F175" s="10">
        <f>'[6]bp-sp-Men'!E25</f>
        <v>0</v>
      </c>
      <c r="G175" s="29">
        <f>'[6]bp-sp-Men'!F25</f>
        <v>0</v>
      </c>
    </row>
    <row r="176" spans="1:7" x14ac:dyDescent="0.25">
      <c r="A176" s="1">
        <f>'[6]bp-sp-Men'!A26</f>
        <v>125</v>
      </c>
      <c r="B176">
        <f>'[6]bp-sp-Men'!B26</f>
        <v>0</v>
      </c>
      <c r="C176">
        <f>'[6]bp-sp-Men'!C26</f>
        <v>0</v>
      </c>
      <c r="D176" t="str">
        <f t="shared" si="6"/>
        <v>0</v>
      </c>
      <c r="E176">
        <f>'[6]bp-sp-Men'!D26</f>
        <v>0</v>
      </c>
      <c r="F176" s="10">
        <f>'[6]bp-sp-Men'!E26</f>
        <v>0</v>
      </c>
      <c r="G176" s="29">
        <f>'[6]bp-sp-Men'!F26</f>
        <v>0</v>
      </c>
    </row>
    <row r="177" spans="1:7" x14ac:dyDescent="0.25">
      <c r="A177" s="1">
        <f>'[6]bp-sp-Men'!A27</f>
        <v>140</v>
      </c>
      <c r="B177">
        <f>'[6]bp-sp-Men'!B27</f>
        <v>0</v>
      </c>
      <c r="C177">
        <f>'[6]bp-sp-Men'!C27</f>
        <v>0</v>
      </c>
      <c r="D177" t="str">
        <f t="shared" si="6"/>
        <v>0</v>
      </c>
      <c r="E177">
        <f>'[6]bp-sp-Men'!D27</f>
        <v>0</v>
      </c>
      <c r="F177" s="10">
        <f>'[6]bp-sp-Men'!E27</f>
        <v>0</v>
      </c>
      <c r="G177" s="29">
        <f>'[6]bp-sp-Men'!F27</f>
        <v>0</v>
      </c>
    </row>
    <row r="178" spans="1:7" x14ac:dyDescent="0.25">
      <c r="A178" s="1" t="str">
        <f>'[6]bp-sp-Men'!A28</f>
        <v>140+</v>
      </c>
      <c r="B178">
        <f>'[6]bp-sp-Men'!B28</f>
        <v>0</v>
      </c>
      <c r="C178">
        <f>'[6]bp-sp-Men'!C28</f>
        <v>0</v>
      </c>
      <c r="D178" t="str">
        <f t="shared" si="6"/>
        <v>0</v>
      </c>
      <c r="E178">
        <f>'[6]bp-sp-Men'!D28</f>
        <v>0</v>
      </c>
      <c r="F178" s="10">
        <f>'[6]bp-sp-Men'!E28</f>
        <v>0</v>
      </c>
      <c r="G178" s="29">
        <f>'[6]bp-sp-Men'!F28</f>
        <v>0</v>
      </c>
    </row>
    <row r="179" spans="1:7" s="19" customFormat="1" x14ac:dyDescent="0.25">
      <c r="A179" s="49"/>
      <c r="B179" s="19">
        <f>'[6]bp-sp-Men'!B29</f>
        <v>0</v>
      </c>
      <c r="C179" s="19">
        <f>'[6]bp-sp-Men'!C29</f>
        <v>0</v>
      </c>
      <c r="D179" s="19" t="str">
        <f t="shared" ref="D179" si="7">RIGHT(C179,2)</f>
        <v>0</v>
      </c>
      <c r="E179" s="19">
        <f>'[6]bp-sp-Men'!D29</f>
        <v>0</v>
      </c>
      <c r="F179" s="27">
        <f>'[6]bp-sp-Men'!E29</f>
        <v>0</v>
      </c>
      <c r="G179" s="53">
        <f>'[6]bp-sp-Men'!F29</f>
        <v>0</v>
      </c>
    </row>
    <row r="180" spans="1:7" s="11" customFormat="1" x14ac:dyDescent="0.25">
      <c r="A180" s="22" t="s">
        <v>0</v>
      </c>
      <c r="B180" s="11">
        <v>1</v>
      </c>
      <c r="C180" s="11">
        <v>18</v>
      </c>
      <c r="D180" s="11" t="str">
        <f>'[6]bp-sp-Men'!B30</f>
        <v>Teens3 (18 - 19)</v>
      </c>
      <c r="F180" s="13"/>
      <c r="G180" s="30">
        <f>'[6]bp-sp-Men'!F30</f>
        <v>0</v>
      </c>
    </row>
    <row r="181" spans="1:7" x14ac:dyDescent="0.25">
      <c r="A181" s="1">
        <f>'[6]bp-sp-Men'!A31</f>
        <v>52</v>
      </c>
      <c r="B181">
        <f>'[6]bp-sp-Men'!B31</f>
        <v>0</v>
      </c>
      <c r="C181">
        <f>'[6]bp-sp-Men'!C31</f>
        <v>0</v>
      </c>
      <c r="D181" t="str">
        <f t="shared" ref="D181:D223" si="8">RIGHT(C181,2)</f>
        <v>0</v>
      </c>
      <c r="E181">
        <f>'[6]bp-sp-Men'!D31</f>
        <v>0</v>
      </c>
      <c r="F181" s="10">
        <f>'[6]bp-sp-Men'!E31</f>
        <v>0</v>
      </c>
      <c r="G181" s="29">
        <f>'[6]bp-sp-Men'!F31</f>
        <v>0</v>
      </c>
    </row>
    <row r="182" spans="1:7" x14ac:dyDescent="0.25">
      <c r="A182" s="1">
        <f>'[6]bp-sp-Men'!A32</f>
        <v>56</v>
      </c>
      <c r="B182">
        <f>'[6]bp-sp-Men'!B32</f>
        <v>0</v>
      </c>
      <c r="C182">
        <f>'[6]bp-sp-Men'!C32</f>
        <v>0</v>
      </c>
      <c r="D182" t="str">
        <f t="shared" si="8"/>
        <v>0</v>
      </c>
      <c r="E182">
        <f>'[6]bp-sp-Men'!D32</f>
        <v>0</v>
      </c>
      <c r="F182" s="10">
        <f>'[6]bp-sp-Men'!E32</f>
        <v>0</v>
      </c>
      <c r="G182" s="29">
        <f>'[6]bp-sp-Men'!F32</f>
        <v>0</v>
      </c>
    </row>
    <row r="183" spans="1:7" x14ac:dyDescent="0.25">
      <c r="A183" s="1">
        <f>'[6]bp-sp-Men'!A33</f>
        <v>60</v>
      </c>
      <c r="B183">
        <f>'[6]bp-sp-Men'!B33</f>
        <v>0</v>
      </c>
      <c r="C183">
        <f>'[6]bp-sp-Men'!C33</f>
        <v>0</v>
      </c>
      <c r="D183" t="str">
        <f t="shared" ref="D183:D193" si="9">RIGHT(C183,2)</f>
        <v>0</v>
      </c>
      <c r="E183">
        <f>'[6]bp-sp-Men'!D33</f>
        <v>0</v>
      </c>
      <c r="F183" s="10">
        <f>'[6]bp-sp-Men'!E33</f>
        <v>0</v>
      </c>
      <c r="G183" s="29">
        <f>'[6]bp-sp-Men'!F33</f>
        <v>0</v>
      </c>
    </row>
    <row r="184" spans="1:7" x14ac:dyDescent="0.25">
      <c r="A184" s="1" t="str">
        <f>'[6]bp-sp-Men'!A34</f>
        <v>67.5</v>
      </c>
      <c r="B184">
        <f>'[6]bp-sp-Men'!B34</f>
        <v>132.5</v>
      </c>
      <c r="C184" t="str">
        <f>'[6]bp-sp-Men'!C34</f>
        <v>Savenkov Nikolai/93</v>
      </c>
      <c r="D184" t="str">
        <f t="shared" si="9"/>
        <v>93</v>
      </c>
      <c r="E184" t="str">
        <f>'[6]bp-sp-Men'!D34</f>
        <v>RUS</v>
      </c>
      <c r="F184" s="10">
        <f>'[6]bp-sp-Men'!E34</f>
        <v>41439</v>
      </c>
      <c r="G184" s="29" t="str">
        <f>'[6]bp-sp-Men'!F34</f>
        <v>Moscow</v>
      </c>
    </row>
    <row r="185" spans="1:7" x14ac:dyDescent="0.25">
      <c r="A185" s="1">
        <f>'[6]bp-sp-Men'!A35</f>
        <v>75</v>
      </c>
      <c r="B185">
        <f>'[6]bp-sp-Men'!B35</f>
        <v>160</v>
      </c>
      <c r="C185" t="str">
        <f>'[6]bp-sp-Men'!C35</f>
        <v>Zabelin Nikolai/94</v>
      </c>
      <c r="D185" t="str">
        <f t="shared" si="9"/>
        <v>94</v>
      </c>
      <c r="E185" t="str">
        <f>'[6]bp-sp-Men'!D35</f>
        <v>RUS</v>
      </c>
      <c r="F185" s="10">
        <f>'[6]bp-sp-Men'!E35</f>
        <v>41496</v>
      </c>
      <c r="G185" s="29" t="str">
        <f>'[6]bp-sp-Men'!F35</f>
        <v>Kursk</v>
      </c>
    </row>
    <row r="186" spans="1:7" x14ac:dyDescent="0.25">
      <c r="A186" s="1" t="str">
        <f>'[6]bp-sp-Men'!A36</f>
        <v>82.5</v>
      </c>
      <c r="B186">
        <f>'[6]bp-sp-Men'!B36</f>
        <v>0</v>
      </c>
      <c r="C186">
        <f>'[6]bp-sp-Men'!C36</f>
        <v>0</v>
      </c>
      <c r="D186" t="str">
        <f t="shared" si="9"/>
        <v>0</v>
      </c>
      <c r="E186">
        <f>'[6]bp-sp-Men'!D36</f>
        <v>0</v>
      </c>
      <c r="F186" s="10">
        <f>'[6]bp-sp-Men'!E36</f>
        <v>0</v>
      </c>
      <c r="G186" s="29">
        <f>'[6]bp-sp-Men'!F36</f>
        <v>0</v>
      </c>
    </row>
    <row r="187" spans="1:7" x14ac:dyDescent="0.25">
      <c r="A187" s="1">
        <f>'[6]bp-sp-Men'!A37</f>
        <v>90</v>
      </c>
      <c r="B187">
        <f>'[6]bp-sp-Men'!B37</f>
        <v>190</v>
      </c>
      <c r="C187" t="str">
        <f>'[6]bp-sp-Men'!C37</f>
        <v>Khizev Nikita/94</v>
      </c>
      <c r="D187" t="str">
        <f t="shared" si="9"/>
        <v>94</v>
      </c>
      <c r="E187" t="str">
        <f>'[6]bp-sp-Men'!D37</f>
        <v>RUS</v>
      </c>
      <c r="F187" s="10">
        <f>'[6]bp-sp-Men'!E37</f>
        <v>41608</v>
      </c>
      <c r="G187" s="29" t="str">
        <f>'[6]bp-sp-Men'!F37</f>
        <v>Yekaterinburg</v>
      </c>
    </row>
    <row r="188" spans="1:7" x14ac:dyDescent="0.25">
      <c r="A188" s="1">
        <f>'[6]bp-sp-Men'!A38</f>
        <v>100</v>
      </c>
      <c r="B188">
        <f>'[6]bp-sp-Men'!B38</f>
        <v>170</v>
      </c>
      <c r="C188" t="str">
        <f>'[6]bp-sp-Men'!C38</f>
        <v>Shatnyy Kirill/94</v>
      </c>
      <c r="D188" t="str">
        <f t="shared" si="9"/>
        <v>94</v>
      </c>
      <c r="E188" t="str">
        <f>'[6]bp-sp-Men'!D38</f>
        <v>RUS</v>
      </c>
      <c r="F188" s="10" t="str">
        <f>'[6]bp-sp-Men'!E38</f>
        <v>08.02.2014</v>
      </c>
      <c r="G188" s="29" t="str">
        <f>'[6]bp-sp-Men'!F38</f>
        <v>Yekaterinburg</v>
      </c>
    </row>
    <row r="189" spans="1:7" x14ac:dyDescent="0.25">
      <c r="A189" s="1">
        <f>'[6]bp-sp-Men'!A39</f>
        <v>110</v>
      </c>
      <c r="B189">
        <f>'[6]bp-sp-Men'!B39</f>
        <v>210</v>
      </c>
      <c r="C189" t="str">
        <f>'[6]bp-sp-Men'!C39</f>
        <v>Kiselev Sergei/95</v>
      </c>
      <c r="D189" t="str">
        <f t="shared" si="9"/>
        <v>95</v>
      </c>
      <c r="E189" t="str">
        <f>'[6]bp-sp-Men'!D39</f>
        <v>RUS</v>
      </c>
      <c r="F189" s="10" t="str">
        <f>'[6]bp-sp-Men'!E39</f>
        <v>30.05.2014</v>
      </c>
      <c r="G189" s="29" t="str">
        <f>'[6]bp-sp-Men'!F39</f>
        <v>Kursk</v>
      </c>
    </row>
    <row r="190" spans="1:7" x14ac:dyDescent="0.25">
      <c r="A190" s="1">
        <f>'[6]bp-sp-Men'!A40</f>
        <v>125</v>
      </c>
      <c r="B190">
        <f>'[6]bp-sp-Men'!B40</f>
        <v>0</v>
      </c>
      <c r="C190">
        <f>'[6]bp-sp-Men'!C40</f>
        <v>0</v>
      </c>
      <c r="D190" t="str">
        <f t="shared" si="9"/>
        <v>0</v>
      </c>
      <c r="E190">
        <f>'[6]bp-sp-Men'!D40</f>
        <v>0</v>
      </c>
      <c r="F190" s="10">
        <f>'[6]bp-sp-Men'!E40</f>
        <v>0</v>
      </c>
      <c r="G190" s="29">
        <f>'[6]bp-sp-Men'!F40</f>
        <v>0</v>
      </c>
    </row>
    <row r="191" spans="1:7" x14ac:dyDescent="0.25">
      <c r="A191" s="1">
        <f>'[6]bp-sp-Men'!A41</f>
        <v>140</v>
      </c>
      <c r="B191">
        <f>'[6]bp-sp-Men'!B41</f>
        <v>0</v>
      </c>
      <c r="C191">
        <f>'[6]bp-sp-Men'!C41</f>
        <v>0</v>
      </c>
      <c r="D191" t="str">
        <f t="shared" si="9"/>
        <v>0</v>
      </c>
      <c r="E191">
        <f>'[6]bp-sp-Men'!D41</f>
        <v>0</v>
      </c>
      <c r="F191" s="10">
        <f>'[6]bp-sp-Men'!E41</f>
        <v>0</v>
      </c>
      <c r="G191" s="29">
        <f>'[6]bp-sp-Men'!F41</f>
        <v>0</v>
      </c>
    </row>
    <row r="192" spans="1:7" x14ac:dyDescent="0.25">
      <c r="A192" s="1" t="str">
        <f>'[6]bp-sp-Men'!A42</f>
        <v>140+</v>
      </c>
      <c r="B192">
        <f>'[6]bp-sp-Men'!B42</f>
        <v>0</v>
      </c>
      <c r="C192">
        <f>'[6]bp-sp-Men'!C42</f>
        <v>0</v>
      </c>
      <c r="D192" t="str">
        <f t="shared" si="9"/>
        <v>0</v>
      </c>
      <c r="E192">
        <f>'[6]bp-sp-Men'!D42</f>
        <v>0</v>
      </c>
      <c r="F192" s="10">
        <f>'[6]bp-sp-Men'!E42</f>
        <v>0</v>
      </c>
      <c r="G192" s="29">
        <f>'[6]bp-sp-Men'!F42</f>
        <v>0</v>
      </c>
    </row>
    <row r="193" spans="1:7" s="19" customFormat="1" x14ac:dyDescent="0.25">
      <c r="A193" s="49"/>
      <c r="B193" s="19">
        <f>'[6]bp-sp-Men'!B43</f>
        <v>0</v>
      </c>
      <c r="C193" s="19">
        <f>'[6]bp-sp-Men'!C43</f>
        <v>0</v>
      </c>
      <c r="D193" s="19" t="str">
        <f t="shared" si="9"/>
        <v>0</v>
      </c>
      <c r="E193" s="19">
        <f>'[6]bp-sp-Men'!D43</f>
        <v>0</v>
      </c>
      <c r="F193" s="27">
        <f>'[6]bp-sp-Men'!E43</f>
        <v>0</v>
      </c>
      <c r="G193" s="53">
        <f>'[6]bp-sp-Men'!F43</f>
        <v>0</v>
      </c>
    </row>
    <row r="194" spans="1:7" s="11" customFormat="1" x14ac:dyDescent="0.25">
      <c r="A194" s="22" t="s">
        <v>0</v>
      </c>
      <c r="B194" s="11">
        <v>1</v>
      </c>
      <c r="C194" s="11">
        <v>20</v>
      </c>
      <c r="D194" s="11" t="str">
        <f>'[6]bp-sp-Men'!B44</f>
        <v>Men's Junior (20 - 23)</v>
      </c>
      <c r="F194" s="13"/>
      <c r="G194" s="30">
        <f>'[6]bp-sp-Men'!F44</f>
        <v>0</v>
      </c>
    </row>
    <row r="195" spans="1:7" s="19" customFormat="1" x14ac:dyDescent="0.25">
      <c r="A195" s="49">
        <f>'[6]bp-sp-Men'!A45</f>
        <v>52</v>
      </c>
      <c r="B195" s="19">
        <f>'[6]bp-sp-Men'!B45</f>
        <v>0</v>
      </c>
      <c r="C195" s="19">
        <f>'[6]bp-sp-Men'!C45</f>
        <v>0</v>
      </c>
      <c r="D195" s="19" t="str">
        <f t="shared" si="8"/>
        <v>0</v>
      </c>
      <c r="E195" s="19">
        <f>'[6]bp-sp-Men'!D45</f>
        <v>0</v>
      </c>
      <c r="F195" s="27">
        <f>'[6]bp-sp-Men'!E45</f>
        <v>0</v>
      </c>
      <c r="G195" s="53">
        <f>'[6]bp-sp-Men'!F45</f>
        <v>0</v>
      </c>
    </row>
    <row r="196" spans="1:7" s="19" customFormat="1" x14ac:dyDescent="0.25">
      <c r="A196" s="49">
        <f>'[6]bp-sp-Men'!A46</f>
        <v>56</v>
      </c>
      <c r="B196" s="19">
        <f>'[6]bp-sp-Men'!B46</f>
        <v>0</v>
      </c>
      <c r="C196" s="19">
        <f>'[6]bp-sp-Men'!C46</f>
        <v>0</v>
      </c>
      <c r="D196" s="19" t="str">
        <f t="shared" ref="D196:D207" si="10">RIGHT(C196,2)</f>
        <v>0</v>
      </c>
      <c r="E196" s="19">
        <f>'[6]bp-sp-Men'!D46</f>
        <v>0</v>
      </c>
      <c r="F196" s="27">
        <f>'[6]bp-sp-Men'!E46</f>
        <v>0</v>
      </c>
      <c r="G196" s="53">
        <f>'[6]bp-sp-Men'!F46</f>
        <v>0</v>
      </c>
    </row>
    <row r="197" spans="1:7" s="19" customFormat="1" x14ac:dyDescent="0.25">
      <c r="A197" s="49">
        <f>'[6]bp-sp-Men'!A47</f>
        <v>60</v>
      </c>
      <c r="B197" s="19">
        <f>'[6]bp-sp-Men'!B47</f>
        <v>0</v>
      </c>
      <c r="C197" s="19">
        <f>'[6]bp-sp-Men'!C47</f>
        <v>0</v>
      </c>
      <c r="D197" s="19" t="str">
        <f t="shared" si="10"/>
        <v>0</v>
      </c>
      <c r="E197" s="19">
        <f>'[6]bp-sp-Men'!D47</f>
        <v>0</v>
      </c>
      <c r="F197" s="27">
        <f>'[6]bp-sp-Men'!E47</f>
        <v>0</v>
      </c>
      <c r="G197" s="53">
        <f>'[6]bp-sp-Men'!F47</f>
        <v>0</v>
      </c>
    </row>
    <row r="198" spans="1:7" s="19" customFormat="1" x14ac:dyDescent="0.25">
      <c r="A198" s="49" t="str">
        <f>'[6]bp-sp-Men'!A48</f>
        <v>67.5</v>
      </c>
      <c r="B198" s="19">
        <f>'[6]bp-sp-Men'!B48</f>
        <v>152.5</v>
      </c>
      <c r="C198" s="19" t="str">
        <f>'[6]bp-sp-Men'!C48</f>
        <v>Izmestyev Alexander/90</v>
      </c>
      <c r="D198" s="19" t="str">
        <f t="shared" si="10"/>
        <v>90</v>
      </c>
      <c r="E198" s="19" t="str">
        <f>'[6]bp-sp-Men'!D48</f>
        <v>RUS</v>
      </c>
      <c r="F198" s="27" t="str">
        <f>'[6]bp-sp-Men'!E48</f>
        <v>24.08.2014</v>
      </c>
      <c r="G198" s="53" t="str">
        <f>'[6]bp-sp-Men'!F48</f>
        <v>Moscow</v>
      </c>
    </row>
    <row r="199" spans="1:7" s="19" customFormat="1" x14ac:dyDescent="0.25">
      <c r="A199" s="49">
        <f>'[6]bp-sp-Men'!A49</f>
        <v>75</v>
      </c>
      <c r="B199" s="19">
        <f>'[6]bp-sp-Men'!B49</f>
        <v>197.5</v>
      </c>
      <c r="C199" s="19" t="str">
        <f>'[6]bp-sp-Men'!C49</f>
        <v>Berezov Vadim/90</v>
      </c>
      <c r="D199" s="19" t="str">
        <f t="shared" si="10"/>
        <v>90</v>
      </c>
      <c r="E199" s="19" t="str">
        <f>'[6]bp-sp-Men'!D49</f>
        <v>RUS</v>
      </c>
      <c r="F199" s="27">
        <f>'[6]bp-sp-Men'!E49</f>
        <v>41502</v>
      </c>
      <c r="G199" s="53" t="str">
        <f>'[6]bp-sp-Men'!F49</f>
        <v>Novosibirsk</v>
      </c>
    </row>
    <row r="200" spans="1:7" s="19" customFormat="1" x14ac:dyDescent="0.25">
      <c r="A200" s="49" t="str">
        <f>'[6]bp-sp-Men'!A50</f>
        <v>82.5</v>
      </c>
      <c r="B200" s="19">
        <f>'[6]bp-sp-Men'!B50</f>
        <v>170</v>
      </c>
      <c r="C200" s="19" t="str">
        <f>'[6]bp-sp-Men'!C50</f>
        <v>Sharonov Sergei/89</v>
      </c>
      <c r="D200" s="19" t="str">
        <f t="shared" si="10"/>
        <v>89</v>
      </c>
      <c r="E200" s="19" t="str">
        <f>'[6]bp-sp-Men'!D50</f>
        <v>RUS</v>
      </c>
      <c r="F200" s="27">
        <f>'[6]bp-sp-Men'!E50</f>
        <v>41321</v>
      </c>
      <c r="G200" s="53" t="str">
        <f>'[6]bp-sp-Men'!F50</f>
        <v>Yekaterinburg</v>
      </c>
    </row>
    <row r="201" spans="1:7" s="19" customFormat="1" x14ac:dyDescent="0.25">
      <c r="A201" s="49">
        <f>'[6]bp-sp-Men'!A51</f>
        <v>90</v>
      </c>
      <c r="B201" s="19">
        <f>'[6]bp-sp-Men'!B51</f>
        <v>225</v>
      </c>
      <c r="C201" s="19" t="str">
        <f>'[6]bp-sp-Men'!C51</f>
        <v>Yakushevich Alexei/91</v>
      </c>
      <c r="D201" s="19" t="str">
        <f t="shared" si="10"/>
        <v>91</v>
      </c>
      <c r="E201" s="19" t="str">
        <f>'[6]bp-sp-Men'!D51</f>
        <v>RUS</v>
      </c>
      <c r="F201" s="27">
        <f>'[6]bp-sp-Men'!E51</f>
        <v>41496</v>
      </c>
      <c r="G201" s="53" t="str">
        <f>'[6]bp-sp-Men'!F51</f>
        <v>Kursk</v>
      </c>
    </row>
    <row r="202" spans="1:7" s="19" customFormat="1" x14ac:dyDescent="0.25">
      <c r="A202" s="49">
        <f>'[6]bp-sp-Men'!A52</f>
        <v>100</v>
      </c>
      <c r="B202" s="19">
        <f>'[6]bp-sp-Men'!B52</f>
        <v>202.5</v>
      </c>
      <c r="C202" s="19" t="str">
        <f>'[6]bp-sp-Men'!C52</f>
        <v>Legchilin Roman/91</v>
      </c>
      <c r="D202" s="19" t="str">
        <f t="shared" si="10"/>
        <v>91</v>
      </c>
      <c r="E202" s="19" t="str">
        <f>'[6]bp-sp-Men'!D52</f>
        <v>RUS</v>
      </c>
      <c r="F202" s="27">
        <f>'[6]bp-sp-Men'!E52</f>
        <v>41720</v>
      </c>
      <c r="G202" s="53" t="str">
        <f>'[6]bp-sp-Men'!F52</f>
        <v>Vologda</v>
      </c>
    </row>
    <row r="203" spans="1:7" s="19" customFormat="1" x14ac:dyDescent="0.25">
      <c r="A203" s="49">
        <f>'[6]bp-sp-Men'!A53</f>
        <v>110</v>
      </c>
      <c r="B203" s="19">
        <f>'[6]bp-sp-Men'!B53</f>
        <v>227.5</v>
      </c>
      <c r="C203" s="19" t="str">
        <f>'[6]bp-sp-Men'!C53</f>
        <v>Fedoseev Kirill/92</v>
      </c>
      <c r="D203" s="19" t="str">
        <f t="shared" si="10"/>
        <v>92</v>
      </c>
      <c r="E203" s="19" t="str">
        <f>'[6]bp-sp-Men'!D53</f>
        <v>RUS</v>
      </c>
      <c r="F203" s="27">
        <f>'[6]bp-sp-Men'!E53</f>
        <v>41608</v>
      </c>
      <c r="G203" s="53" t="str">
        <f>'[6]bp-sp-Men'!F53</f>
        <v>Yekaterinburg</v>
      </c>
    </row>
    <row r="204" spans="1:7" s="19" customFormat="1" x14ac:dyDescent="0.25">
      <c r="A204" s="49">
        <f>'[6]bp-sp-Men'!A54</f>
        <v>125</v>
      </c>
      <c r="B204" s="19">
        <f>'[6]bp-sp-Men'!B54</f>
        <v>210</v>
      </c>
      <c r="C204" s="19" t="str">
        <f>'[6]bp-sp-Men'!C54</f>
        <v>Lavrov Sergei/91</v>
      </c>
      <c r="D204" s="19" t="str">
        <f t="shared" si="10"/>
        <v>91</v>
      </c>
      <c r="E204" s="19" t="str">
        <f>'[6]bp-sp-Men'!D54</f>
        <v>RUS</v>
      </c>
      <c r="F204" s="27" t="str">
        <f>'[6]bp-sp-Men'!E54</f>
        <v>24.08.2014</v>
      </c>
      <c r="G204" s="53" t="str">
        <f>'[6]bp-sp-Men'!F54</f>
        <v>Moscow</v>
      </c>
    </row>
    <row r="205" spans="1:7" s="19" customFormat="1" x14ac:dyDescent="0.25">
      <c r="A205" s="49">
        <f>'[6]bp-sp-Men'!A55</f>
        <v>140</v>
      </c>
      <c r="B205" s="19">
        <f>'[6]bp-sp-Men'!B55</f>
        <v>0</v>
      </c>
      <c r="C205" s="19">
        <f>'[6]bp-sp-Men'!C55</f>
        <v>0</v>
      </c>
      <c r="D205" s="19" t="str">
        <f t="shared" si="10"/>
        <v>0</v>
      </c>
      <c r="E205" s="19">
        <f>'[6]bp-sp-Men'!D55</f>
        <v>0</v>
      </c>
      <c r="F205" s="27">
        <f>'[6]bp-sp-Men'!E55</f>
        <v>0</v>
      </c>
      <c r="G205" s="53">
        <f>'[6]bp-sp-Men'!F55</f>
        <v>0</v>
      </c>
    </row>
    <row r="206" spans="1:7" s="19" customFormat="1" x14ac:dyDescent="0.25">
      <c r="A206" s="49" t="str">
        <f>'[6]bp-sp-Men'!A56</f>
        <v>140+</v>
      </c>
      <c r="B206" s="19">
        <f>'[6]bp-sp-Men'!B56</f>
        <v>0</v>
      </c>
      <c r="C206" s="19">
        <f>'[6]bp-sp-Men'!C56</f>
        <v>0</v>
      </c>
      <c r="D206" s="19" t="str">
        <f t="shared" si="10"/>
        <v>0</v>
      </c>
      <c r="E206" s="19">
        <f>'[6]bp-sp-Men'!D56</f>
        <v>0</v>
      </c>
      <c r="F206" s="27">
        <f>'[6]bp-sp-Men'!E56</f>
        <v>0</v>
      </c>
      <c r="G206" s="53">
        <f>'[6]bp-sp-Men'!F56</f>
        <v>0</v>
      </c>
    </row>
    <row r="207" spans="1:7" s="19" customFormat="1" x14ac:dyDescent="0.25">
      <c r="A207" s="49"/>
      <c r="B207" s="19">
        <f>'[6]bp-sp-Men'!B57</f>
        <v>0</v>
      </c>
      <c r="C207" s="19">
        <f>'[6]bp-sp-Men'!C57</f>
        <v>0</v>
      </c>
      <c r="D207" s="19" t="str">
        <f t="shared" si="10"/>
        <v>0</v>
      </c>
      <c r="E207" s="19">
        <f>'[6]bp-sp-Men'!D57</f>
        <v>0</v>
      </c>
      <c r="F207" s="27">
        <f>'[6]bp-sp-Men'!E57</f>
        <v>0</v>
      </c>
      <c r="G207" s="53">
        <f>'[6]bp-sp-Men'!F57</f>
        <v>0</v>
      </c>
    </row>
    <row r="208" spans="1:7" s="11" customFormat="1" x14ac:dyDescent="0.25">
      <c r="A208" s="22" t="s">
        <v>0</v>
      </c>
      <c r="B208" s="11">
        <v>1</v>
      </c>
      <c r="C208" s="11">
        <v>-2</v>
      </c>
      <c r="D208" s="11" t="str">
        <f>'[6]bp-sp-Men'!B58</f>
        <v>MEN</v>
      </c>
      <c r="F208" s="13"/>
      <c r="G208" s="30">
        <f>'[6]bp-sp-Men'!F58</f>
        <v>0</v>
      </c>
    </row>
    <row r="209" spans="1:7" x14ac:dyDescent="0.25">
      <c r="A209" s="1">
        <f>'[6]bp-sp-Men'!A59</f>
        <v>52</v>
      </c>
      <c r="B209">
        <f>'[6]bp-sp-Men'!B59</f>
        <v>130</v>
      </c>
      <c r="C209" t="str">
        <f>'[6]bp-sp-Men'!C59</f>
        <v>Sokushev Vadim/90</v>
      </c>
      <c r="D209" t="str">
        <f t="shared" si="8"/>
        <v>90</v>
      </c>
      <c r="E209" t="str">
        <f>'[6]bp-sp-Men'!D59</f>
        <v>RUS</v>
      </c>
      <c r="F209" s="10" t="str">
        <f>'[6]bp-sp-Men'!E59</f>
        <v>04.07.2014</v>
      </c>
      <c r="G209" s="29" t="str">
        <f>'[6]bp-sp-Men'!F59</f>
        <v>Novosibirsk</v>
      </c>
    </row>
    <row r="210" spans="1:7" x14ac:dyDescent="0.25">
      <c r="A210" s="1">
        <f>'[6]bp-sp-Men'!A60</f>
        <v>56</v>
      </c>
      <c r="B210">
        <f>'[6]bp-sp-Men'!B60</f>
        <v>100</v>
      </c>
      <c r="C210" t="str">
        <f>'[6]bp-sp-Men'!C60</f>
        <v>Borzenkov Maxim/96</v>
      </c>
      <c r="D210" t="str">
        <f t="shared" ref="D210:D221" si="11">RIGHT(C210,2)</f>
        <v>96</v>
      </c>
      <c r="E210" t="str">
        <f>'[6]bp-sp-Men'!D60</f>
        <v>RUS</v>
      </c>
      <c r="F210" s="10" t="str">
        <f>'[6]bp-sp-Men'!E60</f>
        <v>30.05.2014</v>
      </c>
      <c r="G210" s="29" t="str">
        <f>'[6]bp-sp-Men'!F60</f>
        <v>Kursk</v>
      </c>
    </row>
    <row r="211" spans="1:7" x14ac:dyDescent="0.25">
      <c r="A211" s="1">
        <f>'[6]bp-sp-Men'!A61</f>
        <v>60</v>
      </c>
      <c r="B211">
        <f>'[6]bp-sp-Men'!B61</f>
        <v>100</v>
      </c>
      <c r="C211" t="str">
        <f>'[6]bp-sp-Men'!C61</f>
        <v>Kusochkin Vyacheslav/97</v>
      </c>
      <c r="D211" t="str">
        <f t="shared" si="11"/>
        <v>97</v>
      </c>
      <c r="E211" t="str">
        <f>'[6]bp-sp-Men'!D61</f>
        <v>RUS</v>
      </c>
      <c r="F211" s="10">
        <f>'[6]bp-sp-Men'!E61</f>
        <v>41321</v>
      </c>
      <c r="G211" s="29" t="str">
        <f>'[6]bp-sp-Men'!F61</f>
        <v>Yekaterinburg</v>
      </c>
    </row>
    <row r="212" spans="1:7" x14ac:dyDescent="0.25">
      <c r="A212" s="1" t="str">
        <f>'[6]bp-sp-Men'!A62</f>
        <v>67.5</v>
      </c>
      <c r="B212">
        <f>'[6]bp-sp-Men'!B62</f>
        <v>200.5</v>
      </c>
      <c r="C212" t="str">
        <f>'[6]bp-sp-Men'!C62</f>
        <v>Sufiyanov Ayrat/84</v>
      </c>
      <c r="D212" t="str">
        <f t="shared" si="11"/>
        <v>84</v>
      </c>
      <c r="E212" t="str">
        <f>'[6]bp-sp-Men'!D62</f>
        <v>RUS</v>
      </c>
      <c r="F212" s="10" t="str">
        <f>'[6]bp-sp-Men'!E62</f>
        <v>24.08.2014</v>
      </c>
      <c r="G212" s="29" t="str">
        <f>'[6]bp-sp-Men'!F62</f>
        <v>Moscow</v>
      </c>
    </row>
    <row r="213" spans="1:7" x14ac:dyDescent="0.25">
      <c r="A213" s="1">
        <f>'[6]bp-sp-Men'!A63</f>
        <v>75</v>
      </c>
      <c r="B213">
        <f>'[6]bp-sp-Men'!B63</f>
        <v>232.5</v>
      </c>
      <c r="C213" t="str">
        <f>'[6]bp-sp-Men'!C63</f>
        <v>Sokolov Nikolai/79</v>
      </c>
      <c r="D213" t="str">
        <f t="shared" si="11"/>
        <v>79</v>
      </c>
      <c r="E213" t="str">
        <f>'[6]bp-sp-Men'!D63</f>
        <v>RUS</v>
      </c>
      <c r="F213" s="10" t="str">
        <f>'[6]bp-sp-Men'!E63</f>
        <v>24.08.2014</v>
      </c>
      <c r="G213" s="29" t="str">
        <f>'[6]bp-sp-Men'!F63</f>
        <v>Moscow</v>
      </c>
    </row>
    <row r="214" spans="1:7" x14ac:dyDescent="0.25">
      <c r="A214" s="1" t="str">
        <f>'[6]bp-sp-Men'!A64</f>
        <v>82.5</v>
      </c>
      <c r="B214">
        <f>'[6]bp-sp-Men'!B64</f>
        <v>222.5</v>
      </c>
      <c r="C214" t="str">
        <f>'[6]bp-sp-Men'!C64</f>
        <v>Tishkovskiy Vladimir/86</v>
      </c>
      <c r="D214" t="str">
        <f t="shared" si="11"/>
        <v>86</v>
      </c>
      <c r="E214" t="str">
        <f>'[6]bp-sp-Men'!D64</f>
        <v>RUS</v>
      </c>
      <c r="F214" s="10" t="str">
        <f>'[6]bp-sp-Men'!E64</f>
        <v>24.08.2014</v>
      </c>
      <c r="G214" s="29" t="str">
        <f>'[6]bp-sp-Men'!F64</f>
        <v>Moscow</v>
      </c>
    </row>
    <row r="215" spans="1:7" x14ac:dyDescent="0.25">
      <c r="A215" s="1">
        <f>'[6]bp-sp-Men'!A65</f>
        <v>90</v>
      </c>
      <c r="B215">
        <f>'[6]bp-sp-Men'!B65</f>
        <v>245</v>
      </c>
      <c r="C215" t="str">
        <f>'[6]bp-sp-Men'!C65</f>
        <v>Vinnichenko Sergei/74</v>
      </c>
      <c r="D215" t="str">
        <f t="shared" si="11"/>
        <v>74</v>
      </c>
      <c r="E215" t="str">
        <f>'[6]bp-sp-Men'!D65</f>
        <v>RUS</v>
      </c>
      <c r="F215" s="10" t="str">
        <f>'[6]bp-sp-Men'!E65</f>
        <v>24.08.2014</v>
      </c>
      <c r="G215" s="29" t="str">
        <f>'[6]bp-sp-Men'!F65</f>
        <v>Moscow</v>
      </c>
    </row>
    <row r="216" spans="1:7" x14ac:dyDescent="0.25">
      <c r="A216" s="1">
        <f>'[6]bp-sp-Men'!A66</f>
        <v>100</v>
      </c>
      <c r="B216">
        <f>'[6]bp-sp-Men'!B66</f>
        <v>292.5</v>
      </c>
      <c r="C216" t="str">
        <f>'[6]bp-sp-Men'!C66</f>
        <v>Abdullin Marat/85</v>
      </c>
      <c r="D216" t="str">
        <f t="shared" si="11"/>
        <v>85</v>
      </c>
      <c r="E216" t="str">
        <f>'[6]bp-sp-Men'!D66</f>
        <v>RUS</v>
      </c>
      <c r="F216" s="10" t="str">
        <f>'[6]bp-sp-Men'!E66</f>
        <v>24.08.2014</v>
      </c>
      <c r="G216" s="29" t="str">
        <f>'[6]bp-sp-Men'!F66</f>
        <v>Moscow</v>
      </c>
    </row>
    <row r="217" spans="1:7" x14ac:dyDescent="0.25">
      <c r="A217" s="1">
        <f>'[6]bp-sp-Men'!A67</f>
        <v>110</v>
      </c>
      <c r="B217">
        <f>'[6]bp-sp-Men'!B67</f>
        <v>282.5</v>
      </c>
      <c r="C217" t="str">
        <f>'[6]bp-sp-Men'!C67</f>
        <v>Kuznetsov Konstantin/7</v>
      </c>
      <c r="D217" t="str">
        <f t="shared" si="11"/>
        <v>/7</v>
      </c>
      <c r="E217" t="str">
        <f>'[6]bp-sp-Men'!D67</f>
        <v>RUS</v>
      </c>
      <c r="F217" s="10">
        <f>'[6]bp-sp-Men'!E67</f>
        <v>41608</v>
      </c>
      <c r="G217" s="29" t="str">
        <f>'[6]bp-sp-Men'!F67</f>
        <v>Yekaterinburg</v>
      </c>
    </row>
    <row r="218" spans="1:7" x14ac:dyDescent="0.25">
      <c r="A218" s="1">
        <f>'[6]bp-sp-Men'!A68</f>
        <v>125</v>
      </c>
      <c r="B218">
        <f>'[6]bp-sp-Men'!B68</f>
        <v>245</v>
      </c>
      <c r="C218" t="str">
        <f>'[6]bp-sp-Men'!C68</f>
        <v>Kryzhanovskiy Konstantin/75</v>
      </c>
      <c r="D218" t="str">
        <f t="shared" si="11"/>
        <v>75</v>
      </c>
      <c r="E218" t="str">
        <f>'[6]bp-sp-Men'!D68</f>
        <v>RUS</v>
      </c>
      <c r="F218" s="10" t="str">
        <f>'[6]bp-sp-Men'!E68</f>
        <v>24.08.2014</v>
      </c>
      <c r="G218" s="29" t="str">
        <f>'[6]bp-sp-Men'!F68</f>
        <v>Moscow</v>
      </c>
    </row>
    <row r="219" spans="1:7" x14ac:dyDescent="0.25">
      <c r="A219" s="1">
        <f>'[6]bp-sp-Men'!A69</f>
        <v>140</v>
      </c>
      <c r="B219">
        <f>'[6]bp-sp-Men'!B69</f>
        <v>300</v>
      </c>
      <c r="C219" t="str">
        <f>'[6]bp-sp-Men'!C69</f>
        <v>Kolesnichenko Sergei/79</v>
      </c>
      <c r="D219" t="str">
        <f t="shared" si="11"/>
        <v>79</v>
      </c>
      <c r="E219" t="str">
        <f>'[6]bp-sp-Men'!D69</f>
        <v>RUS</v>
      </c>
      <c r="F219" s="10" t="str">
        <f>'[6]bp-sp-Men'!E69</f>
        <v>09.08.2014</v>
      </c>
      <c r="G219" s="29" t="str">
        <f>'[6]bp-sp-Men'!F69</f>
        <v>Yekaterinburg</v>
      </c>
    </row>
    <row r="220" spans="1:7" s="19" customFormat="1" x14ac:dyDescent="0.25">
      <c r="A220" s="49" t="str">
        <f>'[6]bp-sp-Men'!A70</f>
        <v>140+</v>
      </c>
      <c r="B220" s="19">
        <f>'[6]bp-sp-Men'!B70</f>
        <v>270</v>
      </c>
      <c r="C220" s="19" t="str">
        <f>'[6]bp-sp-Men'!C70</f>
        <v>Bergert Lev/66</v>
      </c>
      <c r="D220" s="19" t="str">
        <f t="shared" si="11"/>
        <v>66</v>
      </c>
      <c r="E220" s="19" t="str">
        <f>'[6]bp-sp-Men'!D70</f>
        <v>RUS</v>
      </c>
      <c r="F220" s="27" t="str">
        <f>'[6]bp-sp-Men'!E70</f>
        <v>24.08.2014</v>
      </c>
      <c r="G220" s="53" t="str">
        <f>'[6]bp-sp-Men'!F70</f>
        <v>Moscow</v>
      </c>
    </row>
    <row r="221" spans="1:7" x14ac:dyDescent="0.25">
      <c r="B221">
        <f>'[6]bp-sp-Men'!B71</f>
        <v>0</v>
      </c>
      <c r="C221">
        <f>'[6]bp-sp-Men'!C71</f>
        <v>0</v>
      </c>
      <c r="D221" t="str">
        <f t="shared" si="11"/>
        <v>0</v>
      </c>
      <c r="E221">
        <f>'[6]bp-sp-Men'!D71</f>
        <v>0</v>
      </c>
      <c r="F221" s="10">
        <f>'[6]bp-sp-Men'!E71</f>
        <v>0</v>
      </c>
      <c r="G221" s="29">
        <f>'[6]bp-sp-Men'!F71</f>
        <v>0</v>
      </c>
    </row>
    <row r="222" spans="1:7" s="11" customFormat="1" x14ac:dyDescent="0.25">
      <c r="A222" s="22" t="s">
        <v>0</v>
      </c>
      <c r="B222" s="11">
        <v>1</v>
      </c>
      <c r="C222" s="11">
        <v>-4</v>
      </c>
      <c r="D222" s="11" t="str">
        <f>'[6]bp-sp-Men'!B72</f>
        <v>Men's Submasters 33-39</v>
      </c>
      <c r="F222" s="13"/>
      <c r="G222" s="30">
        <f>'[6]bp-sp-Men'!F72</f>
        <v>0</v>
      </c>
    </row>
    <row r="223" spans="1:7" x14ac:dyDescent="0.25">
      <c r="A223" s="1">
        <f>'[6]bp-sp-Men'!A73</f>
        <v>52</v>
      </c>
      <c r="B223">
        <f>'[6]bp-sp-Men'!B73</f>
        <v>0</v>
      </c>
      <c r="C223">
        <f>'[6]bp-sp-Men'!C73</f>
        <v>0</v>
      </c>
      <c r="D223" t="str">
        <f t="shared" si="8"/>
        <v>0</v>
      </c>
      <c r="E223">
        <f>'[6]bp-sp-Men'!D73</f>
        <v>0</v>
      </c>
      <c r="F223" s="10">
        <f>'[6]bp-sp-Men'!E73</f>
        <v>0</v>
      </c>
      <c r="G223" s="29">
        <f>'[6]bp-sp-Men'!F73</f>
        <v>0</v>
      </c>
    </row>
    <row r="224" spans="1:7" x14ac:dyDescent="0.25">
      <c r="A224" s="1">
        <f>'[6]bp-sp-Men'!A74</f>
        <v>56</v>
      </c>
      <c r="B224">
        <f>'[6]bp-sp-Men'!B74</f>
        <v>0</v>
      </c>
      <c r="C224">
        <f>'[6]bp-sp-Men'!C74</f>
        <v>0</v>
      </c>
      <c r="D224" t="str">
        <f t="shared" ref="D224:D235" si="12">RIGHT(C224,2)</f>
        <v>0</v>
      </c>
      <c r="E224">
        <f>'[6]bp-sp-Men'!D74</f>
        <v>0</v>
      </c>
      <c r="F224" s="10">
        <f>'[6]bp-sp-Men'!E74</f>
        <v>0</v>
      </c>
      <c r="G224" s="29">
        <f>'[6]bp-sp-Men'!F74</f>
        <v>0</v>
      </c>
    </row>
    <row r="225" spans="1:7" x14ac:dyDescent="0.25">
      <c r="A225" s="1">
        <f>'[6]bp-sp-Men'!A75</f>
        <v>60</v>
      </c>
      <c r="B225">
        <f>'[6]bp-sp-Men'!B75</f>
        <v>0</v>
      </c>
      <c r="C225">
        <f>'[6]bp-sp-Men'!C75</f>
        <v>0</v>
      </c>
      <c r="D225" t="str">
        <f t="shared" si="12"/>
        <v>0</v>
      </c>
      <c r="E225">
        <f>'[6]bp-sp-Men'!D75</f>
        <v>0</v>
      </c>
      <c r="F225" s="10">
        <f>'[6]bp-sp-Men'!E75</f>
        <v>0</v>
      </c>
      <c r="G225" s="29">
        <f>'[6]bp-sp-Men'!F75</f>
        <v>0</v>
      </c>
    </row>
    <row r="226" spans="1:7" x14ac:dyDescent="0.25">
      <c r="A226" s="1" t="str">
        <f>'[6]bp-sp-Men'!A76</f>
        <v>67.5</v>
      </c>
      <c r="B226">
        <f>'[6]bp-sp-Men'!B76</f>
        <v>157.5</v>
      </c>
      <c r="C226" t="str">
        <f>'[6]bp-sp-Men'!C76</f>
        <v>Lusyakov Sergei/80</v>
      </c>
      <c r="D226" t="str">
        <f t="shared" si="12"/>
        <v>80</v>
      </c>
      <c r="E226" t="str">
        <f>'[6]bp-sp-Men'!D76</f>
        <v>RUS</v>
      </c>
      <c r="F226" s="10" t="str">
        <f>'[6]bp-sp-Men'!E76</f>
        <v>09.08.2014</v>
      </c>
      <c r="G226" s="29" t="str">
        <f>'[6]bp-sp-Men'!F76</f>
        <v>Yekaterinburg</v>
      </c>
    </row>
    <row r="227" spans="1:7" x14ac:dyDescent="0.25">
      <c r="A227" s="1">
        <f>'[6]bp-sp-Men'!A77</f>
        <v>75</v>
      </c>
      <c r="B227">
        <f>'[6]bp-sp-Men'!B77</f>
        <v>232.5</v>
      </c>
      <c r="C227" t="str">
        <f>'[6]bp-sp-Men'!C77</f>
        <v>Sokolov Nikolai/79</v>
      </c>
      <c r="D227" t="str">
        <f t="shared" si="12"/>
        <v>79</v>
      </c>
      <c r="E227" t="str">
        <f>'[6]bp-sp-Men'!D77</f>
        <v>RUS</v>
      </c>
      <c r="F227" s="10" t="str">
        <f>'[6]bp-sp-Men'!E77</f>
        <v>24.08.2014</v>
      </c>
      <c r="G227" s="29" t="str">
        <f>'[6]bp-sp-Men'!F77</f>
        <v>Moscow</v>
      </c>
    </row>
    <row r="228" spans="1:7" x14ac:dyDescent="0.25">
      <c r="A228" s="1" t="str">
        <f>'[6]bp-sp-Men'!A78</f>
        <v>82.5</v>
      </c>
      <c r="B228">
        <f>'[6]bp-sp-Men'!B78</f>
        <v>220</v>
      </c>
      <c r="C228" t="str">
        <f>'[6]bp-sp-Men'!C78</f>
        <v>Khachaturyan Armen/78</v>
      </c>
      <c r="D228" t="str">
        <f t="shared" si="12"/>
        <v>78</v>
      </c>
      <c r="E228" t="str">
        <f>'[6]bp-sp-Men'!D78</f>
        <v>RUS</v>
      </c>
      <c r="F228" s="10" t="str">
        <f>'[6]bp-sp-Men'!E78</f>
        <v>24.08.2014</v>
      </c>
      <c r="G228" s="29" t="str">
        <f>'[6]bp-sp-Men'!F78</f>
        <v>Moscow</v>
      </c>
    </row>
    <row r="229" spans="1:7" x14ac:dyDescent="0.25">
      <c r="A229" s="1">
        <f>'[6]bp-sp-Men'!A79</f>
        <v>90</v>
      </c>
      <c r="B229">
        <f>'[6]bp-sp-Men'!B79</f>
        <v>245</v>
      </c>
      <c r="C229" t="str">
        <f>'[6]bp-sp-Men'!C79</f>
        <v>Vinnichenko Sergei/74</v>
      </c>
      <c r="D229" t="str">
        <f t="shared" si="12"/>
        <v>74</v>
      </c>
      <c r="E229" t="str">
        <f>'[6]bp-sp-Men'!D79</f>
        <v>RUS</v>
      </c>
      <c r="F229" s="10" t="str">
        <f>'[6]bp-sp-Men'!E79</f>
        <v>24.08.2014</v>
      </c>
      <c r="G229" s="29" t="str">
        <f>'[6]bp-sp-Men'!F79</f>
        <v>Moscow</v>
      </c>
    </row>
    <row r="230" spans="1:7" x14ac:dyDescent="0.25">
      <c r="A230" s="1">
        <f>'[6]bp-sp-Men'!A80</f>
        <v>100</v>
      </c>
      <c r="B230">
        <f>'[6]bp-sp-Men'!B80</f>
        <v>265</v>
      </c>
      <c r="C230" t="str">
        <f>'[6]bp-sp-Men'!C80</f>
        <v>Kashirin Alexei/73</v>
      </c>
      <c r="D230" t="str">
        <f t="shared" si="12"/>
        <v>73</v>
      </c>
      <c r="E230" t="str">
        <f>'[6]bp-sp-Men'!D80</f>
        <v>RUS</v>
      </c>
      <c r="F230" s="10">
        <f>'[6]bp-sp-Men'!E80</f>
        <v>41439</v>
      </c>
      <c r="G230" s="29" t="str">
        <f>'[6]bp-sp-Men'!F80</f>
        <v>Moscow</v>
      </c>
    </row>
    <row r="231" spans="1:7" x14ac:dyDescent="0.25">
      <c r="A231" s="1">
        <f>'[6]bp-sp-Men'!A81</f>
        <v>110</v>
      </c>
      <c r="B231">
        <f>'[6]bp-sp-Men'!B81</f>
        <v>262.5</v>
      </c>
      <c r="C231" t="str">
        <f>'[6]bp-sp-Men'!C81</f>
        <v>Evstigneev Mikhail/76</v>
      </c>
      <c r="D231" t="str">
        <f t="shared" si="12"/>
        <v>76</v>
      </c>
      <c r="E231" t="str">
        <f>'[6]bp-sp-Men'!D81</f>
        <v>RUS</v>
      </c>
      <c r="F231" s="10" t="str">
        <f>'[6]bp-sp-Men'!E81</f>
        <v>24.08.2014</v>
      </c>
      <c r="G231" s="29" t="str">
        <f>'[6]bp-sp-Men'!F81</f>
        <v>Moscow</v>
      </c>
    </row>
    <row r="232" spans="1:7" s="19" customFormat="1" x14ac:dyDescent="0.25">
      <c r="A232" s="49">
        <f>'[6]bp-sp-Men'!A82</f>
        <v>125</v>
      </c>
      <c r="B232" s="19">
        <f>'[6]bp-sp-Men'!B82</f>
        <v>245</v>
      </c>
      <c r="C232" s="19" t="str">
        <f>'[6]bp-sp-Men'!C82</f>
        <v>Kryzhanovskiy Konstantin/75</v>
      </c>
      <c r="D232" s="19" t="str">
        <f t="shared" si="12"/>
        <v>75</v>
      </c>
      <c r="E232" s="19" t="str">
        <f>'[6]bp-sp-Men'!D82</f>
        <v>RUS</v>
      </c>
      <c r="F232" s="27" t="str">
        <f>'[6]bp-sp-Men'!E82</f>
        <v>24.08.2014</v>
      </c>
      <c r="G232" s="53" t="str">
        <f>'[6]bp-sp-Men'!F82</f>
        <v>Moscow</v>
      </c>
    </row>
    <row r="233" spans="1:7" s="19" customFormat="1" x14ac:dyDescent="0.25">
      <c r="A233" s="49">
        <f>'[6]bp-sp-Men'!A83</f>
        <v>140</v>
      </c>
      <c r="B233" s="19">
        <f>'[6]bp-sp-Men'!B83</f>
        <v>300</v>
      </c>
      <c r="C233" s="19" t="str">
        <f>'[6]bp-sp-Men'!C83</f>
        <v>Kolesnichenko Sergei/79</v>
      </c>
      <c r="D233" s="19" t="str">
        <f t="shared" si="12"/>
        <v>79</v>
      </c>
      <c r="E233" s="19" t="str">
        <f>'[6]bp-sp-Men'!D83</f>
        <v>RUS</v>
      </c>
      <c r="F233" s="27" t="str">
        <f>'[6]bp-sp-Men'!E83</f>
        <v>09.08.2014</v>
      </c>
      <c r="G233" s="53" t="str">
        <f>'[6]bp-sp-Men'!F83</f>
        <v>Yekaterinburg</v>
      </c>
    </row>
    <row r="234" spans="1:7" s="19" customFormat="1" x14ac:dyDescent="0.25">
      <c r="A234" s="49" t="str">
        <f>'[6]bp-sp-Men'!A84</f>
        <v>140+</v>
      </c>
      <c r="B234" s="19">
        <f>'[6]bp-sp-Men'!B84</f>
        <v>0</v>
      </c>
      <c r="C234" s="19">
        <f>'[6]bp-sp-Men'!C84</f>
        <v>0</v>
      </c>
      <c r="D234" s="19" t="str">
        <f t="shared" si="12"/>
        <v>0</v>
      </c>
      <c r="E234" s="19">
        <f>'[6]bp-sp-Men'!D84</f>
        <v>0</v>
      </c>
      <c r="F234" s="27">
        <f>'[6]bp-sp-Men'!E84</f>
        <v>0</v>
      </c>
      <c r="G234" s="53">
        <f>'[6]bp-sp-Men'!F84</f>
        <v>0</v>
      </c>
    </row>
    <row r="235" spans="1:7" x14ac:dyDescent="0.25">
      <c r="B235">
        <f>'[6]bp-sp-Men'!B85</f>
        <v>0</v>
      </c>
      <c r="C235">
        <f>'[6]bp-sp-Men'!C85</f>
        <v>0</v>
      </c>
      <c r="D235" t="str">
        <f t="shared" si="12"/>
        <v>0</v>
      </c>
      <c r="E235">
        <f>'[6]bp-sp-Men'!D85</f>
        <v>0</v>
      </c>
      <c r="F235" s="10">
        <f>'[6]bp-sp-Men'!E85</f>
        <v>0</v>
      </c>
      <c r="G235" s="29">
        <f>'[6]bp-sp-Men'!F85</f>
        <v>0</v>
      </c>
    </row>
    <row r="236" spans="1:7" s="11" customFormat="1" x14ac:dyDescent="0.25">
      <c r="A236" s="22" t="s">
        <v>0</v>
      </c>
      <c r="B236" s="11">
        <v>1</v>
      </c>
      <c r="C236" s="11">
        <v>40</v>
      </c>
      <c r="D236" s="11" t="str">
        <f>'[6]bp-sp-Men'!B86</f>
        <v>Men's Master1  (40 - 44)</v>
      </c>
      <c r="F236" s="13"/>
      <c r="G236" s="30">
        <f>'[6]bp-sp-Men'!F86</f>
        <v>0</v>
      </c>
    </row>
    <row r="237" spans="1:7" x14ac:dyDescent="0.25">
      <c r="A237" s="1">
        <f>'[6]bp-sp-Men'!A87</f>
        <v>52</v>
      </c>
      <c r="B237">
        <f>'[6]bp-sp-Men'!B87</f>
        <v>0</v>
      </c>
      <c r="C237">
        <f>'[6]bp-sp-Men'!C87</f>
        <v>0</v>
      </c>
      <c r="D237" t="str">
        <f t="shared" ref="D237:D292" si="13">RIGHT(C237,2)</f>
        <v>0</v>
      </c>
      <c r="E237">
        <f>'[6]bp-sp-Men'!D87</f>
        <v>0</v>
      </c>
      <c r="F237" s="10">
        <f>'[6]bp-sp-Men'!E87</f>
        <v>0</v>
      </c>
      <c r="G237" s="29">
        <f>'[6]bp-sp-Men'!F87</f>
        <v>0</v>
      </c>
    </row>
    <row r="238" spans="1:7" x14ac:dyDescent="0.25">
      <c r="A238" s="1">
        <f>'[6]bp-sp-Men'!A88</f>
        <v>56</v>
      </c>
      <c r="B238">
        <f>'[6]bp-sp-Men'!B88</f>
        <v>0</v>
      </c>
      <c r="C238">
        <f>'[6]bp-sp-Men'!C88</f>
        <v>0</v>
      </c>
      <c r="D238" t="str">
        <f t="shared" ref="D238:D249" si="14">RIGHT(C238,2)</f>
        <v>0</v>
      </c>
      <c r="E238">
        <f>'[6]bp-sp-Men'!D88</f>
        <v>0</v>
      </c>
      <c r="F238" s="10">
        <f>'[6]bp-sp-Men'!E88</f>
        <v>0</v>
      </c>
      <c r="G238" s="29">
        <f>'[6]bp-sp-Men'!F88</f>
        <v>0</v>
      </c>
    </row>
    <row r="239" spans="1:7" x14ac:dyDescent="0.25">
      <c r="A239" s="1">
        <f>'[6]bp-sp-Men'!A89</f>
        <v>60</v>
      </c>
      <c r="B239">
        <f>'[6]bp-sp-Men'!B89</f>
        <v>0</v>
      </c>
      <c r="C239">
        <f>'[6]bp-sp-Men'!C89</f>
        <v>0</v>
      </c>
      <c r="D239" t="str">
        <f t="shared" si="14"/>
        <v>0</v>
      </c>
      <c r="E239">
        <f>'[6]bp-sp-Men'!D89</f>
        <v>0</v>
      </c>
      <c r="F239" s="10">
        <f>'[6]bp-sp-Men'!E89</f>
        <v>0</v>
      </c>
      <c r="G239" s="29">
        <f>'[6]bp-sp-Men'!F89</f>
        <v>0</v>
      </c>
    </row>
    <row r="240" spans="1:7" x14ac:dyDescent="0.25">
      <c r="A240" s="1" t="str">
        <f>'[6]bp-sp-Men'!A90</f>
        <v>67.5</v>
      </c>
      <c r="B240">
        <f>'[6]bp-sp-Men'!B90</f>
        <v>160</v>
      </c>
      <c r="C240" t="str">
        <f>'[6]bp-sp-Men'!C90</f>
        <v>Mironov Oleg/70</v>
      </c>
      <c r="D240" t="str">
        <f t="shared" si="14"/>
        <v>70</v>
      </c>
      <c r="E240" t="str">
        <f>'[6]bp-sp-Men'!D90</f>
        <v>RUS</v>
      </c>
      <c r="F240" s="10">
        <f>'[6]bp-sp-Men'!E90</f>
        <v>41608</v>
      </c>
      <c r="G240" s="29" t="str">
        <f>'[6]bp-sp-Men'!F90</f>
        <v>Yekaterinburg</v>
      </c>
    </row>
    <row r="241" spans="1:7" x14ac:dyDescent="0.25">
      <c r="A241" s="1">
        <f>'[6]bp-sp-Men'!A91</f>
        <v>75</v>
      </c>
      <c r="B241">
        <f>'[6]bp-sp-Men'!B91</f>
        <v>155</v>
      </c>
      <c r="C241" t="str">
        <f>'[6]bp-sp-Men'!C91</f>
        <v>Lapynin Vladimir/70</v>
      </c>
      <c r="D241" t="str">
        <f t="shared" si="14"/>
        <v>70</v>
      </c>
      <c r="E241" t="str">
        <f>'[6]bp-sp-Men'!D91</f>
        <v>RUS</v>
      </c>
      <c r="F241" s="10" t="str">
        <f>'[6]bp-sp-Men'!E91</f>
        <v>24.08.2014</v>
      </c>
      <c r="G241" s="29" t="str">
        <f>'[6]bp-sp-Men'!F91</f>
        <v>Moscow</v>
      </c>
    </row>
    <row r="242" spans="1:7" s="19" customFormat="1" x14ac:dyDescent="0.25">
      <c r="A242" s="49" t="str">
        <f>'[6]bp-sp-Men'!A92</f>
        <v>82.5</v>
      </c>
      <c r="B242" s="19">
        <f>'[6]bp-sp-Men'!B92</f>
        <v>190</v>
      </c>
      <c r="C242" s="19" t="str">
        <f>'[6]bp-sp-Men'!C92</f>
        <v>Bryazgunov Alexei/70</v>
      </c>
      <c r="D242" s="19" t="str">
        <f t="shared" si="14"/>
        <v>70</v>
      </c>
      <c r="E242" s="19" t="str">
        <f>'[6]bp-sp-Men'!D92</f>
        <v>RUS</v>
      </c>
      <c r="F242" s="27">
        <f>'[6]bp-sp-Men'!E92</f>
        <v>41496</v>
      </c>
      <c r="G242" s="53" t="str">
        <f>'[6]bp-sp-Men'!F92</f>
        <v>Kursk</v>
      </c>
    </row>
    <row r="243" spans="1:7" s="19" customFormat="1" x14ac:dyDescent="0.25">
      <c r="A243" s="49">
        <f>'[6]bp-sp-Men'!A93</f>
        <v>90</v>
      </c>
      <c r="B243" s="19">
        <f>'[6]bp-sp-Men'!B93</f>
        <v>240</v>
      </c>
      <c r="C243" s="19" t="str">
        <f>'[6]bp-sp-Men'!C93</f>
        <v>Konchakov Vladimir/73</v>
      </c>
      <c r="D243" s="19" t="str">
        <f t="shared" si="14"/>
        <v>73</v>
      </c>
      <c r="E243" s="19" t="str">
        <f>'[6]bp-sp-Men'!D93</f>
        <v>RUS</v>
      </c>
      <c r="F243" s="27" t="str">
        <f>'[6]bp-sp-Men'!E93</f>
        <v>04.07.2014</v>
      </c>
      <c r="G243" s="53" t="str">
        <f>'[6]bp-sp-Men'!F93</f>
        <v>Novosibirsk</v>
      </c>
    </row>
    <row r="244" spans="1:7" s="19" customFormat="1" x14ac:dyDescent="0.25">
      <c r="A244" s="49">
        <f>'[6]bp-sp-Men'!A94</f>
        <v>100</v>
      </c>
      <c r="B244" s="19">
        <f>'[6]bp-sp-Men'!B94</f>
        <v>260</v>
      </c>
      <c r="C244" s="19" t="str">
        <f>'[6]bp-sp-Men'!C94</f>
        <v>Synkov Vasiliy/72</v>
      </c>
      <c r="D244" s="19" t="str">
        <f t="shared" si="14"/>
        <v>72</v>
      </c>
      <c r="E244" s="19" t="str">
        <f>'[6]bp-sp-Men'!D94</f>
        <v>RUS</v>
      </c>
      <c r="F244" s="27">
        <f>'[6]bp-sp-Men'!E94</f>
        <v>41502</v>
      </c>
      <c r="G244" s="53" t="str">
        <f>'[6]bp-sp-Men'!F94</f>
        <v>Novosibirsk</v>
      </c>
    </row>
    <row r="245" spans="1:7" s="19" customFormat="1" x14ac:dyDescent="0.25">
      <c r="A245" s="49">
        <f>'[6]bp-sp-Men'!A95</f>
        <v>110</v>
      </c>
      <c r="B245" s="19">
        <f>'[6]bp-sp-Men'!B95</f>
        <v>225</v>
      </c>
      <c r="C245" s="19" t="str">
        <f>'[6]bp-sp-Men'!C95</f>
        <v>Dedevshin Stanislav/69</v>
      </c>
      <c r="D245" s="19" t="str">
        <f t="shared" si="14"/>
        <v>69</v>
      </c>
      <c r="E245" s="19" t="str">
        <f>'[6]bp-sp-Men'!D95</f>
        <v>RUS</v>
      </c>
      <c r="F245" s="27" t="str">
        <f>'[6]bp-sp-Men'!E95</f>
        <v>24.08.2014</v>
      </c>
      <c r="G245" s="53" t="str">
        <f>'[6]bp-sp-Men'!F95</f>
        <v>Moscow</v>
      </c>
    </row>
    <row r="246" spans="1:7" x14ac:dyDescent="0.25">
      <c r="A246" s="1">
        <f>'[6]bp-sp-Men'!A96</f>
        <v>125</v>
      </c>
      <c r="B246">
        <f>'[6]bp-sp-Men'!B96</f>
        <v>212.5</v>
      </c>
      <c r="C246" t="str">
        <f>'[6]bp-sp-Men'!C96</f>
        <v>Sibilev Yevgeniy/70</v>
      </c>
      <c r="D246" t="str">
        <f t="shared" si="14"/>
        <v>70</v>
      </c>
      <c r="E246" t="str">
        <f>'[6]bp-sp-Men'!D96</f>
        <v>RUS</v>
      </c>
      <c r="F246" s="10" t="str">
        <f>'[6]bp-sp-Men'!E96</f>
        <v>24.08.2014</v>
      </c>
      <c r="G246" s="29" t="str">
        <f>'[6]bp-sp-Men'!F96</f>
        <v>Moscow</v>
      </c>
    </row>
    <row r="247" spans="1:7" x14ac:dyDescent="0.25">
      <c r="A247" s="1">
        <f>'[6]bp-sp-Men'!A97</f>
        <v>140</v>
      </c>
      <c r="B247">
        <f>'[6]bp-sp-Men'!B97</f>
        <v>0</v>
      </c>
      <c r="C247">
        <f>'[6]bp-sp-Men'!C97</f>
        <v>0</v>
      </c>
      <c r="D247" t="str">
        <f t="shared" si="14"/>
        <v>0</v>
      </c>
      <c r="E247">
        <f>'[6]bp-sp-Men'!D97</f>
        <v>0</v>
      </c>
      <c r="F247" s="10">
        <f>'[6]bp-sp-Men'!E97</f>
        <v>0</v>
      </c>
      <c r="G247" s="29">
        <f>'[6]bp-sp-Men'!F97</f>
        <v>0</v>
      </c>
    </row>
    <row r="248" spans="1:7" x14ac:dyDescent="0.25">
      <c r="A248" s="1" t="str">
        <f>'[6]bp-sp-Men'!A98</f>
        <v>140+</v>
      </c>
      <c r="B248">
        <f>'[6]bp-sp-Men'!B98</f>
        <v>197.5</v>
      </c>
      <c r="C248" t="str">
        <f>'[6]bp-sp-Men'!C98</f>
        <v>Smirnov Yuriy/71</v>
      </c>
      <c r="D248" t="str">
        <f t="shared" si="14"/>
        <v>71</v>
      </c>
      <c r="E248" t="str">
        <f>'[6]bp-sp-Men'!D98</f>
        <v>RUS</v>
      </c>
      <c r="F248" s="10" t="str">
        <f>'[6]bp-sp-Men'!E98</f>
        <v>24.08.2014</v>
      </c>
      <c r="G248" s="29" t="str">
        <f>'[6]bp-sp-Men'!F98</f>
        <v>Moscow</v>
      </c>
    </row>
    <row r="249" spans="1:7" x14ac:dyDescent="0.25">
      <c r="B249">
        <f>'[6]bp-sp-Men'!B99</f>
        <v>0</v>
      </c>
      <c r="C249">
        <f>'[6]bp-sp-Men'!C99</f>
        <v>0</v>
      </c>
      <c r="D249" t="str">
        <f t="shared" si="14"/>
        <v>0</v>
      </c>
      <c r="E249">
        <f>'[6]bp-sp-Men'!D99</f>
        <v>0</v>
      </c>
      <c r="F249" s="10">
        <f>'[6]bp-sp-Men'!E99</f>
        <v>0</v>
      </c>
      <c r="G249" s="29">
        <f>'[6]bp-sp-Men'!F99</f>
        <v>0</v>
      </c>
    </row>
    <row r="250" spans="1:7" s="11" customFormat="1" x14ac:dyDescent="0.25">
      <c r="A250" s="22" t="s">
        <v>0</v>
      </c>
      <c r="B250" s="11">
        <v>1</v>
      </c>
      <c r="C250" s="11">
        <v>45</v>
      </c>
      <c r="D250" s="11" t="str">
        <f>'[6]bp-sp-Men'!B100</f>
        <v>Men's Master2  (45 - 49)</v>
      </c>
      <c r="F250" s="13"/>
      <c r="G250" s="30">
        <f>'[6]bp-sp-Men'!F100</f>
        <v>0</v>
      </c>
    </row>
    <row r="251" spans="1:7" x14ac:dyDescent="0.25">
      <c r="A251" s="1">
        <f>'[6]bp-sp-Men'!A101</f>
        <v>52</v>
      </c>
      <c r="B251">
        <f>'[6]bp-sp-Men'!B101</f>
        <v>0</v>
      </c>
      <c r="C251">
        <f>'[6]bp-sp-Men'!C101</f>
        <v>0</v>
      </c>
      <c r="D251" t="str">
        <f t="shared" si="13"/>
        <v>0</v>
      </c>
      <c r="E251">
        <f>'[6]bp-sp-Men'!D101</f>
        <v>0</v>
      </c>
      <c r="F251" s="10">
        <f>'[6]bp-sp-Men'!E101</f>
        <v>0</v>
      </c>
      <c r="G251" s="29">
        <f>'[6]bp-sp-Men'!F101</f>
        <v>0</v>
      </c>
    </row>
    <row r="252" spans="1:7" x14ac:dyDescent="0.25">
      <c r="A252" s="1">
        <f>'[6]bp-sp-Men'!A102</f>
        <v>56</v>
      </c>
      <c r="B252">
        <f>'[6]bp-sp-Men'!B102</f>
        <v>0</v>
      </c>
      <c r="C252">
        <f>'[6]bp-sp-Men'!C102</f>
        <v>0</v>
      </c>
      <c r="D252" t="str">
        <f t="shared" si="13"/>
        <v>0</v>
      </c>
      <c r="E252">
        <f>'[6]bp-sp-Men'!D102</f>
        <v>0</v>
      </c>
      <c r="F252" s="10">
        <f>'[6]bp-sp-Men'!E102</f>
        <v>0</v>
      </c>
      <c r="G252" s="29">
        <f>'[6]bp-sp-Men'!F102</f>
        <v>0</v>
      </c>
    </row>
    <row r="253" spans="1:7" x14ac:dyDescent="0.25">
      <c r="A253" s="1">
        <f>'[6]bp-sp-Men'!A103</f>
        <v>60</v>
      </c>
      <c r="B253">
        <f>'[6]bp-sp-Men'!B103</f>
        <v>0</v>
      </c>
      <c r="C253">
        <f>'[6]bp-sp-Men'!C103</f>
        <v>0</v>
      </c>
      <c r="D253" t="str">
        <f t="shared" ref="D253:D263" si="15">RIGHT(C253,2)</f>
        <v>0</v>
      </c>
      <c r="E253">
        <f>'[6]bp-sp-Men'!D103</f>
        <v>0</v>
      </c>
      <c r="F253" s="10">
        <f>'[6]bp-sp-Men'!E103</f>
        <v>0</v>
      </c>
      <c r="G253" s="29">
        <f>'[6]bp-sp-Men'!F103</f>
        <v>0</v>
      </c>
    </row>
    <row r="254" spans="1:7" x14ac:dyDescent="0.25">
      <c r="A254" s="1">
        <f>'[6]bp-sp-Men'!A104</f>
        <v>67.5</v>
      </c>
      <c r="B254">
        <f>'[6]bp-sp-Men'!B104</f>
        <v>0</v>
      </c>
      <c r="C254">
        <f>'[6]bp-sp-Men'!C104</f>
        <v>0</v>
      </c>
      <c r="D254" t="str">
        <f t="shared" si="15"/>
        <v>0</v>
      </c>
      <c r="E254">
        <f>'[6]bp-sp-Men'!D104</f>
        <v>0</v>
      </c>
      <c r="F254" s="10">
        <f>'[6]bp-sp-Men'!E104</f>
        <v>0</v>
      </c>
      <c r="G254" s="29">
        <f>'[6]bp-sp-Men'!F104</f>
        <v>0</v>
      </c>
    </row>
    <row r="255" spans="1:7" x14ac:dyDescent="0.25">
      <c r="A255" s="1">
        <f>'[6]bp-sp-Men'!A105</f>
        <v>75</v>
      </c>
      <c r="B255">
        <f>'[6]bp-sp-Men'!B105</f>
        <v>147.5</v>
      </c>
      <c r="C255" t="str">
        <f>'[6]bp-sp-Men'!C105</f>
        <v>Bashtanov Igor/67</v>
      </c>
      <c r="D255" t="str">
        <f t="shared" si="15"/>
        <v>67</v>
      </c>
      <c r="E255" t="str">
        <f>'[6]bp-sp-Men'!D105</f>
        <v>RUS</v>
      </c>
      <c r="F255" s="10" t="str">
        <f>'[6]bp-sp-Men'!E105</f>
        <v>04.07.2014</v>
      </c>
      <c r="G255" s="29" t="str">
        <f>'[6]bp-sp-Men'!F105</f>
        <v>Novosibirsk</v>
      </c>
    </row>
    <row r="256" spans="1:7" x14ac:dyDescent="0.25">
      <c r="A256" s="1" t="str">
        <f>'[6]bp-sp-Men'!A106</f>
        <v>82.5</v>
      </c>
      <c r="B256">
        <f>'[6]bp-sp-Men'!B106</f>
        <v>187.5</v>
      </c>
      <c r="C256" t="str">
        <f>'[6]bp-sp-Men'!C106</f>
        <v>Dremenkov Konstantin/66</v>
      </c>
      <c r="D256" t="str">
        <f t="shared" si="15"/>
        <v>66</v>
      </c>
      <c r="E256" t="str">
        <f>'[6]bp-sp-Men'!D106</f>
        <v>BLR</v>
      </c>
      <c r="F256" s="10" t="str">
        <f>'[6]bp-sp-Men'!E106</f>
        <v>24.08.2014</v>
      </c>
      <c r="G256" s="29" t="str">
        <f>'[6]bp-sp-Men'!F106</f>
        <v>Moscow</v>
      </c>
    </row>
    <row r="257" spans="1:7" x14ac:dyDescent="0.25">
      <c r="A257" s="1">
        <f>'[6]bp-sp-Men'!A107</f>
        <v>90</v>
      </c>
      <c r="B257">
        <f>'[6]bp-sp-Men'!B107</f>
        <v>215</v>
      </c>
      <c r="C257" t="str">
        <f>'[6]bp-sp-Men'!C107</f>
        <v>Sender Alexei/65</v>
      </c>
      <c r="D257" t="str">
        <f t="shared" si="15"/>
        <v>65</v>
      </c>
      <c r="E257" t="str">
        <f>'[6]bp-sp-Men'!D107</f>
        <v>BLR</v>
      </c>
      <c r="F257" s="10" t="str">
        <f>'[6]bp-sp-Men'!E107</f>
        <v>24.08.2014</v>
      </c>
      <c r="G257" s="29" t="str">
        <f>'[6]bp-sp-Men'!F107</f>
        <v>Moscow</v>
      </c>
    </row>
    <row r="258" spans="1:7" s="19" customFormat="1" x14ac:dyDescent="0.25">
      <c r="A258" s="49">
        <f>'[6]bp-sp-Men'!A108</f>
        <v>100</v>
      </c>
      <c r="B258" s="19">
        <f>'[6]bp-sp-Men'!B108</f>
        <v>207.5</v>
      </c>
      <c r="C258" s="19" t="str">
        <f>'[6]bp-sp-Men'!C108</f>
        <v>Solomichev Igor/67</v>
      </c>
      <c r="D258" s="19" t="str">
        <f t="shared" si="15"/>
        <v>67</v>
      </c>
      <c r="E258" s="19" t="str">
        <f>'[6]bp-sp-Men'!D108</f>
        <v>RUS</v>
      </c>
      <c r="F258" s="27" t="str">
        <f>'[6]bp-sp-Men'!E108</f>
        <v>24.08.2014</v>
      </c>
      <c r="G258" s="53" t="str">
        <f>'[6]bp-sp-Men'!F108</f>
        <v>Moscow</v>
      </c>
    </row>
    <row r="259" spans="1:7" x14ac:dyDescent="0.25">
      <c r="A259" s="1">
        <f>'[6]bp-sp-Men'!A109</f>
        <v>110</v>
      </c>
      <c r="B259">
        <f>'[6]bp-sp-Men'!B109</f>
        <v>202.5</v>
      </c>
      <c r="C259" t="str">
        <f>'[6]bp-sp-Men'!C109</f>
        <v>Terentyev Alexander/69</v>
      </c>
      <c r="D259" t="str">
        <f t="shared" si="15"/>
        <v>69</v>
      </c>
      <c r="E259" t="str">
        <f>'[6]bp-sp-Men'!D109</f>
        <v>RUS</v>
      </c>
      <c r="F259" s="10" t="str">
        <f>'[6]bp-sp-Men'!E109</f>
        <v>24.08.2014</v>
      </c>
      <c r="G259" s="29" t="str">
        <f>'[6]bp-sp-Men'!F109</f>
        <v>Moscow</v>
      </c>
    </row>
    <row r="260" spans="1:7" x14ac:dyDescent="0.25">
      <c r="A260" s="1">
        <f>'[6]bp-sp-Men'!A110</f>
        <v>125</v>
      </c>
      <c r="B260">
        <f>'[6]bp-sp-Men'!B110</f>
        <v>190</v>
      </c>
      <c r="C260" t="str">
        <f>'[6]bp-sp-Men'!C110</f>
        <v>Lukyanchik Yuriy/67</v>
      </c>
      <c r="D260" t="str">
        <f t="shared" si="15"/>
        <v>67</v>
      </c>
      <c r="E260" t="str">
        <f>'[6]bp-sp-Men'!D110</f>
        <v>RUS</v>
      </c>
      <c r="F260" s="10" t="str">
        <f>'[6]bp-sp-Men'!E110</f>
        <v>24.08.2014</v>
      </c>
      <c r="G260" s="29" t="str">
        <f>'[6]bp-sp-Men'!F110</f>
        <v>Moscow</v>
      </c>
    </row>
    <row r="261" spans="1:7" x14ac:dyDescent="0.25">
      <c r="A261" s="1">
        <f>'[6]bp-sp-Men'!A111</f>
        <v>140</v>
      </c>
      <c r="B261">
        <f>'[6]bp-sp-Men'!B111</f>
        <v>0</v>
      </c>
      <c r="C261">
        <f>'[6]bp-sp-Men'!C111</f>
        <v>0</v>
      </c>
      <c r="D261" t="str">
        <f t="shared" si="15"/>
        <v>0</v>
      </c>
      <c r="E261">
        <f>'[6]bp-sp-Men'!D111</f>
        <v>0</v>
      </c>
      <c r="F261" s="10">
        <f>'[6]bp-sp-Men'!E111</f>
        <v>0</v>
      </c>
      <c r="G261" s="29">
        <f>'[6]bp-sp-Men'!F111</f>
        <v>0</v>
      </c>
    </row>
    <row r="262" spans="1:7" x14ac:dyDescent="0.25">
      <c r="A262" s="1" t="str">
        <f>'[6]bp-sp-Men'!A112</f>
        <v>140+</v>
      </c>
      <c r="B262">
        <f>'[6]bp-sp-Men'!B112</f>
        <v>270</v>
      </c>
      <c r="C262" t="str">
        <f>'[6]bp-sp-Men'!C112</f>
        <v>Bergert Lev/66</v>
      </c>
      <c r="D262" t="str">
        <f t="shared" si="15"/>
        <v>66</v>
      </c>
      <c r="E262" t="str">
        <f>'[6]bp-sp-Men'!D112</f>
        <v>RUS</v>
      </c>
      <c r="F262" s="10" t="str">
        <f>'[6]bp-sp-Men'!E112</f>
        <v>24.08.2014</v>
      </c>
      <c r="G262" s="29" t="str">
        <f>'[6]bp-sp-Men'!F112</f>
        <v>Moscow</v>
      </c>
    </row>
    <row r="263" spans="1:7" x14ac:dyDescent="0.25">
      <c r="B263">
        <f>'[6]bp-sp-Men'!B113</f>
        <v>0</v>
      </c>
      <c r="C263">
        <f>'[6]bp-sp-Men'!C113</f>
        <v>0</v>
      </c>
      <c r="D263" t="str">
        <f t="shared" si="15"/>
        <v>0</v>
      </c>
      <c r="E263">
        <f>'[6]bp-sp-Men'!D113</f>
        <v>0</v>
      </c>
      <c r="F263" s="10">
        <f>'[6]bp-sp-Men'!E113</f>
        <v>0</v>
      </c>
      <c r="G263" s="29">
        <f>'[6]bp-sp-Men'!F113</f>
        <v>0</v>
      </c>
    </row>
    <row r="264" spans="1:7" s="11" customFormat="1" x14ac:dyDescent="0.25">
      <c r="A264" s="22" t="s">
        <v>0</v>
      </c>
      <c r="B264" s="11">
        <v>1</v>
      </c>
      <c r="C264" s="11">
        <v>50</v>
      </c>
      <c r="D264" s="11" t="str">
        <f>'[6]bp-sp-Men'!B114</f>
        <v>Men's Master3  (50 - 54)</v>
      </c>
      <c r="F264" s="13"/>
      <c r="G264" s="30">
        <f>'[6]bp-sp-Men'!F114</f>
        <v>0</v>
      </c>
    </row>
    <row r="265" spans="1:7" s="19" customFormat="1" x14ac:dyDescent="0.25">
      <c r="A265" s="49">
        <f>'[6]bp-sp-Men'!A115</f>
        <v>52</v>
      </c>
      <c r="B265" s="19">
        <f>'[6]bp-sp-Men'!B115</f>
        <v>0</v>
      </c>
      <c r="C265" s="19">
        <f>'[6]bp-sp-Men'!C115</f>
        <v>0</v>
      </c>
      <c r="D265" s="19" t="str">
        <f t="shared" si="13"/>
        <v>0</v>
      </c>
      <c r="E265" s="19">
        <f>'[6]bp-sp-Men'!D115</f>
        <v>0</v>
      </c>
      <c r="F265" s="27">
        <f>'[6]bp-sp-Men'!E115</f>
        <v>0</v>
      </c>
      <c r="G265" s="53">
        <f>'[6]bp-sp-Men'!F115</f>
        <v>0</v>
      </c>
    </row>
    <row r="266" spans="1:7" s="19" customFormat="1" x14ac:dyDescent="0.25">
      <c r="A266" s="49">
        <f>'[6]bp-sp-Men'!A116</f>
        <v>56</v>
      </c>
      <c r="B266" s="19">
        <f>'[6]bp-sp-Men'!B116</f>
        <v>0</v>
      </c>
      <c r="C266" s="19">
        <f>'[6]bp-sp-Men'!C116</f>
        <v>0</v>
      </c>
      <c r="D266" s="19" t="str">
        <f t="shared" ref="D266:D276" si="16">RIGHT(C266,2)</f>
        <v>0</v>
      </c>
      <c r="E266" s="19">
        <f>'[6]bp-sp-Men'!D116</f>
        <v>0</v>
      </c>
      <c r="F266" s="27">
        <f>'[6]bp-sp-Men'!E116</f>
        <v>0</v>
      </c>
      <c r="G266" s="53">
        <f>'[6]bp-sp-Men'!F116</f>
        <v>0</v>
      </c>
    </row>
    <row r="267" spans="1:7" s="19" customFormat="1" x14ac:dyDescent="0.25">
      <c r="A267" s="49">
        <f>'[6]bp-sp-Men'!A117</f>
        <v>60</v>
      </c>
      <c r="B267" s="19">
        <f>'[6]bp-sp-Men'!B117</f>
        <v>0</v>
      </c>
      <c r="C267" s="19">
        <f>'[6]bp-sp-Men'!C117</f>
        <v>0</v>
      </c>
      <c r="D267" s="19" t="str">
        <f t="shared" si="16"/>
        <v>0</v>
      </c>
      <c r="E267" s="19">
        <f>'[6]bp-sp-Men'!D117</f>
        <v>0</v>
      </c>
      <c r="F267" s="27">
        <f>'[6]bp-sp-Men'!E117</f>
        <v>0</v>
      </c>
      <c r="G267" s="53">
        <f>'[6]bp-sp-Men'!F117</f>
        <v>0</v>
      </c>
    </row>
    <row r="268" spans="1:7" s="19" customFormat="1" x14ac:dyDescent="0.25">
      <c r="A268" s="49" t="str">
        <f>'[6]bp-sp-Men'!A118</f>
        <v>67.5</v>
      </c>
      <c r="B268" s="19">
        <f>'[6]bp-sp-Men'!B118</f>
        <v>0</v>
      </c>
      <c r="C268" s="19">
        <f>'[6]bp-sp-Men'!C118</f>
        <v>0</v>
      </c>
      <c r="D268" s="19" t="str">
        <f t="shared" si="16"/>
        <v>0</v>
      </c>
      <c r="E268" s="19">
        <f>'[6]bp-sp-Men'!D118</f>
        <v>0</v>
      </c>
      <c r="F268" s="27">
        <f>'[6]bp-sp-Men'!E118</f>
        <v>0</v>
      </c>
      <c r="G268" s="53">
        <f>'[6]bp-sp-Men'!F118</f>
        <v>0</v>
      </c>
    </row>
    <row r="269" spans="1:7" x14ac:dyDescent="0.25">
      <c r="A269" s="1">
        <f>'[6]bp-sp-Men'!A119</f>
        <v>75</v>
      </c>
      <c r="B269">
        <f>'[6]bp-sp-Men'!B119</f>
        <v>0</v>
      </c>
      <c r="C269">
        <f>'[6]bp-sp-Men'!C119</f>
        <v>0</v>
      </c>
      <c r="D269" t="str">
        <f t="shared" si="16"/>
        <v>0</v>
      </c>
      <c r="E269">
        <f>'[6]bp-sp-Men'!D119</f>
        <v>0</v>
      </c>
      <c r="F269" s="10">
        <f>'[6]bp-sp-Men'!E119</f>
        <v>0</v>
      </c>
      <c r="G269" s="29">
        <f>'[6]bp-sp-Men'!F119</f>
        <v>0</v>
      </c>
    </row>
    <row r="270" spans="1:7" x14ac:dyDescent="0.25">
      <c r="A270" s="1" t="str">
        <f>'[6]bp-sp-Men'!A120</f>
        <v>82.5</v>
      </c>
      <c r="B270">
        <f>'[6]bp-sp-Men'!B120</f>
        <v>0</v>
      </c>
      <c r="C270">
        <f>'[6]bp-sp-Men'!C120</f>
        <v>0</v>
      </c>
      <c r="D270" t="str">
        <f t="shared" si="16"/>
        <v>0</v>
      </c>
      <c r="E270">
        <f>'[6]bp-sp-Men'!D120</f>
        <v>0</v>
      </c>
      <c r="F270" s="10">
        <f>'[6]bp-sp-Men'!E120</f>
        <v>0</v>
      </c>
      <c r="G270" s="29">
        <f>'[6]bp-sp-Men'!F120</f>
        <v>0</v>
      </c>
    </row>
    <row r="271" spans="1:7" x14ac:dyDescent="0.25">
      <c r="A271" s="1">
        <f>'[6]bp-sp-Men'!A121</f>
        <v>90</v>
      </c>
      <c r="B271">
        <f>'[6]bp-sp-Men'!B121</f>
        <v>150</v>
      </c>
      <c r="C271" t="str">
        <f>'[6]bp-sp-Men'!C121</f>
        <v>Levchenko Mikhail/60</v>
      </c>
      <c r="D271" t="str">
        <f t="shared" si="16"/>
        <v>60</v>
      </c>
      <c r="E271" t="str">
        <f>'[6]bp-sp-Men'!D121</f>
        <v>RUS</v>
      </c>
      <c r="F271" s="10">
        <f>'[6]bp-sp-Men'!E121</f>
        <v>41502</v>
      </c>
      <c r="G271" s="29" t="str">
        <f>'[6]bp-sp-Men'!F121</f>
        <v>Novosibirsk</v>
      </c>
    </row>
    <row r="272" spans="1:7" x14ac:dyDescent="0.25">
      <c r="A272" s="1">
        <f>'[6]bp-sp-Men'!A122</f>
        <v>100</v>
      </c>
      <c r="B272">
        <f>'[6]bp-sp-Men'!B122</f>
        <v>162.5</v>
      </c>
      <c r="C272" t="str">
        <f>'[6]bp-sp-Men'!C122</f>
        <v>Frank Vyacheslav/62</v>
      </c>
      <c r="D272" t="str">
        <f t="shared" si="16"/>
        <v>62</v>
      </c>
      <c r="E272" t="str">
        <f>'[6]bp-sp-Men'!D122</f>
        <v>RUS</v>
      </c>
      <c r="F272" s="10" t="str">
        <f>'[6]bp-sp-Men'!E122</f>
        <v>24.08.2014</v>
      </c>
      <c r="G272" s="29" t="str">
        <f>'[6]bp-sp-Men'!F122</f>
        <v xml:space="preserve">Moscow </v>
      </c>
    </row>
    <row r="273" spans="1:7" x14ac:dyDescent="0.25">
      <c r="A273" s="1">
        <f>'[6]bp-sp-Men'!A123</f>
        <v>110</v>
      </c>
      <c r="B273">
        <f>'[6]bp-sp-Men'!B123</f>
        <v>200</v>
      </c>
      <c r="C273" t="str">
        <f>'[6]bp-sp-Men'!C123</f>
        <v>Pivovarov Oleg/63</v>
      </c>
      <c r="D273" t="str">
        <f t="shared" si="16"/>
        <v>63</v>
      </c>
      <c r="E273" t="str">
        <f>'[6]bp-sp-Men'!D123</f>
        <v>RUS</v>
      </c>
      <c r="F273" s="10" t="str">
        <f>'[6]bp-sp-Men'!E123</f>
        <v>24.08.2014</v>
      </c>
      <c r="G273" s="29" t="str">
        <f>'[6]bp-sp-Men'!F123</f>
        <v xml:space="preserve">Moscow </v>
      </c>
    </row>
    <row r="274" spans="1:7" x14ac:dyDescent="0.25">
      <c r="A274" s="1">
        <f>'[6]bp-sp-Men'!A124</f>
        <v>125</v>
      </c>
      <c r="B274">
        <f>'[6]bp-sp-Men'!B124</f>
        <v>195</v>
      </c>
      <c r="C274" t="str">
        <f>'[6]bp-sp-Men'!C124</f>
        <v>Fakhrutdinov Ravil/62</v>
      </c>
      <c r="D274" t="str">
        <f t="shared" si="16"/>
        <v>62</v>
      </c>
      <c r="E274" t="str">
        <f>'[6]bp-sp-Men'!D124</f>
        <v>RUS</v>
      </c>
      <c r="F274" s="10" t="str">
        <f>'[6]bp-sp-Men'!E124</f>
        <v>24.08.2014</v>
      </c>
      <c r="G274" s="29" t="str">
        <f>'[6]bp-sp-Men'!F124</f>
        <v xml:space="preserve">Moscow </v>
      </c>
    </row>
    <row r="275" spans="1:7" x14ac:dyDescent="0.25">
      <c r="A275" s="1">
        <f>'[6]bp-sp-Men'!A125</f>
        <v>140</v>
      </c>
      <c r="B275">
        <f>'[6]bp-sp-Men'!B125</f>
        <v>0</v>
      </c>
      <c r="C275">
        <f>'[6]bp-sp-Men'!C125</f>
        <v>0</v>
      </c>
      <c r="D275" t="str">
        <f t="shared" si="16"/>
        <v>0</v>
      </c>
      <c r="E275">
        <f>'[6]bp-sp-Men'!D125</f>
        <v>0</v>
      </c>
      <c r="F275" s="10">
        <f>'[6]bp-sp-Men'!E125</f>
        <v>0</v>
      </c>
      <c r="G275" s="29">
        <f>'[6]bp-sp-Men'!F125</f>
        <v>0</v>
      </c>
    </row>
    <row r="276" spans="1:7" x14ac:dyDescent="0.25">
      <c r="A276" s="1" t="str">
        <f>'[6]bp-sp-Men'!A126</f>
        <v>140+</v>
      </c>
      <c r="B276">
        <f>'[6]bp-sp-Men'!B126</f>
        <v>0</v>
      </c>
      <c r="C276">
        <f>'[6]bp-sp-Men'!C126</f>
        <v>0</v>
      </c>
      <c r="D276" t="str">
        <f t="shared" si="16"/>
        <v>0</v>
      </c>
      <c r="E276">
        <f>'[6]bp-sp-Men'!D126</f>
        <v>0</v>
      </c>
      <c r="F276" s="10">
        <f>'[6]bp-sp-Men'!E126</f>
        <v>0</v>
      </c>
      <c r="G276" s="29">
        <f>'[6]bp-sp-Men'!F126</f>
        <v>0</v>
      </c>
    </row>
    <row r="277" spans="1:7" x14ac:dyDescent="0.25">
      <c r="B277">
        <f>'[6]bp-sp-Men'!B127</f>
        <v>0</v>
      </c>
      <c r="C277">
        <f>'[6]bp-sp-Men'!C127</f>
        <v>0</v>
      </c>
      <c r="D277" t="str">
        <f t="shared" si="13"/>
        <v>0</v>
      </c>
      <c r="E277">
        <f>'[6]bp-sp-Men'!D127</f>
        <v>0</v>
      </c>
      <c r="F277" s="10">
        <f>'[6]bp-sp-Men'!E127</f>
        <v>0</v>
      </c>
      <c r="G277" s="29">
        <f>'[6]bp-sp-Men'!F127</f>
        <v>0</v>
      </c>
    </row>
    <row r="278" spans="1:7" s="11" customFormat="1" x14ac:dyDescent="0.25">
      <c r="A278" s="22" t="s">
        <v>0</v>
      </c>
      <c r="B278" s="11">
        <v>1</v>
      </c>
      <c r="C278" s="11">
        <v>55</v>
      </c>
      <c r="D278" s="11" t="str">
        <f>'[6]bp-sp-Men'!B128</f>
        <v>Men's Master4  (55 - 59)</v>
      </c>
      <c r="F278" s="13"/>
      <c r="G278" s="30">
        <f>'[6]bp-sp-Men'!F128</f>
        <v>0</v>
      </c>
    </row>
    <row r="279" spans="1:7" x14ac:dyDescent="0.25">
      <c r="A279" s="1">
        <f>'[6]bp-sp-Men'!A129</f>
        <v>52</v>
      </c>
      <c r="B279">
        <f>'[6]bp-sp-Men'!B129</f>
        <v>0</v>
      </c>
      <c r="C279">
        <f>'[6]bp-sp-Men'!C129</f>
        <v>0</v>
      </c>
      <c r="D279" t="str">
        <f t="shared" ref="D279" si="17">RIGHT(C279,2)</f>
        <v>0</v>
      </c>
      <c r="E279">
        <f>'[6]bp-sp-Men'!D129</f>
        <v>0</v>
      </c>
      <c r="F279" s="10">
        <f>'[6]bp-sp-Men'!E129</f>
        <v>0</v>
      </c>
      <c r="G279" s="29">
        <f>'[6]bp-sp-Men'!F129</f>
        <v>0</v>
      </c>
    </row>
    <row r="280" spans="1:7" x14ac:dyDescent="0.25">
      <c r="A280" s="1">
        <f>'[6]bp-sp-Men'!A130</f>
        <v>56</v>
      </c>
      <c r="B280">
        <f>'[6]bp-sp-Men'!B130</f>
        <v>0</v>
      </c>
      <c r="C280">
        <f>'[6]bp-sp-Men'!C130</f>
        <v>0</v>
      </c>
      <c r="D280" t="str">
        <f t="shared" ref="D280" si="18">RIGHT(C280,2)</f>
        <v>0</v>
      </c>
      <c r="E280">
        <f>'[6]bp-sp-Men'!D130</f>
        <v>0</v>
      </c>
      <c r="F280" s="10">
        <f>'[6]bp-sp-Men'!E130</f>
        <v>0</v>
      </c>
      <c r="G280" s="29">
        <f>'[6]bp-sp-Men'!F130</f>
        <v>0</v>
      </c>
    </row>
    <row r="281" spans="1:7" x14ac:dyDescent="0.25">
      <c r="A281" s="1">
        <f>'[6]bp-sp-Men'!A131</f>
        <v>60</v>
      </c>
      <c r="B281">
        <f>'[6]bp-sp-Men'!B131</f>
        <v>0</v>
      </c>
      <c r="C281">
        <f>'[6]bp-sp-Men'!C131</f>
        <v>0</v>
      </c>
      <c r="D281" t="str">
        <f t="shared" si="13"/>
        <v>0</v>
      </c>
      <c r="E281">
        <f>'[6]bp-sp-Men'!D131</f>
        <v>0</v>
      </c>
      <c r="F281" s="10">
        <f>'[6]bp-sp-Men'!E131</f>
        <v>0</v>
      </c>
      <c r="G281" s="29">
        <f>'[6]bp-sp-Men'!F131</f>
        <v>0</v>
      </c>
    </row>
    <row r="282" spans="1:7" x14ac:dyDescent="0.25">
      <c r="A282" s="1">
        <f>'[6]bp-sp-Men'!A132</f>
        <v>75</v>
      </c>
      <c r="B282">
        <f>'[6]bp-sp-Men'!B132</f>
        <v>0</v>
      </c>
      <c r="C282">
        <f>'[6]bp-sp-Men'!C132</f>
        <v>0</v>
      </c>
      <c r="D282" t="str">
        <f t="shared" si="13"/>
        <v>0</v>
      </c>
      <c r="E282">
        <f>'[6]bp-sp-Men'!D132</f>
        <v>0</v>
      </c>
      <c r="F282" s="10">
        <f>'[6]bp-sp-Men'!E132</f>
        <v>0</v>
      </c>
      <c r="G282" s="29">
        <f>'[6]bp-sp-Men'!F132</f>
        <v>0</v>
      </c>
    </row>
    <row r="283" spans="1:7" x14ac:dyDescent="0.25">
      <c r="A283" s="1" t="str">
        <f>'[6]bp-sp-Men'!A133</f>
        <v>82.5</v>
      </c>
      <c r="B283">
        <f>'[6]bp-sp-Men'!B133</f>
        <v>0</v>
      </c>
      <c r="C283">
        <f>'[6]bp-sp-Men'!C133</f>
        <v>0</v>
      </c>
      <c r="D283" t="str">
        <f t="shared" si="13"/>
        <v>0</v>
      </c>
      <c r="E283">
        <f>'[6]bp-sp-Men'!D133</f>
        <v>0</v>
      </c>
      <c r="F283" s="10">
        <f>'[6]bp-sp-Men'!E133</f>
        <v>0</v>
      </c>
      <c r="G283" s="29">
        <f>'[6]bp-sp-Men'!F133</f>
        <v>0</v>
      </c>
    </row>
    <row r="284" spans="1:7" x14ac:dyDescent="0.25">
      <c r="A284" s="1">
        <f>'[6]bp-sp-Men'!A134</f>
        <v>90</v>
      </c>
      <c r="B284">
        <f>'[6]bp-sp-Men'!B134</f>
        <v>190</v>
      </c>
      <c r="C284" t="str">
        <f>'[6]bp-sp-Men'!C134</f>
        <v>Makarov Alexander/57</v>
      </c>
      <c r="D284" t="str">
        <f t="shared" si="13"/>
        <v>57</v>
      </c>
      <c r="E284" t="str">
        <f>'[6]bp-sp-Men'!D134</f>
        <v>RUS</v>
      </c>
      <c r="F284" s="10">
        <f>'[6]bp-sp-Men'!E134</f>
        <v>41619</v>
      </c>
      <c r="G284" s="29" t="str">
        <f>'[6]bp-sp-Men'!F134</f>
        <v>Kursk</v>
      </c>
    </row>
    <row r="285" spans="1:7" x14ac:dyDescent="0.25">
      <c r="A285" s="1">
        <f>'[6]bp-sp-Men'!A135</f>
        <v>100</v>
      </c>
      <c r="B285">
        <f>'[6]bp-sp-Men'!B135</f>
        <v>165</v>
      </c>
      <c r="C285" t="str">
        <f>'[6]bp-sp-Men'!C135</f>
        <v>Chernozipunnikov Yevgeniy/56</v>
      </c>
      <c r="D285" t="str">
        <f t="shared" si="13"/>
        <v>56</v>
      </c>
      <c r="E285" t="str">
        <f>'[6]bp-sp-Men'!D135</f>
        <v>RUS</v>
      </c>
      <c r="F285" s="10" t="str">
        <f>'[6]bp-sp-Men'!E135</f>
        <v>09.08.2014</v>
      </c>
      <c r="G285" s="29" t="str">
        <f>'[6]bp-sp-Men'!F135</f>
        <v>Yekaterinburg</v>
      </c>
    </row>
    <row r="286" spans="1:7" x14ac:dyDescent="0.25">
      <c r="A286" s="1">
        <f>'[6]bp-sp-Men'!A136</f>
        <v>110</v>
      </c>
      <c r="B286">
        <f>'[6]bp-sp-Men'!B136</f>
        <v>0</v>
      </c>
      <c r="C286">
        <f>'[6]bp-sp-Men'!C136</f>
        <v>0</v>
      </c>
      <c r="D286" t="str">
        <f t="shared" si="13"/>
        <v>0</v>
      </c>
      <c r="E286">
        <f>'[6]bp-sp-Men'!D136</f>
        <v>0</v>
      </c>
      <c r="F286" s="10">
        <f>'[6]bp-sp-Men'!E136</f>
        <v>0</v>
      </c>
      <c r="G286" s="29">
        <f>'[6]bp-sp-Men'!F136</f>
        <v>0</v>
      </c>
    </row>
    <row r="287" spans="1:7" x14ac:dyDescent="0.25">
      <c r="A287" s="1">
        <f>'[6]bp-sp-Men'!A137</f>
        <v>125</v>
      </c>
      <c r="B287">
        <f>'[6]bp-sp-Men'!B137</f>
        <v>0</v>
      </c>
      <c r="C287">
        <f>'[6]bp-sp-Men'!C137</f>
        <v>0</v>
      </c>
      <c r="D287" t="str">
        <f t="shared" si="13"/>
        <v>0</v>
      </c>
      <c r="E287">
        <f>'[6]bp-sp-Men'!D137</f>
        <v>0</v>
      </c>
      <c r="F287" s="10">
        <f>'[6]bp-sp-Men'!E137</f>
        <v>0</v>
      </c>
      <c r="G287" s="29">
        <f>'[6]bp-sp-Men'!F137</f>
        <v>0</v>
      </c>
    </row>
    <row r="288" spans="1:7" x14ac:dyDescent="0.25">
      <c r="A288" s="1">
        <f>'[6]bp-sp-Men'!A138</f>
        <v>140</v>
      </c>
      <c r="B288">
        <f>'[6]bp-sp-Men'!B138</f>
        <v>0</v>
      </c>
      <c r="C288">
        <f>'[6]bp-sp-Men'!C138</f>
        <v>0</v>
      </c>
      <c r="D288" t="str">
        <f t="shared" si="13"/>
        <v>0</v>
      </c>
      <c r="E288">
        <f>'[6]bp-sp-Men'!D138</f>
        <v>0</v>
      </c>
      <c r="F288" s="10">
        <f>'[6]bp-sp-Men'!E138</f>
        <v>0</v>
      </c>
      <c r="G288" s="29">
        <f>'[6]bp-sp-Men'!F138</f>
        <v>0</v>
      </c>
    </row>
    <row r="289" spans="1:7" x14ac:dyDescent="0.25">
      <c r="A289" s="1" t="str">
        <f>'[6]bp-sp-Men'!A139</f>
        <v>140+</v>
      </c>
      <c r="B289">
        <f>'[6]bp-sp-Men'!B139</f>
        <v>0</v>
      </c>
      <c r="C289">
        <f>'[6]bp-sp-Men'!C139</f>
        <v>0</v>
      </c>
      <c r="D289" t="str">
        <f t="shared" si="13"/>
        <v>0</v>
      </c>
      <c r="E289">
        <f>'[6]bp-sp-Men'!D139</f>
        <v>0</v>
      </c>
      <c r="F289" s="10">
        <f>'[6]bp-sp-Men'!E139</f>
        <v>0</v>
      </c>
      <c r="G289" s="29">
        <f>'[6]bp-sp-Men'!F139</f>
        <v>0</v>
      </c>
    </row>
    <row r="290" spans="1:7" x14ac:dyDescent="0.25">
      <c r="B290">
        <f>'[6]bp-sp-Men'!B140</f>
        <v>0</v>
      </c>
      <c r="C290">
        <f>'[6]bp-sp-Men'!C140</f>
        <v>0</v>
      </c>
      <c r="D290" t="str">
        <f t="shared" si="13"/>
        <v>0</v>
      </c>
      <c r="E290">
        <f>'[6]bp-sp-Men'!D140</f>
        <v>0</v>
      </c>
      <c r="F290" s="10">
        <f>'[6]bp-sp-Men'!E140</f>
        <v>0</v>
      </c>
      <c r="G290" s="29">
        <f>'[6]bp-sp-Men'!F140</f>
        <v>0</v>
      </c>
    </row>
    <row r="291" spans="1:7" s="11" customFormat="1" x14ac:dyDescent="0.25">
      <c r="A291" s="22" t="s">
        <v>0</v>
      </c>
      <c r="B291" s="11">
        <v>1</v>
      </c>
      <c r="C291" s="11">
        <v>60</v>
      </c>
      <c r="D291" s="11" t="str">
        <f>'[6]bp-sp-Men'!B141</f>
        <v>Men's Master5  (60 - 64)</v>
      </c>
      <c r="F291" s="13"/>
      <c r="G291" s="30">
        <f>'[6]bp-sp-Men'!F141</f>
        <v>0</v>
      </c>
    </row>
    <row r="292" spans="1:7" s="19" customFormat="1" x14ac:dyDescent="0.25">
      <c r="A292" s="49">
        <f>'[6]bp-sp-Men'!A142</f>
        <v>52</v>
      </c>
      <c r="B292" s="19">
        <f>'[6]bp-sp-Men'!B142</f>
        <v>0</v>
      </c>
      <c r="C292" s="19">
        <f>'[6]bp-sp-Men'!C142</f>
        <v>0</v>
      </c>
      <c r="D292" s="19" t="str">
        <f t="shared" si="13"/>
        <v>0</v>
      </c>
      <c r="E292" s="19">
        <f>'[6]bp-sp-Men'!D142</f>
        <v>0</v>
      </c>
      <c r="F292" s="27">
        <f>'[6]bp-sp-Men'!E142</f>
        <v>0</v>
      </c>
      <c r="G292" s="53">
        <f>'[6]bp-sp-Men'!F142</f>
        <v>0</v>
      </c>
    </row>
    <row r="293" spans="1:7" s="19" customFormat="1" x14ac:dyDescent="0.25">
      <c r="A293" s="49">
        <f>'[6]bp-sp-Men'!A143</f>
        <v>56</v>
      </c>
      <c r="B293" s="19">
        <f>'[6]bp-sp-Men'!B143</f>
        <v>0</v>
      </c>
      <c r="C293" s="19">
        <f>'[6]bp-sp-Men'!C143</f>
        <v>0</v>
      </c>
      <c r="D293" s="19" t="str">
        <f t="shared" ref="D293:D304" si="19">RIGHT(C293,2)</f>
        <v>0</v>
      </c>
      <c r="E293" s="19">
        <f>'[6]bp-sp-Men'!D143</f>
        <v>0</v>
      </c>
      <c r="F293" s="27">
        <f>'[6]bp-sp-Men'!E143</f>
        <v>0</v>
      </c>
      <c r="G293" s="53">
        <f>'[6]bp-sp-Men'!F143</f>
        <v>0</v>
      </c>
    </row>
    <row r="294" spans="1:7" s="19" customFormat="1" x14ac:dyDescent="0.25">
      <c r="A294" s="49">
        <f>'[6]bp-sp-Men'!A144</f>
        <v>60</v>
      </c>
      <c r="B294" s="19">
        <f>'[6]bp-sp-Men'!B144</f>
        <v>0</v>
      </c>
      <c r="C294" s="19">
        <f>'[6]bp-sp-Men'!C144</f>
        <v>0</v>
      </c>
      <c r="D294" s="19" t="str">
        <f t="shared" si="19"/>
        <v>0</v>
      </c>
      <c r="E294" s="19">
        <f>'[6]bp-sp-Men'!D144</f>
        <v>0</v>
      </c>
      <c r="F294" s="27">
        <f>'[6]bp-sp-Men'!E144</f>
        <v>0</v>
      </c>
      <c r="G294" s="53">
        <f>'[6]bp-sp-Men'!F144</f>
        <v>0</v>
      </c>
    </row>
    <row r="295" spans="1:7" s="19" customFormat="1" x14ac:dyDescent="0.25">
      <c r="A295" s="49">
        <f>'[6]bp-sp-Men'!A145</f>
        <v>67.5</v>
      </c>
      <c r="B295" s="19">
        <f>'[6]bp-sp-Men'!B145</f>
        <v>0</v>
      </c>
      <c r="C295" s="19">
        <f>'[6]bp-sp-Men'!C145</f>
        <v>0</v>
      </c>
      <c r="D295" s="19" t="str">
        <f t="shared" si="19"/>
        <v>0</v>
      </c>
      <c r="E295" s="19">
        <f>'[6]bp-sp-Men'!D145</f>
        <v>0</v>
      </c>
      <c r="F295" s="27">
        <f>'[6]bp-sp-Men'!E145</f>
        <v>0</v>
      </c>
      <c r="G295" s="53">
        <f>'[6]bp-sp-Men'!F145</f>
        <v>0</v>
      </c>
    </row>
    <row r="296" spans="1:7" s="19" customFormat="1" x14ac:dyDescent="0.25">
      <c r="A296" s="49">
        <f>'[6]bp-sp-Men'!A146</f>
        <v>75</v>
      </c>
      <c r="B296" s="19">
        <f>'[6]bp-sp-Men'!B146</f>
        <v>0</v>
      </c>
      <c r="C296" s="19">
        <f>'[6]bp-sp-Men'!C146</f>
        <v>0</v>
      </c>
      <c r="D296" s="19" t="str">
        <f t="shared" si="19"/>
        <v>0</v>
      </c>
      <c r="E296" s="19">
        <f>'[6]bp-sp-Men'!D146</f>
        <v>0</v>
      </c>
      <c r="F296" s="27">
        <f>'[6]bp-sp-Men'!E146</f>
        <v>0</v>
      </c>
      <c r="G296" s="53">
        <f>'[6]bp-sp-Men'!F146</f>
        <v>0</v>
      </c>
    </row>
    <row r="297" spans="1:7" x14ac:dyDescent="0.25">
      <c r="A297" s="1">
        <f>'[6]bp-sp-Men'!A147</f>
        <v>82.5</v>
      </c>
      <c r="B297">
        <f>'[6]bp-sp-Men'!B147</f>
        <v>150</v>
      </c>
      <c r="C297" t="str">
        <f>'[6]bp-sp-Men'!C147</f>
        <v>Goncharov Sergei/52</v>
      </c>
      <c r="D297" t="str">
        <f t="shared" si="19"/>
        <v>52</v>
      </c>
      <c r="E297" t="str">
        <f>'[6]bp-sp-Men'!D147</f>
        <v>RUS</v>
      </c>
      <c r="F297" s="10" t="str">
        <f>'[6]bp-sp-Men'!E147</f>
        <v>24.08.2014</v>
      </c>
      <c r="G297" s="29" t="str">
        <f>'[6]bp-sp-Men'!F147</f>
        <v>Moscow</v>
      </c>
    </row>
    <row r="298" spans="1:7" x14ac:dyDescent="0.25">
      <c r="A298" s="1">
        <f>'[6]bp-sp-Men'!A148</f>
        <v>90</v>
      </c>
      <c r="B298">
        <f>'[6]bp-sp-Men'!B148</f>
        <v>0</v>
      </c>
      <c r="C298">
        <f>'[6]bp-sp-Men'!C148</f>
        <v>0</v>
      </c>
      <c r="D298" t="str">
        <f t="shared" si="19"/>
        <v>0</v>
      </c>
      <c r="E298">
        <f>'[6]bp-sp-Men'!D148</f>
        <v>0</v>
      </c>
      <c r="F298" s="10">
        <f>'[6]bp-sp-Men'!E148</f>
        <v>0</v>
      </c>
      <c r="G298" s="29">
        <f>'[6]bp-sp-Men'!F148</f>
        <v>0</v>
      </c>
    </row>
    <row r="299" spans="1:7" x14ac:dyDescent="0.25">
      <c r="A299" s="1">
        <f>'[6]bp-sp-Men'!A149</f>
        <v>100</v>
      </c>
      <c r="B299">
        <f>'[6]bp-sp-Men'!B149</f>
        <v>145</v>
      </c>
      <c r="C299" t="str">
        <f>'[6]bp-sp-Men'!C149</f>
        <v>Verkholantsev Valeriy/53</v>
      </c>
      <c r="D299" t="str">
        <f t="shared" si="19"/>
        <v>53</v>
      </c>
      <c r="E299" t="str">
        <f>'[6]bp-sp-Men'!D149</f>
        <v>RUS</v>
      </c>
      <c r="F299" s="10" t="str">
        <f>'[6]bp-sp-Men'!E149</f>
        <v>04.07.2014</v>
      </c>
      <c r="G299" s="29" t="str">
        <f>'[6]bp-sp-Men'!F149</f>
        <v>Novosibirsk</v>
      </c>
    </row>
    <row r="300" spans="1:7" x14ac:dyDescent="0.25">
      <c r="A300" s="1">
        <f>'[6]bp-sp-Men'!A150</f>
        <v>110</v>
      </c>
      <c r="B300">
        <f>'[6]bp-sp-Men'!B150</f>
        <v>0</v>
      </c>
      <c r="C300">
        <f>'[6]bp-sp-Men'!C150</f>
        <v>0</v>
      </c>
      <c r="D300" t="str">
        <f t="shared" si="19"/>
        <v>0</v>
      </c>
      <c r="E300">
        <f>'[6]bp-sp-Men'!D150</f>
        <v>0</v>
      </c>
      <c r="F300" s="10">
        <f>'[6]bp-sp-Men'!E150</f>
        <v>0</v>
      </c>
      <c r="G300" s="29">
        <f>'[6]bp-sp-Men'!F150</f>
        <v>0</v>
      </c>
    </row>
    <row r="301" spans="1:7" x14ac:dyDescent="0.25">
      <c r="A301" s="1">
        <f>'[6]bp-sp-Men'!A151</f>
        <v>125</v>
      </c>
      <c r="B301">
        <f>'[6]bp-sp-Men'!B151</f>
        <v>0</v>
      </c>
      <c r="C301">
        <f>'[6]bp-sp-Men'!C151</f>
        <v>0</v>
      </c>
      <c r="D301" t="str">
        <f t="shared" si="19"/>
        <v>0</v>
      </c>
      <c r="E301">
        <f>'[6]bp-sp-Men'!D151</f>
        <v>0</v>
      </c>
      <c r="F301" s="10">
        <f>'[6]bp-sp-Men'!E151</f>
        <v>0</v>
      </c>
      <c r="G301" s="29">
        <f>'[6]bp-sp-Men'!F151</f>
        <v>0</v>
      </c>
    </row>
    <row r="302" spans="1:7" x14ac:dyDescent="0.25">
      <c r="A302" s="1">
        <f>'[6]bp-sp-Men'!A152</f>
        <v>140</v>
      </c>
      <c r="B302">
        <f>'[6]bp-sp-Men'!B152</f>
        <v>0</v>
      </c>
      <c r="C302">
        <f>'[6]bp-sp-Men'!C152</f>
        <v>0</v>
      </c>
      <c r="D302" t="str">
        <f t="shared" si="19"/>
        <v>0</v>
      </c>
      <c r="E302">
        <f>'[6]bp-sp-Men'!D152</f>
        <v>0</v>
      </c>
      <c r="F302" s="10">
        <f>'[6]bp-sp-Men'!E152</f>
        <v>0</v>
      </c>
      <c r="G302" s="29">
        <f>'[6]bp-sp-Men'!F152</f>
        <v>0</v>
      </c>
    </row>
    <row r="303" spans="1:7" x14ac:dyDescent="0.25">
      <c r="A303" s="1" t="str">
        <f>'[6]bp-sp-Men'!A153</f>
        <v>140+</v>
      </c>
      <c r="B303">
        <f>'[6]bp-sp-Men'!B153</f>
        <v>0</v>
      </c>
      <c r="C303">
        <f>'[6]bp-sp-Men'!C153</f>
        <v>0</v>
      </c>
      <c r="D303" t="str">
        <f t="shared" si="19"/>
        <v>0</v>
      </c>
      <c r="E303">
        <f>'[6]bp-sp-Men'!D153</f>
        <v>0</v>
      </c>
      <c r="F303" s="10">
        <f>'[6]bp-sp-Men'!E153</f>
        <v>0</v>
      </c>
      <c r="G303" s="29">
        <f>'[6]bp-sp-Men'!F153</f>
        <v>0</v>
      </c>
    </row>
    <row r="304" spans="1:7" x14ac:dyDescent="0.25">
      <c r="B304">
        <f>'[6]bp-sp-Men'!B154</f>
        <v>0</v>
      </c>
      <c r="C304">
        <f>'[6]bp-sp-Men'!C154</f>
        <v>0</v>
      </c>
      <c r="D304" t="str">
        <f t="shared" si="19"/>
        <v>0</v>
      </c>
      <c r="E304">
        <f>'[6]bp-sp-Men'!D154</f>
        <v>0</v>
      </c>
      <c r="F304" s="10">
        <f>'[6]bp-sp-Men'!E154</f>
        <v>0</v>
      </c>
      <c r="G304" s="29">
        <f>'[6]bp-sp-Men'!F154</f>
        <v>0</v>
      </c>
    </row>
    <row r="305" spans="1:7" s="11" customFormat="1" x14ac:dyDescent="0.25">
      <c r="A305" s="22" t="s">
        <v>0</v>
      </c>
      <c r="B305" s="11">
        <v>1</v>
      </c>
      <c r="C305" s="11">
        <v>65</v>
      </c>
      <c r="D305" s="11" t="str">
        <f>'[6]bp-sp-Men'!B155</f>
        <v>Men's Master6  (65 - 69)</v>
      </c>
      <c r="F305" s="13"/>
      <c r="G305" s="30">
        <f>'[6]bp-sp-Men'!F155</f>
        <v>0</v>
      </c>
    </row>
    <row r="306" spans="1:7" s="19" customFormat="1" x14ac:dyDescent="0.25">
      <c r="A306" s="49">
        <f>'[6]bp-sp-Men'!A156</f>
        <v>52</v>
      </c>
      <c r="B306" s="19">
        <f>'[6]bp-sp-Men'!B156</f>
        <v>0</v>
      </c>
      <c r="C306" s="19">
        <f>'[6]bp-sp-Men'!C156</f>
        <v>0</v>
      </c>
      <c r="D306" s="19" t="str">
        <f t="shared" ref="D306:D364" si="20">RIGHT(C306,2)</f>
        <v>0</v>
      </c>
      <c r="E306" s="19">
        <f>'[6]bp-sp-Men'!D156</f>
        <v>0</v>
      </c>
      <c r="F306" s="27">
        <f>'[6]bp-sp-Men'!E156</f>
        <v>0</v>
      </c>
      <c r="G306" s="53">
        <f>'[6]bp-sp-Men'!F156</f>
        <v>0</v>
      </c>
    </row>
    <row r="307" spans="1:7" s="19" customFormat="1" x14ac:dyDescent="0.25">
      <c r="A307" s="49">
        <f>'[6]bp-sp-Men'!A157</f>
        <v>56</v>
      </c>
      <c r="B307" s="19">
        <f>'[6]bp-sp-Men'!B157</f>
        <v>0</v>
      </c>
      <c r="C307" s="19">
        <f>'[6]bp-sp-Men'!C157</f>
        <v>0</v>
      </c>
      <c r="D307" s="19" t="str">
        <f t="shared" ref="D307:D318" si="21">RIGHT(C307,2)</f>
        <v>0</v>
      </c>
      <c r="E307" s="19">
        <f>'[6]bp-sp-Men'!D157</f>
        <v>0</v>
      </c>
      <c r="F307" s="27">
        <f>'[6]bp-sp-Men'!E157</f>
        <v>0</v>
      </c>
      <c r="G307" s="53">
        <f>'[6]bp-sp-Men'!F157</f>
        <v>0</v>
      </c>
    </row>
    <row r="308" spans="1:7" s="19" customFormat="1" x14ac:dyDescent="0.25">
      <c r="A308" s="49">
        <f>'[6]bp-sp-Men'!A158</f>
        <v>60</v>
      </c>
      <c r="B308" s="19">
        <f>'[6]bp-sp-Men'!B158</f>
        <v>0</v>
      </c>
      <c r="C308" s="19">
        <f>'[6]bp-sp-Men'!C158</f>
        <v>0</v>
      </c>
      <c r="D308" s="19" t="str">
        <f t="shared" si="21"/>
        <v>0</v>
      </c>
      <c r="E308" s="19">
        <f>'[6]bp-sp-Men'!D158</f>
        <v>0</v>
      </c>
      <c r="F308" s="27">
        <f>'[6]bp-sp-Men'!E158</f>
        <v>0</v>
      </c>
      <c r="G308" s="53">
        <f>'[6]bp-sp-Men'!F158</f>
        <v>0</v>
      </c>
    </row>
    <row r="309" spans="1:7" x14ac:dyDescent="0.25">
      <c r="A309" s="1">
        <f>'[6]bp-sp-Men'!A159</f>
        <v>67.5</v>
      </c>
      <c r="B309">
        <f>'[6]bp-sp-Men'!B159</f>
        <v>0</v>
      </c>
      <c r="C309">
        <f>'[6]bp-sp-Men'!C159</f>
        <v>0</v>
      </c>
      <c r="D309" t="str">
        <f t="shared" si="21"/>
        <v>0</v>
      </c>
      <c r="E309">
        <f>'[6]bp-sp-Men'!D159</f>
        <v>0</v>
      </c>
      <c r="F309" s="10">
        <f>'[6]bp-sp-Men'!E159</f>
        <v>0</v>
      </c>
      <c r="G309" s="29">
        <f>'[6]bp-sp-Men'!F159</f>
        <v>0</v>
      </c>
    </row>
    <row r="310" spans="1:7" x14ac:dyDescent="0.25">
      <c r="A310" s="1">
        <f>'[6]bp-sp-Men'!A160</f>
        <v>75</v>
      </c>
      <c r="B310">
        <f>'[6]bp-sp-Men'!B160</f>
        <v>0</v>
      </c>
      <c r="C310">
        <f>'[6]bp-sp-Men'!C160</f>
        <v>0</v>
      </c>
      <c r="D310" t="str">
        <f t="shared" si="21"/>
        <v>0</v>
      </c>
      <c r="E310">
        <f>'[6]bp-sp-Men'!D160</f>
        <v>0</v>
      </c>
      <c r="F310" s="10">
        <f>'[6]bp-sp-Men'!E160</f>
        <v>0</v>
      </c>
      <c r="G310" s="29">
        <f>'[6]bp-sp-Men'!F160</f>
        <v>0</v>
      </c>
    </row>
    <row r="311" spans="1:7" x14ac:dyDescent="0.25">
      <c r="A311" s="1" t="str">
        <f>'[6]bp-sp-Men'!A161</f>
        <v>82.5</v>
      </c>
      <c r="B311">
        <f>'[6]bp-sp-Men'!B161</f>
        <v>97.5</v>
      </c>
      <c r="C311" t="str">
        <f>'[6]bp-sp-Men'!C161</f>
        <v>Zhurkin Yevgeniy/45</v>
      </c>
      <c r="D311" t="str">
        <f t="shared" si="21"/>
        <v>45</v>
      </c>
      <c r="E311" t="str">
        <f>'[6]bp-sp-Men'!D161</f>
        <v>RUS</v>
      </c>
      <c r="F311" s="10" t="str">
        <f>'[6]bp-sp-Men'!E161</f>
        <v>24.08.2014</v>
      </c>
      <c r="G311" s="29" t="str">
        <f>'[6]bp-sp-Men'!F161</f>
        <v>Moscow</v>
      </c>
    </row>
    <row r="312" spans="1:7" x14ac:dyDescent="0.25">
      <c r="A312" s="1">
        <f>'[6]bp-sp-Men'!A162</f>
        <v>90</v>
      </c>
      <c r="B312">
        <f>'[6]bp-sp-Men'!B162</f>
        <v>0</v>
      </c>
      <c r="C312">
        <f>'[6]bp-sp-Men'!C162</f>
        <v>0</v>
      </c>
      <c r="D312" t="str">
        <f t="shared" si="21"/>
        <v>0</v>
      </c>
      <c r="E312">
        <f>'[6]bp-sp-Men'!D162</f>
        <v>0</v>
      </c>
      <c r="F312" s="10">
        <f>'[6]bp-sp-Men'!E162</f>
        <v>0</v>
      </c>
      <c r="G312" s="29">
        <f>'[6]bp-sp-Men'!F162</f>
        <v>0</v>
      </c>
    </row>
    <row r="313" spans="1:7" x14ac:dyDescent="0.25">
      <c r="A313" s="1">
        <f>'[6]bp-sp-Men'!A163</f>
        <v>100</v>
      </c>
      <c r="B313">
        <f>'[6]bp-sp-Men'!B163</f>
        <v>135</v>
      </c>
      <c r="C313" t="str">
        <f>'[6]bp-sp-Men'!C163</f>
        <v>Obmelyukhin Gennadiy/48</v>
      </c>
      <c r="D313" t="str">
        <f t="shared" si="21"/>
        <v>48</v>
      </c>
      <c r="E313" t="str">
        <f>'[6]bp-sp-Men'!D163</f>
        <v>RUS</v>
      </c>
      <c r="F313" s="10" t="str">
        <f>'[6]bp-sp-Men'!E163</f>
        <v>24.08.2014</v>
      </c>
      <c r="G313" s="29" t="str">
        <f>'[6]bp-sp-Men'!F163</f>
        <v>Moscow</v>
      </c>
    </row>
    <row r="314" spans="1:7" x14ac:dyDescent="0.25">
      <c r="A314" s="1">
        <f>'[6]bp-sp-Men'!A164</f>
        <v>110</v>
      </c>
      <c r="B314">
        <f>'[6]bp-sp-Men'!B164</f>
        <v>0</v>
      </c>
      <c r="C314">
        <f>'[6]bp-sp-Men'!C164</f>
        <v>0</v>
      </c>
      <c r="D314" t="str">
        <f t="shared" si="21"/>
        <v>0</v>
      </c>
      <c r="E314">
        <f>'[6]bp-sp-Men'!D164</f>
        <v>0</v>
      </c>
      <c r="F314" s="10">
        <f>'[6]bp-sp-Men'!E164</f>
        <v>0</v>
      </c>
      <c r="G314" s="29">
        <f>'[6]bp-sp-Men'!F164</f>
        <v>0</v>
      </c>
    </row>
    <row r="315" spans="1:7" x14ac:dyDescent="0.25">
      <c r="A315" s="1">
        <f>'[6]bp-sp-Men'!A165</f>
        <v>125</v>
      </c>
      <c r="B315">
        <f>'[6]bp-sp-Men'!B165</f>
        <v>0</v>
      </c>
      <c r="C315">
        <f>'[6]bp-sp-Men'!C165</f>
        <v>0</v>
      </c>
      <c r="D315" t="str">
        <f t="shared" si="21"/>
        <v>0</v>
      </c>
      <c r="E315">
        <f>'[6]bp-sp-Men'!D165</f>
        <v>0</v>
      </c>
      <c r="F315" s="10">
        <f>'[6]bp-sp-Men'!E165</f>
        <v>0</v>
      </c>
      <c r="G315" s="29">
        <f>'[6]bp-sp-Men'!F165</f>
        <v>0</v>
      </c>
    </row>
    <row r="316" spans="1:7" x14ac:dyDescent="0.25">
      <c r="A316" s="1">
        <f>'[6]bp-sp-Men'!A166</f>
        <v>140</v>
      </c>
      <c r="B316">
        <f>'[6]bp-sp-Men'!B166</f>
        <v>0</v>
      </c>
      <c r="C316">
        <f>'[6]bp-sp-Men'!C166</f>
        <v>0</v>
      </c>
      <c r="D316" t="str">
        <f t="shared" si="21"/>
        <v>0</v>
      </c>
      <c r="E316">
        <f>'[6]bp-sp-Men'!D166</f>
        <v>0</v>
      </c>
      <c r="F316" s="10">
        <f>'[6]bp-sp-Men'!E166</f>
        <v>0</v>
      </c>
      <c r="G316" s="29">
        <f>'[6]bp-sp-Men'!F166</f>
        <v>0</v>
      </c>
    </row>
    <row r="317" spans="1:7" x14ac:dyDescent="0.25">
      <c r="A317" s="1" t="str">
        <f>'[6]bp-sp-Men'!A167</f>
        <v>140+</v>
      </c>
      <c r="B317">
        <f>'[6]bp-sp-Men'!B167</f>
        <v>0</v>
      </c>
      <c r="C317">
        <f>'[6]bp-sp-Men'!C167</f>
        <v>0</v>
      </c>
      <c r="D317" t="str">
        <f t="shared" si="21"/>
        <v>0</v>
      </c>
      <c r="E317">
        <f>'[6]bp-sp-Men'!D167</f>
        <v>0</v>
      </c>
      <c r="F317" s="10">
        <f>'[6]bp-sp-Men'!E167</f>
        <v>0</v>
      </c>
      <c r="G317" s="29">
        <f>'[6]bp-sp-Men'!F167</f>
        <v>0</v>
      </c>
    </row>
    <row r="318" spans="1:7" x14ac:dyDescent="0.25">
      <c r="B318">
        <f>'[6]bp-sp-Men'!B168</f>
        <v>0</v>
      </c>
      <c r="C318">
        <f>'[6]bp-sp-Men'!C168</f>
        <v>0</v>
      </c>
      <c r="D318" t="str">
        <f t="shared" si="21"/>
        <v>0</v>
      </c>
      <c r="E318">
        <f>'[6]bp-sp-Men'!D168</f>
        <v>0</v>
      </c>
      <c r="F318" s="10">
        <f>'[6]bp-sp-Men'!E168</f>
        <v>0</v>
      </c>
      <c r="G318" s="29">
        <f>'[6]bp-sp-Men'!F168</f>
        <v>0</v>
      </c>
    </row>
    <row r="319" spans="1:7" s="11" customFormat="1" x14ac:dyDescent="0.25">
      <c r="A319" s="22" t="s">
        <v>0</v>
      </c>
      <c r="B319" s="11">
        <v>1</v>
      </c>
      <c r="C319" s="11">
        <v>70</v>
      </c>
      <c r="D319" s="11" t="str">
        <f>'[6]bp-sp-Men'!B169</f>
        <v>Men's Master7  (70-74)</v>
      </c>
      <c r="F319" s="13"/>
      <c r="G319" s="30">
        <f>'[6]bp-sp-Men'!F169</f>
        <v>0</v>
      </c>
    </row>
    <row r="320" spans="1:7" x14ac:dyDescent="0.25">
      <c r="A320" s="1">
        <f>'[6]bp-sp-Men'!A170</f>
        <v>52</v>
      </c>
      <c r="B320">
        <f>'[6]bp-sp-Men'!B170</f>
        <v>0</v>
      </c>
      <c r="C320">
        <f>'[6]bp-sp-Men'!C170</f>
        <v>0</v>
      </c>
      <c r="D320" t="str">
        <f t="shared" ref="D320" si="22">RIGHT(C320,2)</f>
        <v>0</v>
      </c>
      <c r="E320">
        <f>'[6]bp-sp-Men'!D170</f>
        <v>0</v>
      </c>
      <c r="F320" s="10">
        <f>'[6]bp-sp-Men'!E170</f>
        <v>0</v>
      </c>
      <c r="G320" s="29">
        <f>'[6]bp-sp-Men'!F170</f>
        <v>0</v>
      </c>
    </row>
    <row r="321" spans="1:7" x14ac:dyDescent="0.25">
      <c r="A321" s="1">
        <f>'[6]bp-sp-Men'!A171</f>
        <v>56</v>
      </c>
      <c r="B321">
        <f>'[6]bp-sp-Men'!B171</f>
        <v>0</v>
      </c>
      <c r="C321">
        <f>'[6]bp-sp-Men'!C171</f>
        <v>0</v>
      </c>
      <c r="D321" t="str">
        <f t="shared" ref="D321" si="23">RIGHT(C321,2)</f>
        <v>0</v>
      </c>
      <c r="E321">
        <f>'[6]bp-sp-Men'!D171</f>
        <v>0</v>
      </c>
      <c r="F321" s="10">
        <f>'[6]bp-sp-Men'!E171</f>
        <v>0</v>
      </c>
      <c r="G321" s="29">
        <f>'[6]bp-sp-Men'!F171</f>
        <v>0</v>
      </c>
    </row>
    <row r="322" spans="1:7" x14ac:dyDescent="0.25">
      <c r="A322" s="1">
        <f>'[6]bp-sp-Men'!A172</f>
        <v>60</v>
      </c>
      <c r="B322">
        <f>'[6]bp-sp-Men'!B172</f>
        <v>0</v>
      </c>
      <c r="C322">
        <f>'[6]bp-sp-Men'!C172</f>
        <v>0</v>
      </c>
      <c r="D322" t="str">
        <f t="shared" si="20"/>
        <v>0</v>
      </c>
      <c r="E322">
        <f>'[6]bp-sp-Men'!D172</f>
        <v>0</v>
      </c>
      <c r="F322" s="10">
        <f>'[6]bp-sp-Men'!E172</f>
        <v>0</v>
      </c>
      <c r="G322" s="29">
        <f>'[6]bp-sp-Men'!F172</f>
        <v>0</v>
      </c>
    </row>
    <row r="323" spans="1:7" x14ac:dyDescent="0.25">
      <c r="A323" s="1" t="str">
        <f>'[6]bp-sp-Men'!A173</f>
        <v>67.5</v>
      </c>
      <c r="B323">
        <f>'[6]bp-sp-Men'!B173</f>
        <v>102.5</v>
      </c>
      <c r="C323" t="str">
        <f>'[6]bp-sp-Men'!C173</f>
        <v>Kim Miron/41</v>
      </c>
      <c r="D323" t="str">
        <f t="shared" si="20"/>
        <v>41</v>
      </c>
      <c r="E323" t="str">
        <f>'[6]bp-sp-Men'!D173</f>
        <v>RUS</v>
      </c>
      <c r="F323" s="10" t="str">
        <f>'[6]bp-sp-Men'!E173</f>
        <v>24.08.2014</v>
      </c>
      <c r="G323" s="29" t="str">
        <f>'[6]bp-sp-Men'!F173</f>
        <v>Moscow</v>
      </c>
    </row>
    <row r="324" spans="1:7" x14ac:dyDescent="0.25">
      <c r="A324" s="1">
        <f>'[6]bp-sp-Men'!A174</f>
        <v>75</v>
      </c>
      <c r="B324">
        <f>'[6]bp-sp-Men'!B174</f>
        <v>0</v>
      </c>
      <c r="C324">
        <f>'[6]bp-sp-Men'!C174</f>
        <v>0</v>
      </c>
      <c r="D324" t="str">
        <f t="shared" si="20"/>
        <v>0</v>
      </c>
      <c r="E324">
        <f>'[6]bp-sp-Men'!D174</f>
        <v>0</v>
      </c>
      <c r="F324" s="10">
        <f>'[6]bp-sp-Men'!E174</f>
        <v>0</v>
      </c>
      <c r="G324" s="29">
        <f>'[6]bp-sp-Men'!F174</f>
        <v>0</v>
      </c>
    </row>
    <row r="325" spans="1:7" x14ac:dyDescent="0.25">
      <c r="A325" s="1" t="str">
        <f>'[6]bp-sp-Men'!A175</f>
        <v>82.5</v>
      </c>
      <c r="B325">
        <f>'[6]bp-sp-Men'!B175</f>
        <v>95</v>
      </c>
      <c r="C325" t="str">
        <f>'[6]bp-sp-Men'!C175</f>
        <v>Sannikov Vladislav/38</v>
      </c>
      <c r="D325" t="str">
        <f t="shared" si="20"/>
        <v>38</v>
      </c>
      <c r="E325" t="str">
        <f>'[6]bp-sp-Men'!D175</f>
        <v>RUS</v>
      </c>
      <c r="F325" s="10">
        <f>'[6]bp-sp-Men'!E175</f>
        <v>41439</v>
      </c>
      <c r="G325" s="29" t="str">
        <f>'[6]bp-sp-Men'!F175</f>
        <v>Moscow</v>
      </c>
    </row>
    <row r="326" spans="1:7" x14ac:dyDescent="0.25">
      <c r="A326" s="1">
        <f>'[6]bp-sp-Men'!A176</f>
        <v>90</v>
      </c>
      <c r="B326">
        <f>'[6]bp-sp-Men'!B176</f>
        <v>0</v>
      </c>
      <c r="C326">
        <f>'[6]bp-sp-Men'!C176</f>
        <v>0</v>
      </c>
      <c r="D326" t="str">
        <f t="shared" si="20"/>
        <v>0</v>
      </c>
      <c r="E326">
        <f>'[6]bp-sp-Men'!D176</f>
        <v>0</v>
      </c>
      <c r="F326" s="10">
        <f>'[6]bp-sp-Men'!E176</f>
        <v>0</v>
      </c>
      <c r="G326" s="29">
        <f>'[6]bp-sp-Men'!F176</f>
        <v>0</v>
      </c>
    </row>
    <row r="327" spans="1:7" x14ac:dyDescent="0.25">
      <c r="A327" s="1">
        <f>'[6]bp-sp-Men'!A177</f>
        <v>100</v>
      </c>
      <c r="B327">
        <f>'[6]bp-sp-Men'!B177</f>
        <v>0</v>
      </c>
      <c r="C327">
        <f>'[6]bp-sp-Men'!C177</f>
        <v>0</v>
      </c>
      <c r="D327" t="str">
        <f t="shared" si="20"/>
        <v>0</v>
      </c>
      <c r="E327">
        <f>'[6]bp-sp-Men'!D177</f>
        <v>0</v>
      </c>
      <c r="F327" s="10">
        <f>'[6]bp-sp-Men'!E177</f>
        <v>0</v>
      </c>
      <c r="G327" s="29">
        <f>'[6]bp-sp-Men'!F177</f>
        <v>0</v>
      </c>
    </row>
    <row r="328" spans="1:7" x14ac:dyDescent="0.25">
      <c r="A328" s="1">
        <f>'[6]bp-sp-Men'!A178</f>
        <v>110</v>
      </c>
      <c r="B328">
        <f>'[6]bp-sp-Men'!B178</f>
        <v>0</v>
      </c>
      <c r="C328">
        <f>'[6]bp-sp-Men'!C178</f>
        <v>0</v>
      </c>
      <c r="D328" t="str">
        <f t="shared" si="20"/>
        <v>0</v>
      </c>
      <c r="E328">
        <f>'[6]bp-sp-Men'!D178</f>
        <v>0</v>
      </c>
      <c r="F328" s="10">
        <f>'[6]bp-sp-Men'!E178</f>
        <v>0</v>
      </c>
      <c r="G328" s="29">
        <f>'[6]bp-sp-Men'!F178</f>
        <v>0</v>
      </c>
    </row>
    <row r="329" spans="1:7" x14ac:dyDescent="0.25">
      <c r="A329" s="1">
        <f>'[6]bp-sp-Men'!A179</f>
        <v>125</v>
      </c>
      <c r="B329">
        <f>'[6]bp-sp-Men'!B179</f>
        <v>0</v>
      </c>
      <c r="C329">
        <f>'[6]bp-sp-Men'!C179</f>
        <v>0</v>
      </c>
      <c r="D329" t="str">
        <f t="shared" si="20"/>
        <v>0</v>
      </c>
      <c r="E329">
        <f>'[6]bp-sp-Men'!D179</f>
        <v>0</v>
      </c>
      <c r="F329" s="10">
        <f>'[6]bp-sp-Men'!E179</f>
        <v>0</v>
      </c>
      <c r="G329" s="29">
        <f>'[6]bp-sp-Men'!F179</f>
        <v>0</v>
      </c>
    </row>
    <row r="330" spans="1:7" x14ac:dyDescent="0.25">
      <c r="A330" s="1">
        <f>'[6]bp-sp-Men'!A180</f>
        <v>140</v>
      </c>
      <c r="B330">
        <f>'[6]bp-sp-Men'!B180</f>
        <v>0</v>
      </c>
      <c r="C330">
        <f>'[6]bp-sp-Men'!C180</f>
        <v>0</v>
      </c>
      <c r="D330" t="str">
        <f t="shared" si="20"/>
        <v>0</v>
      </c>
      <c r="E330">
        <f>'[6]bp-sp-Men'!D180</f>
        <v>0</v>
      </c>
      <c r="F330" s="10">
        <f>'[6]bp-sp-Men'!E180</f>
        <v>0</v>
      </c>
      <c r="G330" s="29">
        <f>'[6]bp-sp-Men'!F180</f>
        <v>0</v>
      </c>
    </row>
    <row r="331" spans="1:7" x14ac:dyDescent="0.25">
      <c r="A331" s="1" t="str">
        <f>'[6]bp-sp-Men'!A181</f>
        <v>140+</v>
      </c>
      <c r="B331">
        <f>'[6]bp-sp-Men'!B181</f>
        <v>0</v>
      </c>
      <c r="C331">
        <f>'[6]bp-sp-Men'!C181</f>
        <v>0</v>
      </c>
      <c r="D331" t="str">
        <f t="shared" si="20"/>
        <v>0</v>
      </c>
      <c r="E331">
        <f>'[6]bp-sp-Men'!D181</f>
        <v>0</v>
      </c>
      <c r="F331" s="10">
        <f>'[6]bp-sp-Men'!E181</f>
        <v>0</v>
      </c>
      <c r="G331" s="29">
        <f>'[6]bp-sp-Men'!F181</f>
        <v>0</v>
      </c>
    </row>
    <row r="333" spans="1:7" x14ac:dyDescent="0.25">
      <c r="A333" s="1" t="s">
        <v>0</v>
      </c>
      <c r="B333">
        <v>1</v>
      </c>
      <c r="C333">
        <v>75</v>
      </c>
      <c r="D333" t="str">
        <f>'[6]bp-sp-Men'!B182</f>
        <v>Men's Master8  (75-79)</v>
      </c>
    </row>
    <row r="334" spans="1:7" x14ac:dyDescent="0.25">
      <c r="A334" s="1">
        <f>'[6]bp-sp-Men'!A183</f>
        <v>52</v>
      </c>
      <c r="B334">
        <f>'[6]bp-sp-Men'!B183</f>
        <v>0</v>
      </c>
      <c r="C334">
        <f>'[6]bp-sp-Men'!C183</f>
        <v>0</v>
      </c>
      <c r="D334" t="str">
        <f t="shared" si="20"/>
        <v>0</v>
      </c>
      <c r="E334">
        <f>'[6]bp-sp-Men'!D183</f>
        <v>0</v>
      </c>
      <c r="F334" s="10">
        <f>'[6]bp-sp-Men'!E183</f>
        <v>0</v>
      </c>
      <c r="G334" s="29">
        <f>'[6]bp-sp-Men'!F183</f>
        <v>0</v>
      </c>
    </row>
    <row r="335" spans="1:7" x14ac:dyDescent="0.25">
      <c r="A335" s="1">
        <f>'[6]bp-sp-Men'!A184</f>
        <v>56</v>
      </c>
      <c r="B335">
        <f>'[6]bp-sp-Men'!B184</f>
        <v>0</v>
      </c>
      <c r="C335">
        <f>'[6]bp-sp-Men'!C184</f>
        <v>0</v>
      </c>
      <c r="D335" t="str">
        <f t="shared" ref="D335:D343" si="24">RIGHT(C335,2)</f>
        <v>0</v>
      </c>
      <c r="E335">
        <f>'[6]bp-sp-Men'!D184</f>
        <v>0</v>
      </c>
      <c r="F335" s="10">
        <f>'[6]bp-sp-Men'!E184</f>
        <v>0</v>
      </c>
      <c r="G335" s="29">
        <f>'[6]bp-sp-Men'!F184</f>
        <v>0</v>
      </c>
    </row>
    <row r="336" spans="1:7" x14ac:dyDescent="0.25">
      <c r="A336" s="1">
        <f>'[6]bp-sp-Men'!A185</f>
        <v>60</v>
      </c>
      <c r="B336">
        <f>'[6]bp-sp-Men'!B185</f>
        <v>0</v>
      </c>
      <c r="C336">
        <f>'[6]bp-sp-Men'!C185</f>
        <v>0</v>
      </c>
      <c r="D336" t="str">
        <f t="shared" si="24"/>
        <v>0</v>
      </c>
      <c r="E336">
        <f>'[6]bp-sp-Men'!D185</f>
        <v>0</v>
      </c>
      <c r="F336" s="10">
        <f>'[6]bp-sp-Men'!E185</f>
        <v>0</v>
      </c>
      <c r="G336" s="29">
        <f>'[6]bp-sp-Men'!F185</f>
        <v>0</v>
      </c>
    </row>
    <row r="337" spans="1:7" x14ac:dyDescent="0.25">
      <c r="A337" s="1">
        <f>'[6]bp-sp-Men'!A186</f>
        <v>67.5</v>
      </c>
      <c r="B337">
        <f>'[6]bp-sp-Men'!B186</f>
        <v>0</v>
      </c>
      <c r="C337">
        <f>'[6]bp-sp-Men'!C186</f>
        <v>0</v>
      </c>
      <c r="D337" t="str">
        <f t="shared" si="24"/>
        <v>0</v>
      </c>
      <c r="E337">
        <f>'[6]bp-sp-Men'!D186</f>
        <v>0</v>
      </c>
      <c r="F337" s="10">
        <f>'[6]bp-sp-Men'!E186</f>
        <v>0</v>
      </c>
      <c r="G337" s="29">
        <f>'[6]bp-sp-Men'!F186</f>
        <v>0</v>
      </c>
    </row>
    <row r="338" spans="1:7" x14ac:dyDescent="0.25">
      <c r="A338" s="1">
        <f>'[6]bp-sp-Men'!A187</f>
        <v>75</v>
      </c>
      <c r="B338">
        <f>'[6]bp-sp-Men'!B187</f>
        <v>0</v>
      </c>
      <c r="C338">
        <f>'[6]bp-sp-Men'!C187</f>
        <v>0</v>
      </c>
      <c r="D338" t="str">
        <f t="shared" si="24"/>
        <v>0</v>
      </c>
      <c r="E338">
        <f>'[6]bp-sp-Men'!D187</f>
        <v>0</v>
      </c>
      <c r="F338" s="10">
        <f>'[6]bp-sp-Men'!E187</f>
        <v>0</v>
      </c>
      <c r="G338" s="29">
        <f>'[6]bp-sp-Men'!F187</f>
        <v>0</v>
      </c>
    </row>
    <row r="339" spans="1:7" x14ac:dyDescent="0.25">
      <c r="A339" s="1">
        <f>'[6]bp-sp-Men'!A188</f>
        <v>82.5</v>
      </c>
      <c r="B339">
        <f>'[6]bp-sp-Men'!B188</f>
        <v>95</v>
      </c>
      <c r="C339" t="str">
        <f>'[6]bp-sp-Men'!C188</f>
        <v>Sannikov Vladislav/38</v>
      </c>
      <c r="D339" t="str">
        <f t="shared" si="24"/>
        <v>38</v>
      </c>
      <c r="E339" t="str">
        <f>'[6]bp-sp-Men'!D188</f>
        <v>RUS</v>
      </c>
      <c r="F339" s="10" t="str">
        <f>'[6]bp-sp-Men'!E188</f>
        <v>24.08.2014</v>
      </c>
      <c r="G339" s="29" t="str">
        <f>'[6]bp-sp-Men'!F188</f>
        <v>Moscow</v>
      </c>
    </row>
    <row r="340" spans="1:7" x14ac:dyDescent="0.25">
      <c r="A340" s="1">
        <f>'[6]bp-sp-Men'!A189</f>
        <v>90</v>
      </c>
      <c r="B340">
        <f>'[6]bp-sp-Men'!B189</f>
        <v>0</v>
      </c>
      <c r="C340">
        <f>'[6]bp-sp-Men'!C189</f>
        <v>0</v>
      </c>
      <c r="D340" t="str">
        <f t="shared" si="24"/>
        <v>0</v>
      </c>
      <c r="E340">
        <f>'[6]bp-sp-Men'!D189</f>
        <v>0</v>
      </c>
      <c r="F340" s="10">
        <f>'[6]bp-sp-Men'!E189</f>
        <v>0</v>
      </c>
      <c r="G340" s="29">
        <f>'[6]bp-sp-Men'!F189</f>
        <v>0</v>
      </c>
    </row>
    <row r="341" spans="1:7" x14ac:dyDescent="0.25">
      <c r="A341" s="1">
        <f>'[6]bp-sp-Men'!A190</f>
        <v>100</v>
      </c>
      <c r="B341">
        <f>'[6]bp-sp-Men'!B190</f>
        <v>0</v>
      </c>
      <c r="C341">
        <f>'[6]bp-sp-Men'!C190</f>
        <v>0</v>
      </c>
      <c r="D341" t="str">
        <f t="shared" si="24"/>
        <v>0</v>
      </c>
      <c r="E341">
        <f>'[6]bp-sp-Men'!D190</f>
        <v>0</v>
      </c>
      <c r="F341" s="10">
        <f>'[6]bp-sp-Men'!E190</f>
        <v>0</v>
      </c>
      <c r="G341" s="29">
        <f>'[6]bp-sp-Men'!F190</f>
        <v>0</v>
      </c>
    </row>
    <row r="342" spans="1:7" x14ac:dyDescent="0.25">
      <c r="A342" s="1">
        <f>'[6]bp-sp-Men'!A191</f>
        <v>110</v>
      </c>
      <c r="B342">
        <f>'[6]bp-sp-Men'!B191</f>
        <v>0</v>
      </c>
      <c r="C342">
        <f>'[6]bp-sp-Men'!C191</f>
        <v>0</v>
      </c>
      <c r="D342" t="str">
        <f t="shared" si="24"/>
        <v>0</v>
      </c>
      <c r="E342">
        <f>'[6]bp-sp-Men'!D191</f>
        <v>0</v>
      </c>
      <c r="F342" s="10">
        <f>'[6]bp-sp-Men'!E191</f>
        <v>0</v>
      </c>
      <c r="G342" s="29">
        <f>'[6]bp-sp-Men'!F191</f>
        <v>0</v>
      </c>
    </row>
    <row r="343" spans="1:7" x14ac:dyDescent="0.25">
      <c r="A343" s="1">
        <f>'[6]bp-sp-Men'!A192</f>
        <v>125</v>
      </c>
      <c r="B343">
        <f>'[6]bp-sp-Men'!B192</f>
        <v>0</v>
      </c>
      <c r="C343">
        <f>'[6]bp-sp-Men'!C192</f>
        <v>0</v>
      </c>
      <c r="D343" t="str">
        <f t="shared" si="24"/>
        <v>0</v>
      </c>
      <c r="E343">
        <f>'[6]bp-sp-Men'!D192</f>
        <v>0</v>
      </c>
      <c r="F343" s="10">
        <f>'[6]bp-sp-Men'!E192</f>
        <v>0</v>
      </c>
      <c r="G343" s="29">
        <f>'[6]bp-sp-Men'!F192</f>
        <v>0</v>
      </c>
    </row>
    <row r="344" spans="1:7" x14ac:dyDescent="0.25">
      <c r="A344" s="1">
        <f>'[6]bp-sp-Men'!A193</f>
        <v>140</v>
      </c>
      <c r="B344">
        <f>'[6]bp-sp-Men'!B193</f>
        <v>0</v>
      </c>
      <c r="C344">
        <f>'[6]bp-sp-Men'!C193</f>
        <v>0</v>
      </c>
      <c r="D344" t="str">
        <f t="shared" ref="D344:D365" si="25">RIGHT(C344,2)</f>
        <v>0</v>
      </c>
      <c r="E344">
        <f>'[6]bp-sp-Men'!D193</f>
        <v>0</v>
      </c>
      <c r="F344" s="10">
        <f>'[6]bp-sp-Men'!E193</f>
        <v>0</v>
      </c>
      <c r="G344" s="29">
        <f>'[6]bp-sp-Men'!F193</f>
        <v>0</v>
      </c>
    </row>
    <row r="345" spans="1:7" x14ac:dyDescent="0.25">
      <c r="A345" s="1" t="str">
        <f>'[6]bp-sp-Men'!A194</f>
        <v>140+</v>
      </c>
      <c r="B345">
        <f>'[6]bp-sp-Men'!B194</f>
        <v>0</v>
      </c>
      <c r="C345">
        <f>'[6]bp-sp-Men'!C194</f>
        <v>0</v>
      </c>
      <c r="D345" t="str">
        <f t="shared" si="25"/>
        <v>0</v>
      </c>
      <c r="E345">
        <f>'[6]bp-sp-Men'!D194</f>
        <v>0</v>
      </c>
      <c r="F345" s="10">
        <f>'[6]bp-sp-Men'!E194</f>
        <v>0</v>
      </c>
      <c r="G345" s="29">
        <f>'[6]bp-sp-Men'!F194</f>
        <v>0</v>
      </c>
    </row>
    <row r="346" spans="1:7" x14ac:dyDescent="0.25">
      <c r="A346" s="1">
        <f>'[6]bp-sp-Men'!A195</f>
        <v>0</v>
      </c>
      <c r="B346">
        <f>'[6]bp-sp-Men'!B195</f>
        <v>0</v>
      </c>
      <c r="C346">
        <f>'[6]bp-sp-Men'!C195</f>
        <v>0</v>
      </c>
      <c r="D346" t="str">
        <f t="shared" si="25"/>
        <v>0</v>
      </c>
      <c r="E346">
        <f>'[6]bp-sp-Men'!D195</f>
        <v>0</v>
      </c>
      <c r="F346" s="10">
        <f>'[6]bp-sp-Men'!E195</f>
        <v>0</v>
      </c>
      <c r="G346" s="29">
        <f>'[6]bp-sp-Men'!F195</f>
        <v>0</v>
      </c>
    </row>
    <row r="347" spans="1:7" x14ac:dyDescent="0.25">
      <c r="A347" s="1">
        <f>'[6]bp-sp-Men'!A196</f>
        <v>0</v>
      </c>
      <c r="B347">
        <f>'[6]bp-sp-Men'!B196</f>
        <v>0</v>
      </c>
      <c r="C347">
        <f>'[6]bp-sp-Men'!C196</f>
        <v>0</v>
      </c>
      <c r="D347" t="str">
        <f t="shared" si="25"/>
        <v>0</v>
      </c>
      <c r="E347">
        <f>'[6]bp-sp-Men'!D196</f>
        <v>0</v>
      </c>
      <c r="F347" s="10">
        <f>'[6]bp-sp-Men'!E196</f>
        <v>0</v>
      </c>
      <c r="G347" s="29">
        <f>'[6]bp-sp-Men'!F196</f>
        <v>0</v>
      </c>
    </row>
    <row r="348" spans="1:7" x14ac:dyDescent="0.25">
      <c r="A348" s="1">
        <f>'[6]bp-sp-Men'!A197</f>
        <v>0</v>
      </c>
      <c r="B348">
        <f>'[6]bp-sp-Men'!B197</f>
        <v>0</v>
      </c>
      <c r="C348">
        <f>'[6]bp-sp-Men'!C197</f>
        <v>0</v>
      </c>
      <c r="D348" t="str">
        <f t="shared" si="25"/>
        <v>0</v>
      </c>
      <c r="E348">
        <f>'[6]bp-sp-Men'!D197</f>
        <v>0</v>
      </c>
      <c r="F348" s="10">
        <f>'[6]bp-sp-Men'!E197</f>
        <v>0</v>
      </c>
      <c r="G348" s="29">
        <f>'[6]bp-sp-Men'!F197</f>
        <v>0</v>
      </c>
    </row>
    <row r="349" spans="1:7" x14ac:dyDescent="0.25">
      <c r="A349" s="1">
        <f>'[6]bp-sp-Men'!A198</f>
        <v>0</v>
      </c>
      <c r="B349">
        <f>'[6]bp-sp-Men'!B198</f>
        <v>0</v>
      </c>
      <c r="C349">
        <f>'[6]bp-sp-Men'!C198</f>
        <v>0</v>
      </c>
      <c r="D349" t="str">
        <f t="shared" si="25"/>
        <v>0</v>
      </c>
      <c r="E349">
        <f>'[6]bp-sp-Men'!D198</f>
        <v>0</v>
      </c>
      <c r="F349" s="10">
        <f>'[6]bp-sp-Men'!E198</f>
        <v>0</v>
      </c>
      <c r="G349" s="29">
        <f>'[6]bp-sp-Men'!F198</f>
        <v>0</v>
      </c>
    </row>
    <row r="350" spans="1:7" x14ac:dyDescent="0.25">
      <c r="A350" s="1">
        <f>'[6]bp-sp-Men'!A199</f>
        <v>0</v>
      </c>
      <c r="B350">
        <f>'[6]bp-sp-Men'!B199</f>
        <v>0</v>
      </c>
      <c r="C350">
        <f>'[6]bp-sp-Men'!C199</f>
        <v>0</v>
      </c>
      <c r="D350" t="str">
        <f t="shared" si="25"/>
        <v>0</v>
      </c>
      <c r="E350">
        <f>'[6]bp-sp-Men'!D199</f>
        <v>0</v>
      </c>
      <c r="F350" s="10">
        <f>'[6]bp-sp-Men'!E199</f>
        <v>0</v>
      </c>
      <c r="G350" s="29">
        <f>'[6]bp-sp-Men'!F199</f>
        <v>0</v>
      </c>
    </row>
    <row r="351" spans="1:7" x14ac:dyDescent="0.25">
      <c r="A351" s="1">
        <f>'[6]bp-sp-Men'!A200</f>
        <v>0</v>
      </c>
      <c r="B351">
        <f>'[6]bp-sp-Men'!B200</f>
        <v>0</v>
      </c>
      <c r="C351">
        <f>'[6]bp-sp-Men'!C200</f>
        <v>0</v>
      </c>
      <c r="D351" t="str">
        <f t="shared" si="25"/>
        <v>0</v>
      </c>
      <c r="E351">
        <f>'[6]bp-sp-Men'!D200</f>
        <v>0</v>
      </c>
      <c r="F351" s="10">
        <f>'[6]bp-sp-Men'!E200</f>
        <v>0</v>
      </c>
      <c r="G351" s="29">
        <f>'[6]bp-sp-Men'!F200</f>
        <v>0</v>
      </c>
    </row>
    <row r="352" spans="1:7" x14ac:dyDescent="0.25">
      <c r="A352" s="1">
        <f>'[6]bp-sp-Men'!A201</f>
        <v>0</v>
      </c>
      <c r="B352">
        <f>'[6]bp-sp-Men'!B201</f>
        <v>0</v>
      </c>
      <c r="C352">
        <f>'[6]bp-sp-Men'!C201</f>
        <v>0</v>
      </c>
      <c r="D352" t="str">
        <f t="shared" si="25"/>
        <v>0</v>
      </c>
      <c r="E352">
        <f>'[6]bp-sp-Men'!D201</f>
        <v>0</v>
      </c>
      <c r="F352" s="10">
        <f>'[6]bp-sp-Men'!E201</f>
        <v>0</v>
      </c>
      <c r="G352" s="29">
        <f>'[6]bp-sp-Men'!F201</f>
        <v>0</v>
      </c>
    </row>
    <row r="353" spans="1:7" x14ac:dyDescent="0.25">
      <c r="A353" s="1">
        <f>'[6]bp-sp-Men'!A202</f>
        <v>0</v>
      </c>
      <c r="B353">
        <f>'[6]bp-sp-Men'!B202</f>
        <v>0</v>
      </c>
      <c r="C353">
        <f>'[6]bp-sp-Men'!C202</f>
        <v>0</v>
      </c>
      <c r="D353" t="str">
        <f t="shared" si="25"/>
        <v>0</v>
      </c>
      <c r="E353">
        <f>'[6]bp-sp-Men'!D202</f>
        <v>0</v>
      </c>
      <c r="F353" s="10">
        <f>'[6]bp-sp-Men'!E202</f>
        <v>0</v>
      </c>
      <c r="G353" s="29">
        <f>'[6]bp-sp-Men'!F202</f>
        <v>0</v>
      </c>
    </row>
    <row r="354" spans="1:7" x14ac:dyDescent="0.25">
      <c r="A354" s="1">
        <f>'[6]bp-sp-Men'!A203</f>
        <v>0</v>
      </c>
      <c r="B354">
        <f>'[6]bp-sp-Men'!B203</f>
        <v>0</v>
      </c>
      <c r="C354">
        <f>'[6]bp-sp-Men'!C203</f>
        <v>0</v>
      </c>
      <c r="D354" t="str">
        <f t="shared" si="25"/>
        <v>0</v>
      </c>
      <c r="E354">
        <f>'[6]bp-sp-Men'!D203</f>
        <v>0</v>
      </c>
      <c r="F354" s="10">
        <f>'[6]bp-sp-Men'!E203</f>
        <v>0</v>
      </c>
      <c r="G354" s="29">
        <f>'[6]bp-sp-Men'!F203</f>
        <v>0</v>
      </c>
    </row>
    <row r="355" spans="1:7" x14ac:dyDescent="0.25">
      <c r="A355" s="1">
        <f>'[6]bp-sp-Men'!A204</f>
        <v>0</v>
      </c>
      <c r="B355">
        <f>'[6]bp-sp-Men'!B204</f>
        <v>0</v>
      </c>
      <c r="C355">
        <f>'[6]bp-sp-Men'!C204</f>
        <v>0</v>
      </c>
      <c r="D355" t="str">
        <f t="shared" si="25"/>
        <v>0</v>
      </c>
      <c r="E355">
        <f>'[6]bp-sp-Men'!D204</f>
        <v>0</v>
      </c>
      <c r="F355" s="10">
        <f>'[6]bp-sp-Men'!E204</f>
        <v>0</v>
      </c>
      <c r="G355" s="29">
        <f>'[6]bp-sp-Men'!F204</f>
        <v>0</v>
      </c>
    </row>
    <row r="356" spans="1:7" x14ac:dyDescent="0.25">
      <c r="A356" s="1">
        <f>'[6]bp-sp-Men'!A205</f>
        <v>0</v>
      </c>
      <c r="B356">
        <f>'[6]bp-sp-Men'!B205</f>
        <v>0</v>
      </c>
      <c r="C356">
        <f>'[6]bp-sp-Men'!C205</f>
        <v>0</v>
      </c>
      <c r="D356" t="str">
        <f t="shared" si="25"/>
        <v>0</v>
      </c>
      <c r="E356">
        <f>'[6]bp-sp-Men'!D205</f>
        <v>0</v>
      </c>
      <c r="F356" s="10">
        <f>'[6]bp-sp-Men'!E205</f>
        <v>0</v>
      </c>
      <c r="G356" s="29">
        <f>'[6]bp-sp-Men'!F205</f>
        <v>0</v>
      </c>
    </row>
    <row r="357" spans="1:7" x14ac:dyDescent="0.25">
      <c r="A357" s="1">
        <f>'[6]bp-sp-Men'!A206</f>
        <v>0</v>
      </c>
      <c r="B357">
        <f>'[6]bp-sp-Men'!B206</f>
        <v>0</v>
      </c>
      <c r="C357">
        <f>'[6]bp-sp-Men'!C206</f>
        <v>0</v>
      </c>
      <c r="D357" t="str">
        <f t="shared" si="25"/>
        <v>0</v>
      </c>
      <c r="E357">
        <f>'[6]bp-sp-Men'!D206</f>
        <v>0</v>
      </c>
      <c r="F357" s="10">
        <f>'[6]bp-sp-Men'!E206</f>
        <v>0</v>
      </c>
      <c r="G357" s="29">
        <f>'[6]bp-sp-Men'!F206</f>
        <v>0</v>
      </c>
    </row>
    <row r="358" spans="1:7" x14ac:dyDescent="0.25">
      <c r="A358" s="1">
        <f>'[6]bp-sp-Men'!A207</f>
        <v>0</v>
      </c>
      <c r="B358">
        <f>'[6]bp-sp-Men'!B207</f>
        <v>0</v>
      </c>
      <c r="C358">
        <f>'[6]bp-sp-Men'!C207</f>
        <v>0</v>
      </c>
      <c r="D358" t="str">
        <f t="shared" si="25"/>
        <v>0</v>
      </c>
      <c r="E358">
        <f>'[6]bp-sp-Men'!D207</f>
        <v>0</v>
      </c>
      <c r="F358" s="10">
        <f>'[6]bp-sp-Men'!E207</f>
        <v>0</v>
      </c>
      <c r="G358" s="29">
        <f>'[6]bp-sp-Men'!F207</f>
        <v>0</v>
      </c>
    </row>
    <row r="359" spans="1:7" x14ac:dyDescent="0.25">
      <c r="A359" s="1">
        <f>'[6]bp-sp-Men'!A208</f>
        <v>0</v>
      </c>
      <c r="B359">
        <f>'[6]bp-sp-Men'!B208</f>
        <v>0</v>
      </c>
      <c r="C359">
        <f>'[6]bp-sp-Men'!C208</f>
        <v>0</v>
      </c>
      <c r="D359" t="str">
        <f t="shared" si="25"/>
        <v>0</v>
      </c>
      <c r="E359">
        <f>'[6]bp-sp-Men'!D208</f>
        <v>0</v>
      </c>
      <c r="F359" s="10">
        <f>'[6]bp-sp-Men'!E208</f>
        <v>0</v>
      </c>
      <c r="G359" s="29">
        <f>'[6]bp-sp-Men'!F208</f>
        <v>0</v>
      </c>
    </row>
    <row r="360" spans="1:7" x14ac:dyDescent="0.25">
      <c r="A360" s="1">
        <f>'[6]bp-sp-Men'!A209</f>
        <v>0</v>
      </c>
      <c r="B360">
        <f>'[6]bp-sp-Men'!B209</f>
        <v>0</v>
      </c>
      <c r="C360">
        <f>'[6]bp-sp-Men'!C209</f>
        <v>0</v>
      </c>
      <c r="D360" t="str">
        <f t="shared" si="25"/>
        <v>0</v>
      </c>
      <c r="E360">
        <f>'[6]bp-sp-Men'!D209</f>
        <v>0</v>
      </c>
      <c r="F360" s="10">
        <f>'[6]bp-sp-Men'!E209</f>
        <v>0</v>
      </c>
      <c r="G360" s="29">
        <f>'[6]bp-sp-Men'!F209</f>
        <v>0</v>
      </c>
    </row>
    <row r="361" spans="1:7" x14ac:dyDescent="0.25">
      <c r="A361" s="1">
        <f>'[6]bp-sp-Men'!A210</f>
        <v>0</v>
      </c>
      <c r="B361">
        <f>'[6]bp-sp-Men'!B210</f>
        <v>0</v>
      </c>
      <c r="C361">
        <f>'[6]bp-sp-Men'!C210</f>
        <v>0</v>
      </c>
      <c r="D361" t="str">
        <f t="shared" si="25"/>
        <v>0</v>
      </c>
      <c r="E361">
        <f>'[6]bp-sp-Men'!D210</f>
        <v>0</v>
      </c>
      <c r="F361" s="10">
        <f>'[6]bp-sp-Men'!E210</f>
        <v>0</v>
      </c>
      <c r="G361" s="29">
        <f>'[6]bp-sp-Men'!F210</f>
        <v>0</v>
      </c>
    </row>
    <row r="362" spans="1:7" x14ac:dyDescent="0.25">
      <c r="A362" s="1">
        <f>'[6]bp-sp-Men'!A211</f>
        <v>0</v>
      </c>
      <c r="B362">
        <f>'[6]bp-sp-Men'!B211</f>
        <v>0</v>
      </c>
      <c r="C362">
        <f>'[6]bp-sp-Men'!C211</f>
        <v>0</v>
      </c>
      <c r="D362" t="str">
        <f t="shared" si="25"/>
        <v>0</v>
      </c>
      <c r="E362">
        <f>'[6]bp-sp-Men'!D211</f>
        <v>0</v>
      </c>
      <c r="F362" s="10">
        <f>'[6]bp-sp-Men'!E211</f>
        <v>0</v>
      </c>
      <c r="G362" s="29">
        <f>'[6]bp-sp-Men'!F211</f>
        <v>0</v>
      </c>
    </row>
    <row r="363" spans="1:7" x14ac:dyDescent="0.25">
      <c r="A363" s="1">
        <f>'[6]bp-sp-Men'!A212</f>
        <v>0</v>
      </c>
      <c r="B363">
        <f>'[6]bp-sp-Men'!B212</f>
        <v>0</v>
      </c>
      <c r="C363">
        <f>'[6]bp-sp-Men'!C212</f>
        <v>0</v>
      </c>
      <c r="D363" t="str">
        <f t="shared" si="25"/>
        <v>0</v>
      </c>
      <c r="E363">
        <f>'[6]bp-sp-Men'!D212</f>
        <v>0</v>
      </c>
      <c r="F363" s="10">
        <f>'[6]bp-sp-Men'!E212</f>
        <v>0</v>
      </c>
      <c r="G363" s="29">
        <f>'[6]bp-sp-Men'!F212</f>
        <v>0</v>
      </c>
    </row>
    <row r="364" spans="1:7" x14ac:dyDescent="0.25">
      <c r="A364" s="1">
        <f>'[6]bp-sp-Men'!A213</f>
        <v>0</v>
      </c>
      <c r="B364">
        <f>'[6]bp-sp-Men'!B213</f>
        <v>0</v>
      </c>
      <c r="C364">
        <f>'[6]bp-sp-Men'!C213</f>
        <v>0</v>
      </c>
      <c r="D364" t="str">
        <f t="shared" si="25"/>
        <v>0</v>
      </c>
      <c r="E364">
        <f>'[6]bp-sp-Men'!D213</f>
        <v>0</v>
      </c>
      <c r="F364" s="10">
        <f>'[6]bp-sp-Men'!E213</f>
        <v>0</v>
      </c>
      <c r="G364" s="29">
        <f>'[6]bp-sp-Men'!F213</f>
        <v>0</v>
      </c>
    </row>
    <row r="365" spans="1:7" x14ac:dyDescent="0.25">
      <c r="A365" s="1">
        <f>'[6]bp-sp-Men'!A214</f>
        <v>0</v>
      </c>
      <c r="B365">
        <f>'[6]bp-sp-Men'!B214</f>
        <v>0</v>
      </c>
      <c r="C365">
        <f>'[6]bp-sp-Men'!C214</f>
        <v>0</v>
      </c>
      <c r="D365" t="str">
        <f t="shared" si="25"/>
        <v>0</v>
      </c>
      <c r="E365">
        <f>'[6]bp-sp-Men'!D214</f>
        <v>0</v>
      </c>
      <c r="F365" s="10">
        <f>'[6]bp-sp-Men'!E214</f>
        <v>0</v>
      </c>
      <c r="G365" s="29">
        <f>'[6]bp-sp-Men'!F214</f>
        <v>0</v>
      </c>
    </row>
    <row r="366" spans="1:7" x14ac:dyDescent="0.25">
      <c r="D366" t="str">
        <f t="shared" ref="D365:D407" si="26">RIGHT(C366,2)</f>
        <v/>
      </c>
    </row>
    <row r="367" spans="1:7" x14ac:dyDescent="0.25">
      <c r="D367" t="str">
        <f t="shared" si="26"/>
        <v/>
      </c>
    </row>
    <row r="368" spans="1:7" x14ac:dyDescent="0.25">
      <c r="A368" s="1" t="s">
        <v>2</v>
      </c>
      <c r="D368" t="str">
        <f t="shared" si="26"/>
        <v/>
      </c>
    </row>
    <row r="369" spans="1:4" x14ac:dyDescent="0.25">
      <c r="A369" s="1" t="s">
        <v>2</v>
      </c>
      <c r="D369" t="str">
        <f t="shared" si="26"/>
        <v/>
      </c>
    </row>
    <row r="370" spans="1:4" x14ac:dyDescent="0.25">
      <c r="A370" s="1" t="s">
        <v>1</v>
      </c>
      <c r="D370" t="str">
        <f t="shared" si="26"/>
        <v/>
      </c>
    </row>
    <row r="371" spans="1:4" x14ac:dyDescent="0.25">
      <c r="D371" t="str">
        <f t="shared" si="26"/>
        <v/>
      </c>
    </row>
    <row r="372" spans="1:4" x14ac:dyDescent="0.25">
      <c r="D372" t="str">
        <f t="shared" si="26"/>
        <v/>
      </c>
    </row>
    <row r="373" spans="1:4" x14ac:dyDescent="0.25">
      <c r="D373" t="str">
        <f t="shared" si="26"/>
        <v/>
      </c>
    </row>
    <row r="374" spans="1:4" x14ac:dyDescent="0.25">
      <c r="D374" t="str">
        <f t="shared" si="26"/>
        <v/>
      </c>
    </row>
    <row r="375" spans="1:4" x14ac:dyDescent="0.25">
      <c r="D375" t="str">
        <f t="shared" si="26"/>
        <v/>
      </c>
    </row>
    <row r="376" spans="1:4" x14ac:dyDescent="0.25">
      <c r="D376" t="str">
        <f t="shared" si="26"/>
        <v/>
      </c>
    </row>
    <row r="377" spans="1:4" x14ac:dyDescent="0.25">
      <c r="D377" t="str">
        <f t="shared" si="26"/>
        <v/>
      </c>
    </row>
    <row r="378" spans="1:4" x14ac:dyDescent="0.25">
      <c r="D378" t="str">
        <f t="shared" si="26"/>
        <v/>
      </c>
    </row>
    <row r="379" spans="1:4" x14ac:dyDescent="0.25">
      <c r="D379" t="str">
        <f t="shared" si="26"/>
        <v/>
      </c>
    </row>
    <row r="380" spans="1:4" x14ac:dyDescent="0.25">
      <c r="D380" t="str">
        <f t="shared" si="26"/>
        <v/>
      </c>
    </row>
    <row r="381" spans="1:4" x14ac:dyDescent="0.25">
      <c r="D381" t="str">
        <f t="shared" si="26"/>
        <v/>
      </c>
    </row>
    <row r="382" spans="1:4" x14ac:dyDescent="0.25">
      <c r="D382" t="str">
        <f t="shared" si="26"/>
        <v/>
      </c>
    </row>
    <row r="383" spans="1:4" x14ac:dyDescent="0.25">
      <c r="D383" t="str">
        <f t="shared" si="26"/>
        <v/>
      </c>
    </row>
    <row r="384" spans="1:4" x14ac:dyDescent="0.25">
      <c r="D384" t="str">
        <f t="shared" si="26"/>
        <v/>
      </c>
    </row>
    <row r="385" spans="4:4" x14ac:dyDescent="0.25">
      <c r="D385" t="str">
        <f t="shared" si="26"/>
        <v/>
      </c>
    </row>
    <row r="386" spans="4:4" x14ac:dyDescent="0.25">
      <c r="D386" t="str">
        <f t="shared" si="26"/>
        <v/>
      </c>
    </row>
    <row r="387" spans="4:4" x14ac:dyDescent="0.25">
      <c r="D387" t="str">
        <f t="shared" si="26"/>
        <v/>
      </c>
    </row>
    <row r="388" spans="4:4" x14ac:dyDescent="0.25">
      <c r="D388" t="str">
        <f t="shared" si="26"/>
        <v/>
      </c>
    </row>
    <row r="389" spans="4:4" x14ac:dyDescent="0.25">
      <c r="D389" t="str">
        <f t="shared" si="26"/>
        <v/>
      </c>
    </row>
    <row r="390" spans="4:4" x14ac:dyDescent="0.25">
      <c r="D390" t="str">
        <f t="shared" si="26"/>
        <v/>
      </c>
    </row>
    <row r="391" spans="4:4" x14ac:dyDescent="0.25">
      <c r="D391" t="str">
        <f t="shared" si="26"/>
        <v/>
      </c>
    </row>
    <row r="392" spans="4:4" x14ac:dyDescent="0.25">
      <c r="D392" t="str">
        <f t="shared" si="26"/>
        <v/>
      </c>
    </row>
    <row r="393" spans="4:4" x14ac:dyDescent="0.25">
      <c r="D393" t="str">
        <f t="shared" si="26"/>
        <v/>
      </c>
    </row>
    <row r="394" spans="4:4" x14ac:dyDescent="0.25">
      <c r="D394" t="str">
        <f t="shared" si="26"/>
        <v/>
      </c>
    </row>
    <row r="395" spans="4:4" x14ac:dyDescent="0.25">
      <c r="D395" t="str">
        <f t="shared" si="26"/>
        <v/>
      </c>
    </row>
    <row r="396" spans="4:4" x14ac:dyDescent="0.25">
      <c r="D396" t="str">
        <f t="shared" si="26"/>
        <v/>
      </c>
    </row>
    <row r="397" spans="4:4" x14ac:dyDescent="0.25">
      <c r="D397" t="str">
        <f t="shared" si="26"/>
        <v/>
      </c>
    </row>
    <row r="398" spans="4:4" x14ac:dyDescent="0.25">
      <c r="D398" t="str">
        <f t="shared" si="26"/>
        <v/>
      </c>
    </row>
    <row r="399" spans="4:4" x14ac:dyDescent="0.25">
      <c r="D399" t="str">
        <f t="shared" si="26"/>
        <v/>
      </c>
    </row>
    <row r="400" spans="4:4" x14ac:dyDescent="0.25">
      <c r="D400" t="str">
        <f t="shared" si="26"/>
        <v/>
      </c>
    </row>
    <row r="401" spans="4:4" x14ac:dyDescent="0.25">
      <c r="D401" t="str">
        <f t="shared" si="26"/>
        <v/>
      </c>
    </row>
    <row r="402" spans="4:4" x14ac:dyDescent="0.25">
      <c r="D402" t="str">
        <f t="shared" si="26"/>
        <v/>
      </c>
    </row>
    <row r="403" spans="4:4" x14ac:dyDescent="0.25">
      <c r="D403" t="str">
        <f t="shared" si="26"/>
        <v/>
      </c>
    </row>
    <row r="404" spans="4:4" x14ac:dyDescent="0.25">
      <c r="D404" t="str">
        <f t="shared" si="26"/>
        <v/>
      </c>
    </row>
    <row r="405" spans="4:4" x14ac:dyDescent="0.25">
      <c r="D405" t="str">
        <f t="shared" si="26"/>
        <v/>
      </c>
    </row>
    <row r="406" spans="4:4" x14ac:dyDescent="0.25">
      <c r="D406" t="str">
        <f t="shared" si="26"/>
        <v/>
      </c>
    </row>
    <row r="407" spans="4:4" x14ac:dyDescent="0.25">
      <c r="D407" t="str">
        <f t="shared" si="26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9"/>
  <sheetViews>
    <sheetView topLeftCell="A298" workbookViewId="0">
      <selection activeCell="B7" sqref="B7"/>
    </sheetView>
  </sheetViews>
  <sheetFormatPr defaultRowHeight="15" x14ac:dyDescent="0.25"/>
  <cols>
    <col min="1" max="1" width="9.140625" style="1"/>
    <col min="2" max="2" width="7.28515625" customWidth="1"/>
    <col min="3" max="3" width="27.42578125" bestFit="1" customWidth="1"/>
    <col min="4" max="4" width="3" bestFit="1" customWidth="1"/>
    <col min="5" max="5" width="23.5703125" style="5" customWidth="1"/>
    <col min="6" max="6" width="15.42578125" style="10" bestFit="1" customWidth="1"/>
    <col min="7" max="7" width="15.7109375" style="34" bestFit="1" customWidth="1"/>
  </cols>
  <sheetData>
    <row r="1" spans="1:7" x14ac:dyDescent="0.25">
      <c r="B1">
        <v>2</v>
      </c>
    </row>
    <row r="2" spans="1:7" x14ac:dyDescent="0.25">
      <c r="A2" s="1">
        <v>2</v>
      </c>
    </row>
    <row r="7" spans="1:7" s="25" customFormat="1" ht="21" x14ac:dyDescent="0.35">
      <c r="A7" s="37"/>
      <c r="B7" s="25" t="str">
        <f>'[7]BP-Men'!B1</f>
        <v>Рекорды AWPC -жим- Россия</v>
      </c>
      <c r="E7" s="38"/>
      <c r="F7" s="26"/>
      <c r="G7" s="39"/>
    </row>
    <row r="8" spans="1:7" s="25" customFormat="1" ht="21" x14ac:dyDescent="0.35">
      <c r="A8" s="37"/>
      <c r="E8" s="38"/>
      <c r="F8" s="26"/>
      <c r="G8" s="39"/>
    </row>
    <row r="9" spans="1:7" s="11" customFormat="1" x14ac:dyDescent="0.25">
      <c r="A9" s="22" t="s">
        <v>0</v>
      </c>
      <c r="B9" s="11">
        <v>1</v>
      </c>
      <c r="C9" s="11">
        <v>13</v>
      </c>
      <c r="D9" s="11" t="str">
        <f>'[1]BP-Men'!B2</f>
        <v>ЮНОШИ  (13 - 15)</v>
      </c>
      <c r="E9" s="21"/>
      <c r="F9" s="13"/>
      <c r="G9" s="35"/>
    </row>
    <row r="10" spans="1:7" x14ac:dyDescent="0.25">
      <c r="A10" s="1">
        <f>'[7]BP-Men'!A3</f>
        <v>52</v>
      </c>
      <c r="B10">
        <f>'[7]BP-Men'!B3</f>
        <v>90</v>
      </c>
      <c r="C10" t="str">
        <f>'[7]BP-Men'!C3</f>
        <v>Телегин Никита/95</v>
      </c>
      <c r="D10" s="14" t="str">
        <f t="shared" ref="D10:D73" si="0">RIGHT(C10,2)</f>
        <v>95</v>
      </c>
      <c r="E10" s="5" t="str">
        <f>'[7]BP-Men'!D3</f>
        <v>Алапаевск</v>
      </c>
      <c r="F10" s="10">
        <f>'[7]BP-Men'!E3</f>
        <v>39873</v>
      </c>
      <c r="G10" s="34" t="str">
        <f>'[7]BP-Men'!F3</f>
        <v>Челябинск</v>
      </c>
    </row>
    <row r="11" spans="1:7" x14ac:dyDescent="0.25">
      <c r="A11" s="1">
        <f>'[7]BP-Men'!A4</f>
        <v>56</v>
      </c>
      <c r="B11">
        <f>'[7]BP-Men'!B4</f>
        <v>95</v>
      </c>
      <c r="C11" t="str">
        <f>'[7]BP-Men'!C4</f>
        <v>Телегин Никита/95</v>
      </c>
      <c r="D11" s="14" t="str">
        <f t="shared" si="0"/>
        <v>95</v>
      </c>
      <c r="E11" s="5" t="str">
        <f>'[7]BP-Men'!D4</f>
        <v>Алапаевск</v>
      </c>
      <c r="F11" s="10">
        <f>'[7]BP-Men'!E4</f>
        <v>40090</v>
      </c>
      <c r="G11" s="34" t="str">
        <f>'[7]BP-Men'!F4</f>
        <v>Екатеринбург</v>
      </c>
    </row>
    <row r="12" spans="1:7" x14ac:dyDescent="0.25">
      <c r="A12" s="1">
        <f>'[7]BP-Men'!A5</f>
        <v>60</v>
      </c>
      <c r="B12">
        <f>'[7]BP-Men'!B5</f>
        <v>127.5</v>
      </c>
      <c r="C12" t="str">
        <f>'[7]BP-Men'!C5</f>
        <v>Телегин Никита/95</v>
      </c>
      <c r="D12" s="14" t="str">
        <f t="shared" si="0"/>
        <v>95</v>
      </c>
      <c r="E12" s="5" t="str">
        <f>'[7]BP-Men'!D5</f>
        <v>Алапаевск</v>
      </c>
      <c r="F12" s="10">
        <f>'[7]BP-Men'!E5</f>
        <v>40454</v>
      </c>
      <c r="G12" s="34" t="str">
        <f>'[7]BP-Men'!F5</f>
        <v>Екатеринбург</v>
      </c>
    </row>
    <row r="13" spans="1:7" x14ac:dyDescent="0.25">
      <c r="A13" s="1" t="str">
        <f>'[7]BP-Men'!A6</f>
        <v>67.5</v>
      </c>
      <c r="B13" t="str">
        <f>'[7]BP-Men'!B6</f>
        <v>117.5</v>
      </c>
      <c r="C13" t="str">
        <f>'[7]BP-Men'!C6</f>
        <v>Тычинин Денис/91</v>
      </c>
      <c r="D13" s="14" t="str">
        <f t="shared" si="0"/>
        <v>91</v>
      </c>
      <c r="E13" s="5" t="str">
        <f>'[7]BP-Men'!D6</f>
        <v>Саратов</v>
      </c>
      <c r="F13" s="10">
        <f>'[7]BP-Men'!E6</f>
        <v>39312</v>
      </c>
      <c r="G13" s="34" t="str">
        <f>'[7]BP-Men'!F6</f>
        <v>Курск</v>
      </c>
    </row>
    <row r="14" spans="1:7" x14ac:dyDescent="0.25">
      <c r="A14" s="1">
        <f>'[7]BP-Men'!A7</f>
        <v>75</v>
      </c>
      <c r="B14">
        <f>'[7]BP-Men'!B7</f>
        <v>112.5</v>
      </c>
      <c r="C14" t="str">
        <f>'[7]BP-Men'!C7</f>
        <v>Резицкий Никита/93</v>
      </c>
      <c r="D14" s="14" t="str">
        <f t="shared" si="0"/>
        <v>93</v>
      </c>
      <c r="E14" s="5" t="str">
        <f>'[7]BP-Men'!D7</f>
        <v>Красноуфимск</v>
      </c>
      <c r="F14" s="10">
        <f>'[7]BP-Men'!E7</f>
        <v>39873</v>
      </c>
      <c r="G14" s="34" t="str">
        <f>'[7]BP-Men'!F7</f>
        <v>Челябинск</v>
      </c>
    </row>
    <row r="15" spans="1:7" x14ac:dyDescent="0.25">
      <c r="A15" s="1">
        <f>'[7]BP-Men'!A8</f>
        <v>82.5</v>
      </c>
      <c r="B15">
        <f>'[7]BP-Men'!B8</f>
        <v>0</v>
      </c>
      <c r="C15">
        <f>'[7]BP-Men'!C8</f>
        <v>0</v>
      </c>
      <c r="D15" s="14" t="str">
        <f t="shared" si="0"/>
        <v>0</v>
      </c>
      <c r="E15" s="5">
        <f>'[7]BP-Men'!D8</f>
        <v>0</v>
      </c>
      <c r="F15" s="10">
        <f>'[7]BP-Men'!E8</f>
        <v>0</v>
      </c>
      <c r="G15" s="34">
        <f>'[7]BP-Men'!F8</f>
        <v>0</v>
      </c>
    </row>
    <row r="16" spans="1:7" x14ac:dyDescent="0.25">
      <c r="A16" s="1">
        <f>'[7]BP-Men'!A9</f>
        <v>90</v>
      </c>
      <c r="B16">
        <f>'[7]BP-Men'!B9</f>
        <v>130</v>
      </c>
      <c r="C16" t="str">
        <f>'[7]BP-Men'!C9</f>
        <v>Панферов Евгений/91</v>
      </c>
      <c r="D16" s="14" t="str">
        <f t="shared" si="0"/>
        <v>91</v>
      </c>
      <c r="E16" s="5" t="str">
        <f>'[7]BP-Men'!D9</f>
        <v>Орск</v>
      </c>
      <c r="F16" s="10">
        <f>'[7]BP-Men'!E9</f>
        <v>39312</v>
      </c>
      <c r="G16" s="34" t="str">
        <f>'[7]BP-Men'!F9</f>
        <v>Курск</v>
      </c>
    </row>
    <row r="17" spans="1:7" x14ac:dyDescent="0.25">
      <c r="A17" s="1">
        <f>'[7]BP-Men'!A10</f>
        <v>100</v>
      </c>
      <c r="B17">
        <f>'[7]BP-Men'!B10</f>
        <v>135</v>
      </c>
      <c r="C17" t="str">
        <f>'[7]BP-Men'!C10</f>
        <v>Ханджан Юрий/92</v>
      </c>
      <c r="D17" s="14" t="str">
        <f t="shared" si="0"/>
        <v>92</v>
      </c>
      <c r="E17" s="5" t="str">
        <f>'[7]BP-Men'!D10</f>
        <v>Краснодар</v>
      </c>
      <c r="F17" s="10">
        <f>'[7]BP-Men'!E10</f>
        <v>39352</v>
      </c>
      <c r="G17" s="34" t="str">
        <f>'[7]BP-Men'!F10</f>
        <v>Хорн</v>
      </c>
    </row>
    <row r="18" spans="1:7" x14ac:dyDescent="0.25">
      <c r="A18" s="1">
        <f>'[7]BP-Men'!A11</f>
        <v>110</v>
      </c>
      <c r="B18">
        <f>'[7]BP-Men'!B11</f>
        <v>0</v>
      </c>
      <c r="C18">
        <f>'[7]BP-Men'!C11</f>
        <v>0</v>
      </c>
      <c r="D18" s="14" t="str">
        <f t="shared" si="0"/>
        <v>0</v>
      </c>
      <c r="E18" s="5">
        <f>'[7]BP-Men'!D11</f>
        <v>0</v>
      </c>
      <c r="F18" s="10">
        <f>'[7]BP-Men'!E11</f>
        <v>0</v>
      </c>
      <c r="G18" s="34">
        <f>'[7]BP-Men'!F11</f>
        <v>0</v>
      </c>
    </row>
    <row r="19" spans="1:7" x14ac:dyDescent="0.25">
      <c r="A19" s="1">
        <f>'[7]BP-Men'!A12</f>
        <v>125</v>
      </c>
      <c r="B19">
        <f>'[7]BP-Men'!B12</f>
        <v>0</v>
      </c>
      <c r="C19">
        <f>'[7]BP-Men'!C12</f>
        <v>0</v>
      </c>
      <c r="D19" s="14" t="str">
        <f t="shared" si="0"/>
        <v>0</v>
      </c>
      <c r="E19" s="5">
        <f>'[7]BP-Men'!D12</f>
        <v>0</v>
      </c>
      <c r="F19" s="10">
        <f>'[7]BP-Men'!E12</f>
        <v>0</v>
      </c>
      <c r="G19" s="34">
        <f>'[7]BP-Men'!F12</f>
        <v>0</v>
      </c>
    </row>
    <row r="20" spans="1:7" x14ac:dyDescent="0.25">
      <c r="A20" s="1">
        <f>'[7]BP-Men'!A13</f>
        <v>140</v>
      </c>
      <c r="B20">
        <f>'[7]BP-Men'!B13</f>
        <v>0</v>
      </c>
      <c r="C20">
        <f>'[7]BP-Men'!C13</f>
        <v>0</v>
      </c>
      <c r="D20" s="14" t="str">
        <f t="shared" si="0"/>
        <v>0</v>
      </c>
      <c r="E20" s="5">
        <f>'[7]BP-Men'!D13</f>
        <v>0</v>
      </c>
      <c r="F20" s="10">
        <f>'[7]BP-Men'!E13</f>
        <v>0</v>
      </c>
      <c r="G20" s="34">
        <f>'[7]BP-Men'!F13</f>
        <v>0</v>
      </c>
    </row>
    <row r="21" spans="1:7" x14ac:dyDescent="0.25">
      <c r="A21" s="1" t="str">
        <f>'[7]BP-Men'!A14</f>
        <v>140+</v>
      </c>
      <c r="B21">
        <f>'[7]BP-Men'!B14</f>
        <v>0</v>
      </c>
      <c r="C21">
        <f>'[7]BP-Men'!C14</f>
        <v>0</v>
      </c>
      <c r="D21" s="14" t="str">
        <f t="shared" si="0"/>
        <v>0</v>
      </c>
      <c r="E21" s="5">
        <f>'[7]BP-Men'!D14</f>
        <v>0</v>
      </c>
      <c r="F21" s="10">
        <f>'[7]BP-Men'!E14</f>
        <v>0</v>
      </c>
      <c r="G21" s="34">
        <f>'[7]BP-Men'!F14</f>
        <v>0</v>
      </c>
    </row>
    <row r="22" spans="1:7" x14ac:dyDescent="0.25">
      <c r="B22">
        <f>'[7]BP-Men'!B15</f>
        <v>0</v>
      </c>
      <c r="C22">
        <f>'[7]BP-Men'!C15</f>
        <v>0</v>
      </c>
      <c r="D22" s="14" t="str">
        <f t="shared" si="0"/>
        <v>0</v>
      </c>
      <c r="E22" s="5">
        <f>'[7]BP-Men'!D15</f>
        <v>0</v>
      </c>
      <c r="F22" s="10">
        <f>'[7]BP-Men'!E15</f>
        <v>0</v>
      </c>
      <c r="G22" s="34">
        <f>'[7]BP-Men'!F15</f>
        <v>0</v>
      </c>
    </row>
    <row r="23" spans="1:7" s="11" customFormat="1" x14ac:dyDescent="0.25">
      <c r="A23" s="22" t="s">
        <v>0</v>
      </c>
      <c r="B23" s="11">
        <v>1</v>
      </c>
      <c r="C23" s="11">
        <v>16</v>
      </c>
      <c r="D23" s="11" t="str">
        <f>'[1]BP-Men'!B16</f>
        <v>ЮНОШИ  (16 - 17)</v>
      </c>
      <c r="E23" s="21"/>
      <c r="F23" s="13"/>
      <c r="G23" s="35"/>
    </row>
    <row r="24" spans="1:7" x14ac:dyDescent="0.25">
      <c r="A24" s="1">
        <f>'[7]BP-Men'!A17</f>
        <v>52</v>
      </c>
      <c r="B24">
        <f>'[7]BP-Men'!B17</f>
        <v>87.5</v>
      </c>
      <c r="C24" t="str">
        <f>'[7]BP-Men'!C17</f>
        <v>Поляков Максим/95</v>
      </c>
      <c r="D24" s="14" t="str">
        <f t="shared" si="0"/>
        <v>95</v>
      </c>
      <c r="E24" s="5" t="str">
        <f>'[7]BP-Men'!D17</f>
        <v>Новосибирск</v>
      </c>
      <c r="F24" s="10">
        <f>'[7]BP-Men'!E17</f>
        <v>40983</v>
      </c>
      <c r="G24" s="34" t="str">
        <f>'[7]BP-Men'!F17</f>
        <v>Екатеринбург</v>
      </c>
    </row>
    <row r="25" spans="1:7" x14ac:dyDescent="0.25">
      <c r="A25" s="1">
        <f>'[7]BP-Men'!A18</f>
        <v>56</v>
      </c>
      <c r="B25" t="str">
        <f>'[7]BP-Men'!B18</f>
        <v>112.5</v>
      </c>
      <c r="C25" t="str">
        <f>'[7]BP-Men'!C18</f>
        <v>Гулиев Фахри/91</v>
      </c>
      <c r="D25" s="14" t="str">
        <f t="shared" si="0"/>
        <v>91</v>
      </c>
      <c r="E25" s="5" t="str">
        <f>'[7]BP-Men'!D18</f>
        <v>Саратов</v>
      </c>
      <c r="F25" s="10">
        <f>'[7]BP-Men'!E18</f>
        <v>39529</v>
      </c>
      <c r="G25" s="34" t="str">
        <f>'[7]BP-Men'!F18</f>
        <v>Ростов-на-Дону</v>
      </c>
    </row>
    <row r="26" spans="1:7" x14ac:dyDescent="0.25">
      <c r="A26" s="1">
        <f>'[7]BP-Men'!A19</f>
        <v>60</v>
      </c>
      <c r="B26">
        <f>'[7]BP-Men'!B19</f>
        <v>145</v>
      </c>
      <c r="C26" t="str">
        <f>'[7]BP-Men'!C19</f>
        <v>Телегин Никита/95</v>
      </c>
      <c r="D26" s="14" t="str">
        <f t="shared" si="0"/>
        <v>95</v>
      </c>
      <c r="E26" s="5" t="str">
        <f>'[7]BP-Men'!D19</f>
        <v>Алапаевск</v>
      </c>
      <c r="F26" s="10">
        <f>'[7]BP-Men'!E19</f>
        <v>40983</v>
      </c>
      <c r="G26" s="34" t="str">
        <f>'[7]BP-Men'!F19</f>
        <v>Екатеринбург</v>
      </c>
    </row>
    <row r="27" spans="1:7" x14ac:dyDescent="0.25">
      <c r="A27" s="1" t="str">
        <f>'[7]BP-Men'!A20</f>
        <v>67.5</v>
      </c>
      <c r="B27">
        <f>'[7]BP-Men'!B20</f>
        <v>150</v>
      </c>
      <c r="C27" t="str">
        <f>'[7]BP-Men'!C20</f>
        <v>Могилевский Антон/91</v>
      </c>
      <c r="D27" s="14" t="str">
        <f t="shared" si="0"/>
        <v>91</v>
      </c>
      <c r="E27" s="5" t="str">
        <f>'[7]BP-Men'!D20</f>
        <v>Н.Серьги</v>
      </c>
      <c r="F27" s="10">
        <f>'[7]BP-Men'!E20</f>
        <v>39873</v>
      </c>
      <c r="G27" s="34" t="str">
        <f>'[7]BP-Men'!F20</f>
        <v>Челябинск</v>
      </c>
    </row>
    <row r="28" spans="1:7" x14ac:dyDescent="0.25">
      <c r="A28" s="1">
        <f>'[7]BP-Men'!A21</f>
        <v>75</v>
      </c>
      <c r="B28" t="str">
        <f>'[7]BP-Men'!B21</f>
        <v>182.5</v>
      </c>
      <c r="C28" t="str">
        <f>'[7]BP-Men'!C21</f>
        <v>Лопатин Владислав/90</v>
      </c>
      <c r="D28" s="14" t="str">
        <f t="shared" si="0"/>
        <v>90</v>
      </c>
      <c r="E28" s="5" t="str">
        <f>'[7]BP-Men'!D21</f>
        <v>Курск</v>
      </c>
      <c r="F28" s="10">
        <f>'[7]BP-Men'!E21</f>
        <v>39529</v>
      </c>
      <c r="G28" s="34" t="str">
        <f>'[7]BP-Men'!F21</f>
        <v>Ростов-на-Дону</v>
      </c>
    </row>
    <row r="29" spans="1:7" x14ac:dyDescent="0.25">
      <c r="A29" s="1" t="str">
        <f>'[7]BP-Men'!A22</f>
        <v>82.5</v>
      </c>
      <c r="B29">
        <f>'[7]BP-Men'!B22</f>
        <v>170</v>
      </c>
      <c r="C29" t="str">
        <f>'[7]BP-Men'!C22</f>
        <v>Карпенко Александр/92</v>
      </c>
      <c r="D29" s="14" t="str">
        <f t="shared" si="0"/>
        <v>92</v>
      </c>
      <c r="E29" s="5" t="str">
        <f>'[7]BP-Men'!D22</f>
        <v>Ростов</v>
      </c>
      <c r="F29" s="10">
        <f>'[7]BP-Men'!E22</f>
        <v>40258</v>
      </c>
      <c r="G29" s="34" t="str">
        <f>'[7]BP-Men'!F22</f>
        <v>Курск</v>
      </c>
    </row>
    <row r="30" spans="1:7" x14ac:dyDescent="0.25">
      <c r="A30" s="1">
        <f>'[7]BP-Men'!A23</f>
        <v>90</v>
      </c>
      <c r="B30">
        <f>'[7]BP-Men'!B23</f>
        <v>150</v>
      </c>
      <c r="C30" t="str">
        <f>'[7]BP-Men'!C23</f>
        <v>Бондарев Григорий/91</v>
      </c>
      <c r="D30" s="14" t="str">
        <f t="shared" si="0"/>
        <v>91</v>
      </c>
      <c r="E30" s="5" t="str">
        <f>'[7]BP-Men'!D23</f>
        <v>Курск</v>
      </c>
      <c r="F30" s="10">
        <f>'[7]BP-Men'!E23</f>
        <v>39794</v>
      </c>
      <c r="G30" s="34" t="str">
        <f>'[7]BP-Men'!F23</f>
        <v>Курск</v>
      </c>
    </row>
    <row r="31" spans="1:7" x14ac:dyDescent="0.25">
      <c r="A31" s="1">
        <f>'[7]BP-Men'!A24</f>
        <v>100</v>
      </c>
      <c r="B31">
        <f>'[7]BP-Men'!B24</f>
        <v>160</v>
      </c>
      <c r="C31" t="str">
        <f>'[7]BP-Men'!C24</f>
        <v>Москаленко Станислав/92</v>
      </c>
      <c r="D31" s="14" t="str">
        <f t="shared" si="0"/>
        <v>92</v>
      </c>
      <c r="E31" s="5" t="str">
        <f>'[7]BP-Men'!D24</f>
        <v>Орск</v>
      </c>
      <c r="F31" s="10">
        <f>'[7]BP-Men'!E24</f>
        <v>39873</v>
      </c>
      <c r="G31" s="34" t="str">
        <f>'[7]BP-Men'!F24</f>
        <v>Челябинск</v>
      </c>
    </row>
    <row r="32" spans="1:7" x14ac:dyDescent="0.25">
      <c r="A32" s="1">
        <f>'[7]BP-Men'!A25</f>
        <v>110</v>
      </c>
      <c r="B32">
        <f>'[7]BP-Men'!B25</f>
        <v>0</v>
      </c>
      <c r="C32">
        <f>'[7]BP-Men'!C25</f>
        <v>0</v>
      </c>
      <c r="D32" s="14" t="str">
        <f t="shared" si="0"/>
        <v>0</v>
      </c>
      <c r="E32" s="5">
        <f>'[7]BP-Men'!D25</f>
        <v>0</v>
      </c>
      <c r="F32" s="10">
        <f>'[7]BP-Men'!E25</f>
        <v>0</v>
      </c>
      <c r="G32" s="34">
        <f>'[7]BP-Men'!F25</f>
        <v>0</v>
      </c>
    </row>
    <row r="33" spans="1:7" x14ac:dyDescent="0.25">
      <c r="A33" s="1">
        <f>'[7]BP-Men'!A26</f>
        <v>125</v>
      </c>
      <c r="B33">
        <f>'[7]BP-Men'!B26</f>
        <v>210</v>
      </c>
      <c r="C33" t="str">
        <f>'[7]BP-Men'!C26</f>
        <v>Макаров Андрей/93</v>
      </c>
      <c r="D33" s="14" t="str">
        <f t="shared" si="0"/>
        <v>93</v>
      </c>
      <c r="E33" s="5" t="str">
        <f>'[7]BP-Men'!D26</f>
        <v>Уфа</v>
      </c>
      <c r="F33" s="10">
        <f>'[7]BP-Men'!E26</f>
        <v>40641</v>
      </c>
      <c r="G33" s="34" t="str">
        <f>'[7]BP-Men'!F26</f>
        <v>Челябинск</v>
      </c>
    </row>
    <row r="34" spans="1:7" x14ac:dyDescent="0.25">
      <c r="A34" s="1">
        <f>'[7]BP-Men'!A27</f>
        <v>140</v>
      </c>
      <c r="B34">
        <f>'[7]BP-Men'!B27</f>
        <v>150</v>
      </c>
      <c r="C34" t="str">
        <f>'[7]BP-Men'!C27</f>
        <v>Куркомели Михаил/93</v>
      </c>
      <c r="D34" s="14" t="str">
        <f t="shared" si="0"/>
        <v>93</v>
      </c>
      <c r="E34" s="5" t="str">
        <f>'[7]BP-Men'!D27</f>
        <v>Златоуст</v>
      </c>
      <c r="F34" s="10">
        <f>'[7]BP-Men'!E27</f>
        <v>40090</v>
      </c>
      <c r="G34" s="34" t="str">
        <f>'[7]BP-Men'!F27</f>
        <v>Екатеринбург</v>
      </c>
    </row>
    <row r="35" spans="1:7" x14ac:dyDescent="0.25">
      <c r="A35" s="1" t="str">
        <f>'[7]BP-Men'!A28</f>
        <v>140+</v>
      </c>
      <c r="B35">
        <f>'[7]BP-Men'!B28</f>
        <v>0</v>
      </c>
      <c r="C35">
        <f>'[7]BP-Men'!C28</f>
        <v>0</v>
      </c>
      <c r="D35" s="14" t="str">
        <f t="shared" si="0"/>
        <v>0</v>
      </c>
      <c r="E35" s="5">
        <f>'[7]BP-Men'!D28</f>
        <v>0</v>
      </c>
      <c r="F35" s="10">
        <f>'[7]BP-Men'!E28</f>
        <v>0</v>
      </c>
      <c r="G35" s="34">
        <f>'[7]BP-Men'!F28</f>
        <v>0</v>
      </c>
    </row>
    <row r="36" spans="1:7" x14ac:dyDescent="0.25">
      <c r="B36">
        <f>'[7]BP-Men'!B29</f>
        <v>0</v>
      </c>
      <c r="C36">
        <f>'[7]BP-Men'!C29</f>
        <v>0</v>
      </c>
      <c r="D36" s="14" t="str">
        <f t="shared" si="0"/>
        <v>0</v>
      </c>
      <c r="E36" s="5">
        <f>'[7]BP-Men'!D29</f>
        <v>0</v>
      </c>
      <c r="F36" s="10">
        <f>'[7]BP-Men'!E29</f>
        <v>0</v>
      </c>
      <c r="G36" s="34">
        <f>'[7]BP-Men'!F29</f>
        <v>0</v>
      </c>
    </row>
    <row r="37" spans="1:7" s="11" customFormat="1" x14ac:dyDescent="0.25">
      <c r="A37" s="22" t="s">
        <v>0</v>
      </c>
      <c r="B37" s="11">
        <v>1</v>
      </c>
      <c r="C37" s="11">
        <v>18</v>
      </c>
      <c r="D37" s="11" t="str">
        <f>'[1]BP-Men'!B30</f>
        <v>ЮНОШИ  (18 - 19)</v>
      </c>
      <c r="E37" s="21"/>
      <c r="F37" s="13"/>
      <c r="G37" s="35"/>
    </row>
    <row r="38" spans="1:7" x14ac:dyDescent="0.25">
      <c r="A38" s="1">
        <f>'[7]BP-Men'!A31</f>
        <v>52</v>
      </c>
      <c r="B38">
        <f>'[7]BP-Men'!B31</f>
        <v>90</v>
      </c>
      <c r="C38" t="str">
        <f>'[7]BP-Men'!C31</f>
        <v>Рыжов Александр/93</v>
      </c>
      <c r="D38" s="14" t="str">
        <f t="shared" si="0"/>
        <v>93</v>
      </c>
      <c r="E38" s="5" t="str">
        <f>'[7]BP-Men'!D31</f>
        <v>Татарск</v>
      </c>
      <c r="F38" s="10">
        <f>'[7]BP-Men'!E31</f>
        <v>41137</v>
      </c>
      <c r="G38" s="34" t="str">
        <f>'[7]BP-Men'!F31</f>
        <v>Новосибирск</v>
      </c>
    </row>
    <row r="39" spans="1:7" x14ac:dyDescent="0.25">
      <c r="A39" s="1">
        <f>'[7]BP-Men'!A32</f>
        <v>56</v>
      </c>
      <c r="B39">
        <f>'[7]BP-Men'!B32</f>
        <v>115</v>
      </c>
      <c r="C39" t="str">
        <f>'[7]BP-Men'!C32</f>
        <v>Жикан Владимир/94</v>
      </c>
      <c r="D39" s="14" t="str">
        <f t="shared" si="0"/>
        <v>94</v>
      </c>
      <c r="E39" s="5" t="str">
        <f>'[7]BP-Men'!D32</f>
        <v>Новосибирск</v>
      </c>
      <c r="F39" s="10">
        <f>'[7]BP-Men'!E32</f>
        <v>41137</v>
      </c>
      <c r="G39" s="34" t="str">
        <f>'[7]BP-Men'!F32</f>
        <v>Новосибирск</v>
      </c>
    </row>
    <row r="40" spans="1:7" x14ac:dyDescent="0.25">
      <c r="A40" s="1">
        <f>'[7]BP-Men'!A33</f>
        <v>60</v>
      </c>
      <c r="B40">
        <f>'[7]BP-Men'!B33</f>
        <v>115</v>
      </c>
      <c r="C40" t="str">
        <f>'[7]BP-Men'!C33</f>
        <v>Озерков Павел/93</v>
      </c>
      <c r="D40" s="14" t="str">
        <f t="shared" si="0"/>
        <v>93</v>
      </c>
      <c r="E40" s="5" t="str">
        <f>'[7]BP-Men'!D33</f>
        <v>Вологда</v>
      </c>
      <c r="F40" s="10" t="str">
        <f>'[7]BP-Men'!E33</f>
        <v>24.03.2012</v>
      </c>
      <c r="G40" s="34" t="str">
        <f>'[7]BP-Men'!F33</f>
        <v>Вологда</v>
      </c>
    </row>
    <row r="41" spans="1:7" x14ac:dyDescent="0.25">
      <c r="A41" s="1" t="str">
        <f>'[7]BP-Men'!A34</f>
        <v>67.5</v>
      </c>
      <c r="B41">
        <f>'[7]BP-Men'!B34</f>
        <v>163.5</v>
      </c>
      <c r="C41" t="str">
        <f>'[7]BP-Men'!C34</f>
        <v>Носков Андрей/93</v>
      </c>
      <c r="D41" s="14" t="str">
        <f t="shared" si="0"/>
        <v>93</v>
      </c>
      <c r="E41" s="5" t="str">
        <f>'[7]BP-Men'!D34</f>
        <v>Ростов</v>
      </c>
      <c r="F41" s="10">
        <f>'[7]BP-Men'!E34</f>
        <v>41201</v>
      </c>
      <c r="G41" s="34" t="str">
        <f>'[7]BP-Men'!F34</f>
        <v>Краснодар</v>
      </c>
    </row>
    <row r="42" spans="1:7" x14ac:dyDescent="0.25">
      <c r="A42" s="1">
        <f>'[7]BP-Men'!A35</f>
        <v>75</v>
      </c>
      <c r="B42">
        <f>'[7]BP-Men'!B35</f>
        <v>185</v>
      </c>
      <c r="C42" t="str">
        <f>'[7]BP-Men'!C35</f>
        <v>Медведев Ярослав/93</v>
      </c>
      <c r="D42" s="14" t="str">
        <f t="shared" si="0"/>
        <v>93</v>
      </c>
      <c r="E42" s="5" t="str">
        <f>'[7]BP-Men'!D35</f>
        <v>Вологда</v>
      </c>
      <c r="F42" s="10">
        <f>'[7]BP-Men'!E35</f>
        <v>41017</v>
      </c>
      <c r="G42" s="34" t="str">
        <f>'[7]BP-Men'!F35</f>
        <v>Ростов</v>
      </c>
    </row>
    <row r="43" spans="1:7" x14ac:dyDescent="0.25">
      <c r="A43" s="1" t="str">
        <f>'[7]BP-Men'!A36</f>
        <v>82.5</v>
      </c>
      <c r="B43">
        <f>'[7]BP-Men'!B36</f>
        <v>207.5</v>
      </c>
      <c r="C43" t="str">
        <f>'[7]BP-Men'!C36</f>
        <v>Карпенко Александр/92</v>
      </c>
      <c r="D43" s="14" t="str">
        <f t="shared" si="0"/>
        <v>92</v>
      </c>
      <c r="E43" s="5" t="str">
        <f>'[7]BP-Men'!D36</f>
        <v>Зверево</v>
      </c>
      <c r="F43" s="10">
        <f>'[7]BP-Men'!E36</f>
        <v>41017</v>
      </c>
      <c r="G43" s="34" t="str">
        <f>'[7]BP-Men'!F36</f>
        <v>Ростов</v>
      </c>
    </row>
    <row r="44" spans="1:7" x14ac:dyDescent="0.25">
      <c r="A44" s="1">
        <f>'[7]BP-Men'!A37</f>
        <v>90</v>
      </c>
      <c r="B44">
        <f>'[7]BP-Men'!B37</f>
        <v>175</v>
      </c>
      <c r="C44" t="str">
        <f>'[7]BP-Men'!C37</f>
        <v>Власов Иван/91</v>
      </c>
      <c r="D44" s="14" t="str">
        <f t="shared" si="0"/>
        <v>91</v>
      </c>
      <c r="E44" s="5" t="str">
        <f>'[7]BP-Men'!D37</f>
        <v>Екатеринбург</v>
      </c>
      <c r="F44" s="10">
        <f>'[7]BP-Men'!E37</f>
        <v>40641</v>
      </c>
      <c r="G44" s="34" t="str">
        <f>'[7]BP-Men'!F37</f>
        <v>Челябинск</v>
      </c>
    </row>
    <row r="45" spans="1:7" x14ac:dyDescent="0.25">
      <c r="A45" s="1">
        <f>'[7]BP-Men'!A38</f>
        <v>100</v>
      </c>
      <c r="B45">
        <f>'[7]BP-Men'!B38</f>
        <v>235</v>
      </c>
      <c r="C45" t="str">
        <f>'[7]BP-Men'!C38</f>
        <v>Бойко Илья/94</v>
      </c>
      <c r="D45" s="14" t="str">
        <f t="shared" si="0"/>
        <v>94</v>
      </c>
      <c r="E45" s="5" t="str">
        <f>'[7]BP-Men'!D38</f>
        <v>Вологда</v>
      </c>
      <c r="F45" s="10">
        <f>'[7]BP-Men'!E38</f>
        <v>41216</v>
      </c>
      <c r="G45" s="34" t="str">
        <f>'[7]BP-Men'!F38</f>
        <v>Вологда</v>
      </c>
    </row>
    <row r="46" spans="1:7" x14ac:dyDescent="0.25">
      <c r="A46" s="1">
        <f>'[7]BP-Men'!A39</f>
        <v>110</v>
      </c>
      <c r="B46">
        <f>'[7]BP-Men'!B39</f>
        <v>0</v>
      </c>
      <c r="C46">
        <f>'[7]BP-Men'!C39</f>
        <v>0</v>
      </c>
      <c r="D46" s="14" t="str">
        <f t="shared" si="0"/>
        <v>0</v>
      </c>
      <c r="E46" s="5">
        <f>'[7]BP-Men'!D39</f>
        <v>0</v>
      </c>
      <c r="F46" s="10">
        <f>'[7]BP-Men'!E39</f>
        <v>0</v>
      </c>
      <c r="G46" s="34">
        <f>'[7]BP-Men'!F39</f>
        <v>0</v>
      </c>
    </row>
    <row r="47" spans="1:7" x14ac:dyDescent="0.25">
      <c r="A47" s="1">
        <f>'[7]BP-Men'!A40</f>
        <v>125</v>
      </c>
      <c r="B47">
        <f>'[7]BP-Men'!B40</f>
        <v>0</v>
      </c>
      <c r="C47">
        <f>'[7]BP-Men'!C40</f>
        <v>0</v>
      </c>
      <c r="D47" s="14" t="str">
        <f t="shared" si="0"/>
        <v>0</v>
      </c>
      <c r="E47" s="5">
        <f>'[7]BP-Men'!D40</f>
        <v>0</v>
      </c>
      <c r="F47" s="10">
        <f>'[7]BP-Men'!E40</f>
        <v>0</v>
      </c>
      <c r="G47" s="34">
        <f>'[7]BP-Men'!F40</f>
        <v>0</v>
      </c>
    </row>
    <row r="48" spans="1:7" x14ac:dyDescent="0.25">
      <c r="A48" s="1">
        <f>'[7]BP-Men'!A41</f>
        <v>140</v>
      </c>
      <c r="B48">
        <f>'[7]BP-Men'!B41</f>
        <v>0</v>
      </c>
      <c r="C48">
        <f>'[7]BP-Men'!C41</f>
        <v>0</v>
      </c>
      <c r="D48" s="14" t="str">
        <f t="shared" si="0"/>
        <v>0</v>
      </c>
      <c r="E48" s="5">
        <f>'[7]BP-Men'!D41</f>
        <v>0</v>
      </c>
      <c r="F48" s="10">
        <f>'[7]BP-Men'!E41</f>
        <v>0</v>
      </c>
      <c r="G48" s="34">
        <f>'[7]BP-Men'!F41</f>
        <v>0</v>
      </c>
    </row>
    <row r="49" spans="1:7" x14ac:dyDescent="0.25">
      <c r="A49" s="1" t="str">
        <f>'[7]BP-Men'!A42</f>
        <v>140+</v>
      </c>
      <c r="B49">
        <f>'[7]BP-Men'!B42</f>
        <v>235</v>
      </c>
      <c r="C49" t="str">
        <f>'[7]BP-Men'!C42</f>
        <v>Макаров Андрей/93</v>
      </c>
      <c r="D49" s="14" t="str">
        <f t="shared" si="0"/>
        <v>93</v>
      </c>
      <c r="E49" s="5" t="str">
        <f>'[7]BP-Men'!D42</f>
        <v>Уфа</v>
      </c>
      <c r="F49" s="10">
        <f>'[7]BP-Men'!E42</f>
        <v>41201</v>
      </c>
      <c r="G49" s="34" t="str">
        <f>'[7]BP-Men'!F42</f>
        <v>Краснодар</v>
      </c>
    </row>
    <row r="50" spans="1:7" x14ac:dyDescent="0.25">
      <c r="B50">
        <f>'[7]BP-Men'!B43</f>
        <v>0</v>
      </c>
      <c r="C50">
        <f>'[7]BP-Men'!C43</f>
        <v>0</v>
      </c>
      <c r="D50" s="14" t="str">
        <f t="shared" si="0"/>
        <v>0</v>
      </c>
      <c r="E50" s="5">
        <f>'[7]BP-Men'!D43</f>
        <v>0</v>
      </c>
      <c r="F50" s="10">
        <f>'[7]BP-Men'!E43</f>
        <v>0</v>
      </c>
      <c r="G50" s="34">
        <f>'[7]BP-Men'!F43</f>
        <v>0</v>
      </c>
    </row>
    <row r="51" spans="1:7" s="11" customFormat="1" x14ac:dyDescent="0.25">
      <c r="A51" s="22" t="s">
        <v>0</v>
      </c>
      <c r="B51" s="11">
        <v>1</v>
      </c>
      <c r="C51" s="11">
        <v>20</v>
      </c>
      <c r="D51" s="11" t="str">
        <f>'[1]BP-Men'!B44</f>
        <v>ЮНИОРЫ (20 - 23)</v>
      </c>
      <c r="E51" s="21"/>
      <c r="F51" s="13"/>
      <c r="G51" s="35"/>
    </row>
    <row r="52" spans="1:7" x14ac:dyDescent="0.25">
      <c r="A52" s="1">
        <f>'[7]BP-Men'!A45</f>
        <v>52</v>
      </c>
      <c r="B52">
        <f>'[7]BP-Men'!B45</f>
        <v>120</v>
      </c>
      <c r="C52" t="str">
        <f>'[7]BP-Men'!C45</f>
        <v>Схаляхо Каплан/90</v>
      </c>
      <c r="D52" s="14" t="str">
        <f t="shared" si="0"/>
        <v>90</v>
      </c>
      <c r="E52" s="5" t="str">
        <f>'[7]BP-Men'!D45</f>
        <v>Майкоп</v>
      </c>
      <c r="F52" s="10">
        <f>'[7]BP-Men'!E45</f>
        <v>41201</v>
      </c>
      <c r="G52" s="34" t="str">
        <f>'[7]BP-Men'!F45</f>
        <v>Краснодар</v>
      </c>
    </row>
    <row r="53" spans="1:7" x14ac:dyDescent="0.25">
      <c r="A53" s="1">
        <f>'[7]BP-Men'!A46</f>
        <v>56</v>
      </c>
      <c r="B53">
        <f>'[7]BP-Men'!B46</f>
        <v>0</v>
      </c>
      <c r="C53">
        <f>'[7]BP-Men'!C46</f>
        <v>0</v>
      </c>
      <c r="D53" s="14" t="str">
        <f t="shared" si="0"/>
        <v>0</v>
      </c>
      <c r="E53" s="5">
        <f>'[7]BP-Men'!D46</f>
        <v>0</v>
      </c>
      <c r="F53" s="10">
        <f>'[7]BP-Men'!E46</f>
        <v>0</v>
      </c>
      <c r="G53" s="34">
        <f>'[7]BP-Men'!F46</f>
        <v>0</v>
      </c>
    </row>
    <row r="54" spans="1:7" x14ac:dyDescent="0.25">
      <c r="A54" s="1">
        <f>'[7]BP-Men'!A47</f>
        <v>60</v>
      </c>
      <c r="B54">
        <f>'[7]BP-Men'!B47</f>
        <v>147.5</v>
      </c>
      <c r="C54" t="str">
        <f>'[7]BP-Men'!C47</f>
        <v xml:space="preserve">Фатеев Михаил/89 </v>
      </c>
      <c r="D54" s="14" t="str">
        <f t="shared" si="0"/>
        <v xml:space="preserve">9 </v>
      </c>
      <c r="E54" s="5" t="str">
        <f>'[7]BP-Men'!D47</f>
        <v>Екатеринбург</v>
      </c>
      <c r="F54" s="10">
        <f>'[7]BP-Men'!E47</f>
        <v>40090</v>
      </c>
      <c r="G54" s="34" t="str">
        <f>'[7]BP-Men'!F47</f>
        <v>Екатеринбург</v>
      </c>
    </row>
    <row r="55" spans="1:7" x14ac:dyDescent="0.25">
      <c r="A55" s="1" t="str">
        <f>'[7]BP-Men'!A48</f>
        <v>67.5</v>
      </c>
      <c r="B55">
        <f>'[7]BP-Men'!B48</f>
        <v>165</v>
      </c>
      <c r="C55" t="str">
        <f>'[7]BP-Men'!C48</f>
        <v>Жигулин Константин/87</v>
      </c>
      <c r="D55" s="14" t="str">
        <f t="shared" si="0"/>
        <v>87</v>
      </c>
      <c r="E55" s="5" t="str">
        <f>'[7]BP-Men'!D48</f>
        <v>Орел</v>
      </c>
      <c r="F55" s="10">
        <f>'[7]BP-Men'!E48</f>
        <v>40769</v>
      </c>
      <c r="G55" s="34" t="str">
        <f>'[7]BP-Men'!F48</f>
        <v>Курск</v>
      </c>
    </row>
    <row r="56" spans="1:7" x14ac:dyDescent="0.25">
      <c r="A56" s="1">
        <f>'[7]BP-Men'!A49</f>
        <v>75</v>
      </c>
      <c r="B56">
        <f>'[7]BP-Men'!B49</f>
        <v>180</v>
      </c>
      <c r="C56" t="str">
        <f>'[7]BP-Men'!C49</f>
        <v>Березов Вадим/90</v>
      </c>
      <c r="D56" s="14" t="str">
        <f t="shared" si="0"/>
        <v>90</v>
      </c>
      <c r="E56" s="5" t="str">
        <f>'[7]BP-Men'!D49</f>
        <v>Новосибирск</v>
      </c>
      <c r="F56" s="10">
        <f>'[7]BP-Men'!E49</f>
        <v>40873</v>
      </c>
      <c r="G56" s="34" t="str">
        <f>'[7]BP-Men'!F49</f>
        <v>Новосибирск</v>
      </c>
    </row>
    <row r="57" spans="1:7" x14ac:dyDescent="0.25">
      <c r="A57" s="1" t="str">
        <f>'[7]BP-Men'!A50</f>
        <v>82.5</v>
      </c>
      <c r="B57">
        <f>'[7]BP-Men'!B50</f>
        <v>207.5</v>
      </c>
      <c r="C57" t="str">
        <f>'[7]BP-Men'!C50</f>
        <v>Абубекиров Ринат/86</v>
      </c>
      <c r="D57" s="14" t="str">
        <f t="shared" si="0"/>
        <v>86</v>
      </c>
      <c r="E57" s="5" t="str">
        <f>'[7]BP-Men'!D50</f>
        <v>Пенза</v>
      </c>
      <c r="F57" s="10">
        <f>'[7]BP-Men'!E50</f>
        <v>40409</v>
      </c>
      <c r="G57" s="34" t="str">
        <f>'[7]BP-Men'!F50</f>
        <v>Москва</v>
      </c>
    </row>
    <row r="58" spans="1:7" x14ac:dyDescent="0.25">
      <c r="A58" s="1">
        <f>'[7]BP-Men'!A51</f>
        <v>90</v>
      </c>
      <c r="B58">
        <f>'[7]BP-Men'!B51</f>
        <v>250</v>
      </c>
      <c r="C58" t="str">
        <f>'[7]BP-Men'!C51</f>
        <v>Абдулин Марат/85</v>
      </c>
      <c r="D58" s="14" t="str">
        <f t="shared" si="0"/>
        <v>85</v>
      </c>
      <c r="E58" s="5" t="str">
        <f>'[7]BP-Men'!D51</f>
        <v>Москва</v>
      </c>
      <c r="F58" s="10">
        <f>'[7]BP-Men'!E51</f>
        <v>39432</v>
      </c>
      <c r="G58" s="34" t="str">
        <f>'[7]BP-Men'!F51</f>
        <v>Пушкино</v>
      </c>
    </row>
    <row r="59" spans="1:7" x14ac:dyDescent="0.25">
      <c r="A59" s="1">
        <f>'[7]BP-Men'!A52</f>
        <v>100</v>
      </c>
      <c r="B59">
        <f>'[7]BP-Men'!B52</f>
        <v>250</v>
      </c>
      <c r="C59" t="str">
        <f>'[7]BP-Men'!C52</f>
        <v>Лиховицкий Иван/90</v>
      </c>
      <c r="D59" s="14" t="str">
        <f t="shared" si="0"/>
        <v>90</v>
      </c>
      <c r="E59" s="5" t="str">
        <f>'[7]BP-Men'!D52</f>
        <v>Ставрополь</v>
      </c>
      <c r="F59" s="10">
        <f>'[7]BP-Men'!E52</f>
        <v>41201</v>
      </c>
      <c r="G59" s="34" t="str">
        <f>'[7]BP-Men'!F52</f>
        <v>Краснодар</v>
      </c>
    </row>
    <row r="60" spans="1:7" x14ac:dyDescent="0.25">
      <c r="A60" s="1">
        <f>'[7]BP-Men'!A53</f>
        <v>110</v>
      </c>
      <c r="B60">
        <f>'[7]BP-Men'!B53</f>
        <v>250</v>
      </c>
      <c r="C60" t="str">
        <f>'[7]BP-Men'!C53</f>
        <v>Кулебякин Руслан/91</v>
      </c>
      <c r="D60" s="14" t="str">
        <f t="shared" si="0"/>
        <v>91</v>
      </c>
      <c r="E60" s="5" t="str">
        <f>'[7]BP-Men'!D53</f>
        <v>Таганрог</v>
      </c>
      <c r="F60" s="10" t="str">
        <f>'[7]BP-Men'!E53</f>
        <v>23.08.2014</v>
      </c>
      <c r="G60" s="34" t="str">
        <f>'[7]BP-Men'!F53</f>
        <v>Москва</v>
      </c>
    </row>
    <row r="61" spans="1:7" x14ac:dyDescent="0.25">
      <c r="A61" s="1">
        <f>'[7]BP-Men'!A54</f>
        <v>125</v>
      </c>
      <c r="B61">
        <f>'[7]BP-Men'!B54</f>
        <v>260</v>
      </c>
      <c r="C61" t="str">
        <f>'[7]BP-Men'!C54</f>
        <v>Воронков Алексей/89</v>
      </c>
      <c r="D61" s="14" t="str">
        <f t="shared" si="0"/>
        <v>89</v>
      </c>
      <c r="E61" s="5" t="str">
        <f>'[7]BP-Men'!D54</f>
        <v>Ивантеевка</v>
      </c>
      <c r="F61" s="10">
        <f>'[7]BP-Men'!E54</f>
        <v>41201</v>
      </c>
      <c r="G61" s="34" t="str">
        <f>'[7]BP-Men'!F54</f>
        <v>Краснодар</v>
      </c>
    </row>
    <row r="62" spans="1:7" x14ac:dyDescent="0.25">
      <c r="A62" s="1">
        <f>'[7]BP-Men'!A55</f>
        <v>140</v>
      </c>
      <c r="B62">
        <f>'[7]BP-Men'!B55</f>
        <v>216</v>
      </c>
      <c r="C62" t="str">
        <f>'[7]BP-Men'!C55</f>
        <v>Кузьмин Никита/88</v>
      </c>
      <c r="D62" s="14" t="str">
        <f t="shared" si="0"/>
        <v>88</v>
      </c>
      <c r="E62" s="5" t="str">
        <f>'[7]BP-Men'!D55</f>
        <v xml:space="preserve">Иркутск </v>
      </c>
      <c r="F62" s="10">
        <f>'[7]BP-Men'!E55</f>
        <v>41137</v>
      </c>
      <c r="G62" s="34" t="str">
        <f>'[7]BP-Men'!F55</f>
        <v>Новосибирск</v>
      </c>
    </row>
    <row r="63" spans="1:7" x14ac:dyDescent="0.25">
      <c r="A63" s="1" t="str">
        <f>'[7]BP-Men'!A56</f>
        <v>140+</v>
      </c>
      <c r="B63">
        <f>'[7]BP-Men'!B56</f>
        <v>0</v>
      </c>
      <c r="C63">
        <f>'[7]BP-Men'!C56</f>
        <v>0</v>
      </c>
      <c r="D63" s="14" t="str">
        <f t="shared" si="0"/>
        <v>0</v>
      </c>
      <c r="E63" s="5">
        <f>'[7]BP-Men'!D56</f>
        <v>0</v>
      </c>
      <c r="F63" s="10">
        <f>'[7]BP-Men'!E56</f>
        <v>0</v>
      </c>
      <c r="G63" s="34">
        <f>'[7]BP-Men'!F56</f>
        <v>0</v>
      </c>
    </row>
    <row r="64" spans="1:7" x14ac:dyDescent="0.25">
      <c r="B64">
        <f>'[7]BP-Men'!B57</f>
        <v>0</v>
      </c>
      <c r="C64">
        <f>'[7]BP-Men'!C57</f>
        <v>0</v>
      </c>
      <c r="D64" s="14" t="str">
        <f t="shared" si="0"/>
        <v>0</v>
      </c>
      <c r="E64" s="5">
        <f>'[7]BP-Men'!D57</f>
        <v>0</v>
      </c>
      <c r="F64" s="10">
        <f>'[7]BP-Men'!E57</f>
        <v>0</v>
      </c>
      <c r="G64" s="34">
        <f>'[7]BP-Men'!F57</f>
        <v>0</v>
      </c>
    </row>
    <row r="65" spans="1:7" s="11" customFormat="1" x14ac:dyDescent="0.25">
      <c r="A65" s="22" t="s">
        <v>0</v>
      </c>
      <c r="B65" s="11">
        <v>1</v>
      </c>
      <c r="C65" s="11">
        <v>-2</v>
      </c>
      <c r="D65" s="11" t="str">
        <f>'[1]BP-Men'!B58</f>
        <v>МУЖЧИНЫ</v>
      </c>
      <c r="E65" s="21"/>
      <c r="F65" s="13"/>
      <c r="G65" s="35"/>
    </row>
    <row r="66" spans="1:7" x14ac:dyDescent="0.25">
      <c r="A66" s="1">
        <f>'[7]BP-Men'!A59</f>
        <v>52</v>
      </c>
      <c r="B66">
        <f>'[7]BP-Men'!B59</f>
        <v>120</v>
      </c>
      <c r="C66" t="str">
        <f>'[7]BP-Men'!C59</f>
        <v>Схаляхо Каплан/90</v>
      </c>
      <c r="D66" s="14" t="str">
        <f t="shared" si="0"/>
        <v>90</v>
      </c>
      <c r="E66" s="5" t="str">
        <f>'[7]BP-Men'!D59</f>
        <v>Майкоп</v>
      </c>
      <c r="F66" s="10">
        <f>'[7]BP-Men'!E59</f>
        <v>41201</v>
      </c>
      <c r="G66" s="34" t="str">
        <f>'[7]BP-Men'!F59</f>
        <v>Краснодар</v>
      </c>
    </row>
    <row r="67" spans="1:7" x14ac:dyDescent="0.25">
      <c r="A67" s="1">
        <f>'[7]BP-Men'!A60</f>
        <v>56</v>
      </c>
      <c r="B67">
        <f>'[7]BP-Men'!B60</f>
        <v>140</v>
      </c>
      <c r="C67" t="str">
        <f>'[7]BP-Men'!C60</f>
        <v>Артемьев Игорь/71</v>
      </c>
      <c r="D67" s="14" t="str">
        <f t="shared" si="0"/>
        <v>71</v>
      </c>
      <c r="E67" s="5" t="str">
        <f>'[7]BP-Men'!D60</f>
        <v>Глазов</v>
      </c>
      <c r="F67" s="10">
        <f>'[7]BP-Men'!E60</f>
        <v>39123</v>
      </c>
      <c r="G67" s="34" t="str">
        <f>'[7]BP-Men'!F60</f>
        <v>Челябинск</v>
      </c>
    </row>
    <row r="68" spans="1:7" x14ac:dyDescent="0.25">
      <c r="A68" s="1">
        <f>'[7]BP-Men'!A61</f>
        <v>60</v>
      </c>
      <c r="B68">
        <f>'[7]BP-Men'!B61</f>
        <v>150</v>
      </c>
      <c r="C68" t="str">
        <f>'[7]BP-Men'!C61</f>
        <v>Суфиянов Айрат/84</v>
      </c>
      <c r="D68" s="14" t="str">
        <f t="shared" si="0"/>
        <v>84</v>
      </c>
      <c r="E68" s="5" t="str">
        <f>'[7]BP-Men'!D61</f>
        <v>Нефтекамск</v>
      </c>
      <c r="F68" s="10">
        <f>'[7]BP-Men'!E61</f>
        <v>40640</v>
      </c>
      <c r="G68" s="34" t="str">
        <f>'[7]BP-Men'!F61</f>
        <v>Челябинск</v>
      </c>
    </row>
    <row r="69" spans="1:7" x14ac:dyDescent="0.25">
      <c r="A69" s="1" t="str">
        <f>'[7]BP-Men'!A62</f>
        <v>67.5</v>
      </c>
      <c r="B69">
        <f>'[7]BP-Men'!B62</f>
        <v>165</v>
      </c>
      <c r="C69" t="str">
        <f>'[7]BP-Men'!C62</f>
        <v>Жигулин Константин/87</v>
      </c>
      <c r="D69" s="14" t="str">
        <f t="shared" si="0"/>
        <v>87</v>
      </c>
      <c r="E69" s="5" t="str">
        <f>'[7]BP-Men'!D62</f>
        <v>Орел</v>
      </c>
      <c r="F69" s="10">
        <f>'[7]BP-Men'!E62</f>
        <v>40769</v>
      </c>
      <c r="G69" s="34" t="str">
        <f>'[7]BP-Men'!F62</f>
        <v>Курск</v>
      </c>
    </row>
    <row r="70" spans="1:7" x14ac:dyDescent="0.25">
      <c r="A70" s="1">
        <f>'[7]BP-Men'!A63</f>
        <v>75</v>
      </c>
      <c r="B70">
        <f>'[7]BP-Men'!B63</f>
        <v>215.5</v>
      </c>
      <c r="C70" t="str">
        <f>'[7]BP-Men'!C63</f>
        <v>Милостной Станислав/78</v>
      </c>
      <c r="D70" s="14" t="str">
        <f t="shared" si="0"/>
        <v>78</v>
      </c>
      <c r="E70" s="5" t="str">
        <f>'[7]BP-Men'!D63</f>
        <v>Курск</v>
      </c>
      <c r="F70" s="10">
        <f>'[7]BP-Men'!E63</f>
        <v>40258</v>
      </c>
      <c r="G70" s="34" t="str">
        <f>'[7]BP-Men'!F63</f>
        <v>Курск</v>
      </c>
    </row>
    <row r="71" spans="1:7" x14ac:dyDescent="0.25">
      <c r="A71" s="1" t="str">
        <f>'[7]BP-Men'!A64</f>
        <v>82.5</v>
      </c>
      <c r="B71">
        <f>'[7]BP-Men'!B64</f>
        <v>242.5</v>
      </c>
      <c r="C71" t="str">
        <f>'[7]BP-Men'!C64</f>
        <v>Нечаев Евгений/78</v>
      </c>
      <c r="D71" s="14" t="str">
        <f t="shared" si="0"/>
        <v>78</v>
      </c>
      <c r="E71" s="5" t="str">
        <f>'[7]BP-Men'!D64</f>
        <v>Красноярск</v>
      </c>
      <c r="F71" s="10">
        <f>'[7]BP-Men'!E64</f>
        <v>39661</v>
      </c>
      <c r="G71" s="34" t="str">
        <f>'[7]BP-Men'!F64</f>
        <v xml:space="preserve">Чикаго </v>
      </c>
    </row>
    <row r="72" spans="1:7" x14ac:dyDescent="0.25">
      <c r="A72" s="1">
        <f>'[7]BP-Men'!A65</f>
        <v>90</v>
      </c>
      <c r="B72">
        <f>'[7]BP-Men'!B65</f>
        <v>260</v>
      </c>
      <c r="C72" t="str">
        <f>'[7]BP-Men'!C65</f>
        <v>Вебер Михаил/71</v>
      </c>
      <c r="D72" s="14" t="str">
        <f t="shared" si="0"/>
        <v>71</v>
      </c>
      <c r="E72" s="5" t="str">
        <f>'[7]BP-Men'!D65</f>
        <v xml:space="preserve">Ростов </v>
      </c>
      <c r="F72" s="10">
        <f>'[7]BP-Men'!E65</f>
        <v>40769</v>
      </c>
      <c r="G72" s="34" t="str">
        <f>'[7]BP-Men'!F65</f>
        <v>Курск</v>
      </c>
    </row>
    <row r="73" spans="1:7" x14ac:dyDescent="0.25">
      <c r="A73" s="1">
        <f>'[7]BP-Men'!A66</f>
        <v>100</v>
      </c>
      <c r="B73">
        <f>'[7]BP-Men'!B66</f>
        <v>270</v>
      </c>
      <c r="C73" t="str">
        <f>'[7]BP-Men'!C66</f>
        <v>Петухов Виталий/80</v>
      </c>
      <c r="D73" s="14" t="str">
        <f t="shared" si="0"/>
        <v>80</v>
      </c>
      <c r="E73" s="5" t="str">
        <f>'[7]BP-Men'!D66</f>
        <v>Лысьва</v>
      </c>
      <c r="F73" s="10">
        <f>'[7]BP-Men'!E66</f>
        <v>40813</v>
      </c>
      <c r="G73" s="34" t="str">
        <f>'[7]BP-Men'!F66</f>
        <v>Екатеринбург</v>
      </c>
    </row>
    <row r="74" spans="1:7" x14ac:dyDescent="0.25">
      <c r="A74" s="1">
        <f>'[7]BP-Men'!A67</f>
        <v>110</v>
      </c>
      <c r="B74">
        <f>'[7]BP-Men'!B67</f>
        <v>290</v>
      </c>
      <c r="C74" t="str">
        <f>'[7]BP-Men'!C67</f>
        <v>Полетаев Владимир/72</v>
      </c>
      <c r="D74" s="14" t="str">
        <f t="shared" ref="D74:D137" si="1">RIGHT(C74,2)</f>
        <v>72</v>
      </c>
      <c r="E74" s="5" t="str">
        <f>'[7]BP-Men'!D67</f>
        <v>Люберцы</v>
      </c>
      <c r="F74" s="10">
        <f>'[7]BP-Men'!E67</f>
        <v>40034</v>
      </c>
      <c r="G74" s="34" t="str">
        <f>'[7]BP-Men'!F67</f>
        <v>Курск</v>
      </c>
    </row>
    <row r="75" spans="1:7" x14ac:dyDescent="0.25">
      <c r="A75" s="1">
        <f>'[7]BP-Men'!A68</f>
        <v>125</v>
      </c>
      <c r="B75">
        <f>'[7]BP-Men'!B68</f>
        <v>300</v>
      </c>
      <c r="C75" t="str">
        <f>'[7]BP-Men'!C68</f>
        <v>Полетаев Владимир/72</v>
      </c>
      <c r="D75" s="14" t="str">
        <f t="shared" si="1"/>
        <v>72</v>
      </c>
      <c r="E75" s="5" t="str">
        <f>'[7]BP-Men'!D68</f>
        <v>Люберцы</v>
      </c>
      <c r="F75" s="10">
        <f>'[7]BP-Men'!E68</f>
        <v>40641</v>
      </c>
      <c r="G75" s="34" t="str">
        <f>'[7]BP-Men'!F68</f>
        <v>Челябинск</v>
      </c>
    </row>
    <row r="76" spans="1:7" x14ac:dyDescent="0.25">
      <c r="A76" s="1">
        <f>'[7]BP-Men'!A69</f>
        <v>140</v>
      </c>
      <c r="B76" t="str">
        <f>'[7]BP-Men'!B69</f>
        <v>282.5</v>
      </c>
      <c r="C76" t="str">
        <f>'[7]BP-Men'!C69</f>
        <v>Смирнов Юрий/71</v>
      </c>
      <c r="D76" s="14" t="str">
        <f t="shared" si="1"/>
        <v>71</v>
      </c>
      <c r="E76" s="5" t="str">
        <f>'[7]BP-Men'!D69</f>
        <v>Ухта</v>
      </c>
      <c r="F76" s="10">
        <f>'[7]BP-Men'!E69</f>
        <v>39529</v>
      </c>
      <c r="G76" s="34" t="str">
        <f>'[7]BP-Men'!F69</f>
        <v>Ростов-на-Дону</v>
      </c>
    </row>
    <row r="77" spans="1:7" x14ac:dyDescent="0.25">
      <c r="A77" s="1" t="str">
        <f>'[7]BP-Men'!A70</f>
        <v>140+</v>
      </c>
      <c r="B77">
        <f>'[7]BP-Men'!B70</f>
        <v>280</v>
      </c>
      <c r="C77" t="str">
        <f>'[7]BP-Men'!C70</f>
        <v>Козырев Олег/75</v>
      </c>
      <c r="D77" s="14" t="str">
        <f t="shared" si="1"/>
        <v>75</v>
      </c>
      <c r="E77" s="5" t="str">
        <f>'[7]BP-Men'!D70</f>
        <v>Волжский</v>
      </c>
      <c r="F77" s="10">
        <f>'[7]BP-Men'!E70</f>
        <v>40641</v>
      </c>
      <c r="G77" s="34" t="str">
        <f>'[7]BP-Men'!F70</f>
        <v>Челябинск</v>
      </c>
    </row>
    <row r="78" spans="1:7" x14ac:dyDescent="0.25">
      <c r="B78">
        <f>'[7]BP-Men'!B71</f>
        <v>0</v>
      </c>
      <c r="C78">
        <f>'[7]BP-Men'!C71</f>
        <v>0</v>
      </c>
      <c r="D78" s="14" t="str">
        <f t="shared" si="1"/>
        <v>0</v>
      </c>
      <c r="E78" s="5">
        <f>'[7]BP-Men'!D71</f>
        <v>0</v>
      </c>
      <c r="F78" s="10">
        <f>'[7]BP-Men'!E71</f>
        <v>0</v>
      </c>
      <c r="G78" s="34">
        <f>'[7]BP-Men'!F71</f>
        <v>0</v>
      </c>
    </row>
    <row r="79" spans="1:7" s="11" customFormat="1" x14ac:dyDescent="0.25">
      <c r="A79" s="22" t="s">
        <v>0</v>
      </c>
      <c r="B79" s="11">
        <v>1</v>
      </c>
      <c r="C79" s="11">
        <v>-4</v>
      </c>
      <c r="D79" s="11" t="str">
        <f>'[1]BP-Men'!B72</f>
        <v>МУЖЧИНЫ - САБМАСТЕРС  (33 - 39)</v>
      </c>
      <c r="E79" s="21"/>
      <c r="F79" s="13"/>
      <c r="G79" s="35"/>
    </row>
    <row r="80" spans="1:7" x14ac:dyDescent="0.25">
      <c r="A80" s="1">
        <f>'[7]BP-Men'!A73</f>
        <v>52</v>
      </c>
      <c r="B80">
        <f>'[7]BP-Men'!B73</f>
        <v>0</v>
      </c>
      <c r="C80">
        <f>'[7]BP-Men'!C73</f>
        <v>0</v>
      </c>
      <c r="D80" s="14" t="str">
        <f t="shared" si="1"/>
        <v>0</v>
      </c>
      <c r="E80" s="5">
        <f>'[7]BP-Men'!D73</f>
        <v>0</v>
      </c>
      <c r="F80" s="10">
        <f>'[7]BP-Men'!E73</f>
        <v>0</v>
      </c>
      <c r="G80" s="34">
        <f>'[7]BP-Men'!F73</f>
        <v>0</v>
      </c>
    </row>
    <row r="81" spans="1:7" x14ac:dyDescent="0.25">
      <c r="A81" s="1">
        <f>'[7]BP-Men'!A74</f>
        <v>56</v>
      </c>
      <c r="B81">
        <f>'[7]BP-Men'!B74</f>
        <v>140</v>
      </c>
      <c r="C81" t="str">
        <f>'[7]BP-Men'!C74</f>
        <v>Артемьев  Игорь/71</v>
      </c>
      <c r="D81" s="14" t="str">
        <f t="shared" si="1"/>
        <v>71</v>
      </c>
      <c r="E81" s="5" t="str">
        <f>'[7]BP-Men'!D74</f>
        <v>Глазов</v>
      </c>
      <c r="F81" s="10">
        <f>'[7]BP-Men'!E74</f>
        <v>39123</v>
      </c>
      <c r="G81" s="34" t="str">
        <f>'[7]BP-Men'!F74</f>
        <v>Челябинск</v>
      </c>
    </row>
    <row r="82" spans="1:7" x14ac:dyDescent="0.25">
      <c r="A82" s="1">
        <f>'[7]BP-Men'!A75</f>
        <v>60</v>
      </c>
      <c r="B82">
        <f>'[7]BP-Men'!B75</f>
        <v>137.5</v>
      </c>
      <c r="C82" t="str">
        <f>'[7]BP-Men'!C75</f>
        <v>Артемьев  Олег/71</v>
      </c>
      <c r="D82" s="14" t="str">
        <f t="shared" si="1"/>
        <v>71</v>
      </c>
      <c r="E82" s="5" t="str">
        <f>'[7]BP-Men'!D75</f>
        <v>Глазов</v>
      </c>
      <c r="F82" s="10">
        <f>'[7]BP-Men'!E75</f>
        <v>39123</v>
      </c>
      <c r="G82" s="34" t="str">
        <f>'[7]BP-Men'!F75</f>
        <v>Челябинск</v>
      </c>
    </row>
    <row r="83" spans="1:7" x14ac:dyDescent="0.25">
      <c r="A83" s="1" t="str">
        <f>'[7]BP-Men'!A76</f>
        <v>67.5</v>
      </c>
      <c r="B83">
        <f>'[7]BP-Men'!B76</f>
        <v>160</v>
      </c>
      <c r="C83" t="str">
        <f>'[7]BP-Men'!C76</f>
        <v>Матосян Дмитрий/76</v>
      </c>
      <c r="D83" s="14" t="str">
        <f t="shared" si="1"/>
        <v>76</v>
      </c>
      <c r="E83" s="5" t="str">
        <f>'[7]BP-Men'!D76</f>
        <v>Лысьва</v>
      </c>
      <c r="F83" s="10">
        <f>'[7]BP-Men'!E76</f>
        <v>40409</v>
      </c>
      <c r="G83" s="34" t="str">
        <f>'[7]BP-Men'!F76</f>
        <v>Москва</v>
      </c>
    </row>
    <row r="84" spans="1:7" x14ac:dyDescent="0.25">
      <c r="A84" s="1">
        <f>'[7]BP-Men'!A77</f>
        <v>75</v>
      </c>
      <c r="B84">
        <f>'[7]BP-Men'!B77</f>
        <v>200</v>
      </c>
      <c r="C84" t="str">
        <f>'[7]BP-Men'!C77</f>
        <v>Ларионов Артем/78</v>
      </c>
      <c r="D84" s="14" t="str">
        <f t="shared" si="1"/>
        <v>78</v>
      </c>
      <c r="E84" s="5" t="str">
        <f>'[7]BP-Men'!D77</f>
        <v>Москва</v>
      </c>
      <c r="F84" s="10">
        <f>'[7]BP-Men'!E77</f>
        <v>41439</v>
      </c>
      <c r="G84" s="34" t="str">
        <f>'[7]BP-Men'!F77</f>
        <v>Москва</v>
      </c>
    </row>
    <row r="85" spans="1:7" x14ac:dyDescent="0.25">
      <c r="A85" s="1" t="str">
        <f>'[7]BP-Men'!A78</f>
        <v>82.5</v>
      </c>
      <c r="B85">
        <f>'[7]BP-Men'!B78</f>
        <v>220</v>
      </c>
      <c r="C85" t="str">
        <f>'[7]BP-Men'!C78</f>
        <v>Вебер Михаил/71</v>
      </c>
      <c r="D85" s="14" t="str">
        <f t="shared" si="1"/>
        <v>71</v>
      </c>
      <c r="E85" s="5" t="str">
        <f>'[7]BP-Men'!D78</f>
        <v>Ростов</v>
      </c>
      <c r="F85" s="10">
        <f>'[7]BP-Men'!E78</f>
        <v>39424</v>
      </c>
      <c r="G85" s="34" t="str">
        <f>'[7]BP-Men'!F78</f>
        <v>Курск</v>
      </c>
    </row>
    <row r="86" spans="1:7" x14ac:dyDescent="0.25">
      <c r="A86" s="1">
        <f>'[7]BP-Men'!A79</f>
        <v>90</v>
      </c>
      <c r="B86">
        <f>'[7]BP-Men'!B79</f>
        <v>240</v>
      </c>
      <c r="C86" t="str">
        <f>'[7]BP-Men'!C79</f>
        <v>Вебер Михаил/71</v>
      </c>
      <c r="D86" s="14" t="str">
        <f t="shared" si="1"/>
        <v>71</v>
      </c>
      <c r="E86" s="5" t="str">
        <f>'[7]BP-Men'!D79</f>
        <v>Ростов</v>
      </c>
      <c r="F86" s="10">
        <f>'[7]BP-Men'!E79</f>
        <v>40258</v>
      </c>
      <c r="G86" s="34" t="str">
        <f>'[7]BP-Men'!F79</f>
        <v>Курск</v>
      </c>
    </row>
    <row r="87" spans="1:7" x14ac:dyDescent="0.25">
      <c r="A87" s="1">
        <f>'[7]BP-Men'!A80</f>
        <v>100</v>
      </c>
      <c r="B87">
        <f>'[7]BP-Men'!B80</f>
        <v>245</v>
      </c>
      <c r="C87" t="str">
        <f>'[7]BP-Men'!C80</f>
        <v>Вебер Михаил/71</v>
      </c>
      <c r="D87" s="14" t="str">
        <f t="shared" si="1"/>
        <v>71</v>
      </c>
      <c r="E87" s="5" t="str">
        <f>'[7]BP-Men'!D80</f>
        <v>Ростов</v>
      </c>
      <c r="F87" s="10">
        <f>'[7]BP-Men'!E80</f>
        <v>40641</v>
      </c>
      <c r="G87" s="34" t="str">
        <f>'[7]BP-Men'!F80</f>
        <v>Челябинск</v>
      </c>
    </row>
    <row r="88" spans="1:7" x14ac:dyDescent="0.25">
      <c r="A88" s="1">
        <f>'[7]BP-Men'!A81</f>
        <v>110</v>
      </c>
      <c r="B88">
        <f>'[7]BP-Men'!B81</f>
        <v>290</v>
      </c>
      <c r="C88" t="str">
        <f>'[7]BP-Men'!C81</f>
        <v>Полетаев Владимир/72</v>
      </c>
      <c r="D88" s="14" t="str">
        <f t="shared" si="1"/>
        <v>72</v>
      </c>
      <c r="E88" s="5" t="str">
        <f>'[7]BP-Men'!D81</f>
        <v>Люберцы</v>
      </c>
      <c r="F88" s="10">
        <f>'[7]BP-Men'!E81</f>
        <v>40034</v>
      </c>
      <c r="G88" s="34" t="str">
        <f>'[7]BP-Men'!F81</f>
        <v>Курск</v>
      </c>
    </row>
    <row r="89" spans="1:7" x14ac:dyDescent="0.25">
      <c r="A89" s="1">
        <f>'[7]BP-Men'!A82</f>
        <v>125</v>
      </c>
      <c r="B89">
        <f>'[7]BP-Men'!B82</f>
        <v>300</v>
      </c>
      <c r="C89" t="str">
        <f>'[7]BP-Men'!C82</f>
        <v>Полетаев Владимир/72</v>
      </c>
      <c r="D89" s="14" t="str">
        <f t="shared" si="1"/>
        <v>72</v>
      </c>
      <c r="E89" s="5" t="str">
        <f>'[7]BP-Men'!D82</f>
        <v>Люберцы</v>
      </c>
      <c r="F89" s="10">
        <f>'[7]BP-Men'!E82</f>
        <v>40641</v>
      </c>
      <c r="G89" s="34" t="str">
        <f>'[7]BP-Men'!F82</f>
        <v>Челябинск</v>
      </c>
    </row>
    <row r="90" spans="1:7" x14ac:dyDescent="0.25">
      <c r="A90" s="1">
        <f>'[7]BP-Men'!A83</f>
        <v>140</v>
      </c>
      <c r="B90" t="str">
        <f>'[7]BP-Men'!B83</f>
        <v>282.5</v>
      </c>
      <c r="C90" t="str">
        <f>'[7]BP-Men'!C83</f>
        <v>Смирнов Юрий/71</v>
      </c>
      <c r="D90" s="14" t="str">
        <f t="shared" si="1"/>
        <v>71</v>
      </c>
      <c r="E90" s="5" t="str">
        <f>'[7]BP-Men'!D83</f>
        <v>Ухта</v>
      </c>
      <c r="F90" s="10">
        <f>'[7]BP-Men'!E83</f>
        <v>39529</v>
      </c>
      <c r="G90" s="34" t="str">
        <f>'[7]BP-Men'!F83</f>
        <v>Ростов-на-Дону</v>
      </c>
    </row>
    <row r="91" spans="1:7" x14ac:dyDescent="0.25">
      <c r="A91" s="1" t="str">
        <f>'[7]BP-Men'!A84</f>
        <v>140+</v>
      </c>
      <c r="B91">
        <f>'[7]BP-Men'!B84</f>
        <v>280</v>
      </c>
      <c r="C91" t="str">
        <f>'[7]BP-Men'!C84</f>
        <v>Козырев Олег/75</v>
      </c>
      <c r="D91" s="14" t="str">
        <f t="shared" si="1"/>
        <v>75</v>
      </c>
      <c r="E91" s="5" t="str">
        <f>'[7]BP-Men'!D84</f>
        <v>Волжский</v>
      </c>
      <c r="F91" s="10">
        <f>'[7]BP-Men'!E84</f>
        <v>40641</v>
      </c>
      <c r="G91" s="34" t="str">
        <f>'[7]BP-Men'!F84</f>
        <v>Челябинск</v>
      </c>
    </row>
    <row r="92" spans="1:7" x14ac:dyDescent="0.25">
      <c r="B92">
        <f>'[7]BP-Men'!B85</f>
        <v>0</v>
      </c>
      <c r="C92">
        <f>'[7]BP-Men'!C85</f>
        <v>0</v>
      </c>
      <c r="D92" s="14" t="str">
        <f t="shared" si="1"/>
        <v>0</v>
      </c>
      <c r="E92" s="5">
        <f>'[7]BP-Men'!D85</f>
        <v>0</v>
      </c>
      <c r="F92" s="10">
        <f>'[7]BP-Men'!E85</f>
        <v>0</v>
      </c>
      <c r="G92" s="34">
        <f>'[7]BP-Men'!F85</f>
        <v>0</v>
      </c>
    </row>
    <row r="93" spans="1:7" s="11" customFormat="1" x14ac:dyDescent="0.25">
      <c r="A93" s="22" t="s">
        <v>0</v>
      </c>
      <c r="B93" s="11">
        <v>1</v>
      </c>
      <c r="C93" s="11">
        <v>40</v>
      </c>
      <c r="D93" s="11" t="str">
        <f>'[1]BP-Men'!B86</f>
        <v>МУЖЧИНЫ - МАСТЕРС  1(40 - 44)</v>
      </c>
      <c r="E93" s="21"/>
      <c r="F93" s="13"/>
      <c r="G93" s="35"/>
    </row>
    <row r="94" spans="1:7" x14ac:dyDescent="0.25">
      <c r="A94" s="1">
        <f>'[7]BP-Men'!A87</f>
        <v>52</v>
      </c>
      <c r="B94">
        <f>'[7]BP-Men'!B87</f>
        <v>0</v>
      </c>
      <c r="C94">
        <f>'[7]BP-Men'!C87</f>
        <v>0</v>
      </c>
      <c r="D94" s="14" t="str">
        <f t="shared" si="1"/>
        <v>0</v>
      </c>
      <c r="E94" s="5">
        <f>'[7]BP-Men'!D87</f>
        <v>0</v>
      </c>
      <c r="F94" s="10">
        <f>'[7]BP-Men'!E87</f>
        <v>0</v>
      </c>
      <c r="G94" s="34">
        <f>'[7]BP-Men'!F87</f>
        <v>0</v>
      </c>
    </row>
    <row r="95" spans="1:7" x14ac:dyDescent="0.25">
      <c r="A95" s="1">
        <f>'[7]BP-Men'!A88</f>
        <v>56</v>
      </c>
      <c r="B95">
        <f>'[7]BP-Men'!B88</f>
        <v>135</v>
      </c>
      <c r="C95" t="str">
        <f>'[7]BP-Men'!C88</f>
        <v>Артемьев Игорь/71</v>
      </c>
      <c r="D95" s="14" t="str">
        <f t="shared" si="1"/>
        <v>71</v>
      </c>
      <c r="E95" s="5" t="str">
        <f>'[7]BP-Men'!D88</f>
        <v>Глазов</v>
      </c>
      <c r="F95" s="10" t="str">
        <f>'[7]BP-Men'!E88</f>
        <v>23.08.2014</v>
      </c>
      <c r="G95" s="34" t="str">
        <f>'[7]BP-Men'!F88</f>
        <v>Москва</v>
      </c>
    </row>
    <row r="96" spans="1:7" x14ac:dyDescent="0.25">
      <c r="A96" s="1">
        <f>'[7]BP-Men'!A89</f>
        <v>60</v>
      </c>
      <c r="B96">
        <f>'[7]BP-Men'!B89</f>
        <v>150</v>
      </c>
      <c r="C96" t="str">
        <f>'[7]BP-Men'!C89</f>
        <v>Артемьев Олег/71</v>
      </c>
      <c r="D96" s="14" t="str">
        <f t="shared" si="1"/>
        <v>71</v>
      </c>
      <c r="E96" s="5" t="str">
        <f>'[7]BP-Men'!D89</f>
        <v>Глазов</v>
      </c>
      <c r="F96" s="10" t="str">
        <f>'[7]BP-Men'!E89</f>
        <v>23.08.2014</v>
      </c>
      <c r="G96" s="34" t="str">
        <f>'[7]BP-Men'!F89</f>
        <v>Москва</v>
      </c>
    </row>
    <row r="97" spans="1:7" x14ac:dyDescent="0.25">
      <c r="A97" s="1">
        <f>'[7]BP-Men'!A90</f>
        <v>67.5</v>
      </c>
      <c r="B97">
        <f>'[7]BP-Men'!B90</f>
        <v>115</v>
      </c>
      <c r="C97" t="str">
        <f>'[7]BP-Men'!C90</f>
        <v>Ганеев Алик/70</v>
      </c>
      <c r="D97" s="14" t="str">
        <f t="shared" si="1"/>
        <v>70</v>
      </c>
      <c r="E97" s="5" t="str">
        <f>'[7]BP-Men'!D90</f>
        <v>Челябинск</v>
      </c>
      <c r="F97" s="10">
        <f>'[7]BP-Men'!E90</f>
        <v>40640</v>
      </c>
      <c r="G97" s="34" t="str">
        <f>'[7]BP-Men'!F90</f>
        <v>Челябинск</v>
      </c>
    </row>
    <row r="98" spans="1:7" x14ac:dyDescent="0.25">
      <c r="A98" s="1">
        <f>'[7]BP-Men'!A91</f>
        <v>75</v>
      </c>
      <c r="B98">
        <f>'[7]BP-Men'!B91</f>
        <v>165</v>
      </c>
      <c r="C98" t="str">
        <f>'[7]BP-Men'!C91</f>
        <v>Лапынин Владимир/70</v>
      </c>
      <c r="D98" s="14" t="str">
        <f t="shared" si="1"/>
        <v>70</v>
      </c>
      <c r="E98" s="5" t="str">
        <f>'[7]BP-Men'!D91</f>
        <v>Дальнегорск</v>
      </c>
      <c r="F98" s="10" t="str">
        <f>'[7]BP-Men'!E91</f>
        <v>23.08.2014</v>
      </c>
      <c r="G98" s="34" t="str">
        <f>'[7]BP-Men'!F91</f>
        <v>Москва</v>
      </c>
    </row>
    <row r="99" spans="1:7" x14ac:dyDescent="0.25">
      <c r="A99" s="1" t="str">
        <f>'[7]BP-Men'!A92</f>
        <v>82.5</v>
      </c>
      <c r="B99">
        <f>'[7]BP-Men'!B92</f>
        <v>225</v>
      </c>
      <c r="C99" t="str">
        <f>'[7]BP-Men'!C92</f>
        <v>Вебер Михаил/71</v>
      </c>
      <c r="D99" s="14" t="str">
        <f t="shared" si="1"/>
        <v>71</v>
      </c>
      <c r="E99" s="5" t="str">
        <f>'[7]BP-Men'!D92</f>
        <v xml:space="preserve">Ростов </v>
      </c>
      <c r="F99" s="10">
        <f>'[7]BP-Men'!E92</f>
        <v>41017</v>
      </c>
      <c r="G99" s="34" t="str">
        <f>'[7]BP-Men'!F92</f>
        <v>Ростов</v>
      </c>
    </row>
    <row r="100" spans="1:7" x14ac:dyDescent="0.25">
      <c r="A100" s="1">
        <f>'[7]BP-Men'!A93</f>
        <v>90</v>
      </c>
      <c r="B100">
        <f>'[7]BP-Men'!B93</f>
        <v>260</v>
      </c>
      <c r="C100" t="str">
        <f>'[7]BP-Men'!C93</f>
        <v>Вебер Михаил/71</v>
      </c>
      <c r="D100" s="14" t="str">
        <f t="shared" si="1"/>
        <v>71</v>
      </c>
      <c r="E100" s="5" t="str">
        <f>'[7]BP-Men'!D93</f>
        <v xml:space="preserve">Ростов </v>
      </c>
      <c r="F100" s="10">
        <f>'[7]BP-Men'!E93</f>
        <v>40769</v>
      </c>
      <c r="G100" s="34" t="str">
        <f>'[7]BP-Men'!F93</f>
        <v>Курск</v>
      </c>
    </row>
    <row r="101" spans="1:7" x14ac:dyDescent="0.25">
      <c r="A101" s="1">
        <f>'[7]BP-Men'!A94</f>
        <v>100</v>
      </c>
      <c r="B101">
        <f>'[7]BP-Men'!B94</f>
        <v>251</v>
      </c>
      <c r="C101" t="str">
        <f>'[7]BP-Men'!C94</f>
        <v>Вебер Михаил/71</v>
      </c>
      <c r="D101" s="14" t="str">
        <f t="shared" si="1"/>
        <v>71</v>
      </c>
      <c r="E101" s="5" t="str">
        <f>'[7]BP-Men'!D94</f>
        <v xml:space="preserve">Ростов </v>
      </c>
      <c r="F101" s="10">
        <f>'[7]BP-Men'!E94</f>
        <v>41201</v>
      </c>
      <c r="G101" s="34" t="str">
        <f>'[7]BP-Men'!F94</f>
        <v>Краснодар</v>
      </c>
    </row>
    <row r="102" spans="1:7" x14ac:dyDescent="0.25">
      <c r="A102" s="1">
        <f>'[7]BP-Men'!A95</f>
        <v>110</v>
      </c>
      <c r="B102">
        <f>'[7]BP-Men'!B95</f>
        <v>255</v>
      </c>
      <c r="C102" t="str">
        <f>'[7]BP-Men'!C95</f>
        <v>Клевакин Павел/69</v>
      </c>
      <c r="D102" s="14" t="str">
        <f t="shared" si="1"/>
        <v>69</v>
      </c>
      <c r="E102" s="5" t="str">
        <f>'[7]BP-Men'!D95</f>
        <v>Екатеринбург</v>
      </c>
      <c r="F102" s="10">
        <f>'[7]BP-Men'!E95</f>
        <v>40641</v>
      </c>
      <c r="G102" s="34" t="str">
        <f>'[7]BP-Men'!F95</f>
        <v>Челябинск</v>
      </c>
    </row>
    <row r="103" spans="1:7" x14ac:dyDescent="0.25">
      <c r="A103" s="1">
        <f>'[7]BP-Men'!A96</f>
        <v>125</v>
      </c>
      <c r="B103">
        <f>'[7]BP-Men'!B96</f>
        <v>250</v>
      </c>
      <c r="C103" t="str">
        <f>'[7]BP-Men'!C96</f>
        <v>Formin Yevgeny/68</v>
      </c>
      <c r="D103" s="14" t="str">
        <f t="shared" si="1"/>
        <v>68</v>
      </c>
      <c r="E103" s="5" t="str">
        <f>'[7]BP-Men'!D96</f>
        <v>RUS</v>
      </c>
      <c r="F103" s="10">
        <f>'[7]BP-Men'!E96</f>
        <v>40816</v>
      </c>
      <c r="G103" s="34" t="str">
        <f>'[7]BP-Men'!F96</f>
        <v>Yekaterinbourg</v>
      </c>
    </row>
    <row r="104" spans="1:7" x14ac:dyDescent="0.25">
      <c r="A104" s="1">
        <f>'[7]BP-Men'!A97</f>
        <v>140</v>
      </c>
      <c r="B104">
        <f>'[7]BP-Men'!B97</f>
        <v>245</v>
      </c>
      <c r="C104" t="str">
        <f>'[7]BP-Men'!C97</f>
        <v>Некрасов Михаил/69</v>
      </c>
      <c r="D104" s="14" t="str">
        <f t="shared" si="1"/>
        <v>69</v>
      </c>
      <c r="E104" s="5" t="str">
        <f>'[7]BP-Men'!D97</f>
        <v>Красноуфимск</v>
      </c>
      <c r="F104" s="10">
        <f>'[7]BP-Men'!E97</f>
        <v>40641</v>
      </c>
      <c r="G104" s="34" t="str">
        <f>'[7]BP-Men'!F97</f>
        <v>Челябинск</v>
      </c>
    </row>
    <row r="105" spans="1:7" x14ac:dyDescent="0.25">
      <c r="A105" s="1" t="str">
        <f>'[7]BP-Men'!A98</f>
        <v>140+</v>
      </c>
      <c r="B105">
        <f>'[7]BP-Men'!B98</f>
        <v>0</v>
      </c>
      <c r="C105">
        <f>'[7]BP-Men'!C98</f>
        <v>0</v>
      </c>
      <c r="D105" s="14" t="str">
        <f t="shared" si="1"/>
        <v>0</v>
      </c>
      <c r="E105" s="5">
        <f>'[7]BP-Men'!D98</f>
        <v>0</v>
      </c>
      <c r="F105" s="10">
        <f>'[7]BP-Men'!E98</f>
        <v>0</v>
      </c>
      <c r="G105" s="34">
        <f>'[7]BP-Men'!F98</f>
        <v>0</v>
      </c>
    </row>
    <row r="106" spans="1:7" x14ac:dyDescent="0.25">
      <c r="A106" s="1">
        <f>'[7]BP-Men'!A99</f>
        <v>0</v>
      </c>
      <c r="B106">
        <f>'[7]BP-Men'!B99</f>
        <v>0</v>
      </c>
      <c r="C106">
        <f>'[7]BP-Men'!C99</f>
        <v>0</v>
      </c>
      <c r="D106" s="14" t="str">
        <f t="shared" ref="D106" si="2">RIGHT(C106,2)</f>
        <v>0</v>
      </c>
      <c r="E106" s="5">
        <f>'[7]BP-Men'!D99</f>
        <v>0</v>
      </c>
      <c r="F106" s="10">
        <f>'[7]BP-Men'!E99</f>
        <v>0</v>
      </c>
      <c r="G106" s="34">
        <f>'[7]BP-Men'!F99</f>
        <v>0</v>
      </c>
    </row>
    <row r="107" spans="1:7" s="11" customFormat="1" x14ac:dyDescent="0.25">
      <c r="A107" s="22" t="s">
        <v>0</v>
      </c>
      <c r="B107" s="11">
        <v>1</v>
      </c>
      <c r="C107" s="11">
        <v>45</v>
      </c>
      <c r="D107" s="11" t="str">
        <f>'[1]BP-Men'!B99</f>
        <v>МУЖЧИНЫ - МАСТЕРС  2(45 - 49)</v>
      </c>
      <c r="E107" s="21"/>
      <c r="F107" s="13"/>
      <c r="G107" s="35"/>
    </row>
    <row r="108" spans="1:7" x14ac:dyDescent="0.25">
      <c r="A108" s="1">
        <f>'[7]BP-Men'!A101</f>
        <v>52</v>
      </c>
      <c r="B108">
        <f>'[7]BP-Men'!B101</f>
        <v>0</v>
      </c>
      <c r="C108">
        <f>'[7]BP-Men'!C101</f>
        <v>0</v>
      </c>
      <c r="D108" s="14" t="str">
        <f t="shared" si="1"/>
        <v>0</v>
      </c>
      <c r="E108" s="5">
        <f>'[7]BP-Men'!D101</f>
        <v>0</v>
      </c>
      <c r="F108" s="10">
        <f>'[7]BP-Men'!E101</f>
        <v>0</v>
      </c>
      <c r="G108" s="34">
        <f>'[7]BP-Men'!F101</f>
        <v>0</v>
      </c>
    </row>
    <row r="109" spans="1:7" x14ac:dyDescent="0.25">
      <c r="A109" s="1">
        <f>'[7]BP-Men'!A102</f>
        <v>56</v>
      </c>
      <c r="B109">
        <f>'[7]BP-Men'!B102</f>
        <v>0</v>
      </c>
      <c r="C109">
        <f>'[7]BP-Men'!C102</f>
        <v>0</v>
      </c>
      <c r="D109" s="14" t="str">
        <f t="shared" si="1"/>
        <v>0</v>
      </c>
      <c r="E109" s="5">
        <f>'[7]BP-Men'!D102</f>
        <v>0</v>
      </c>
      <c r="F109" s="10">
        <f>'[7]BP-Men'!E102</f>
        <v>0</v>
      </c>
      <c r="G109" s="34">
        <f>'[7]BP-Men'!F102</f>
        <v>0</v>
      </c>
    </row>
    <row r="110" spans="1:7" x14ac:dyDescent="0.25">
      <c r="A110" s="1">
        <f>'[7]BP-Men'!A103</f>
        <v>60</v>
      </c>
      <c r="B110">
        <f>'[7]BP-Men'!B103</f>
        <v>110</v>
      </c>
      <c r="C110" t="str">
        <f>'[7]BP-Men'!C103</f>
        <v>Дюкарев Вадим/59</v>
      </c>
      <c r="D110" s="14" t="str">
        <f t="shared" si="1"/>
        <v>59</v>
      </c>
      <c r="E110" s="5" t="str">
        <f>'[7]BP-Men'!D103</f>
        <v>Железногорск</v>
      </c>
      <c r="F110" s="10">
        <f>'[7]BP-Men'!E103</f>
        <v>39312</v>
      </c>
      <c r="G110" s="34" t="str">
        <f>'[7]BP-Men'!F103</f>
        <v>Курск</v>
      </c>
    </row>
    <row r="111" spans="1:7" x14ac:dyDescent="0.25">
      <c r="A111" s="1">
        <f>'[7]BP-Men'!A104</f>
        <v>67.5</v>
      </c>
      <c r="B111">
        <f>'[7]BP-Men'!B104</f>
        <v>150</v>
      </c>
      <c r="C111" t="str">
        <f>'[7]BP-Men'!C104</f>
        <v>Максимов Александр/61</v>
      </c>
      <c r="D111" s="14" t="str">
        <f t="shared" si="1"/>
        <v>61</v>
      </c>
      <c r="E111" s="5" t="str">
        <f>'[7]BP-Men'!D104</f>
        <v>Калининград</v>
      </c>
      <c r="F111" s="10">
        <f>'[7]BP-Men'!E104</f>
        <v>39203</v>
      </c>
      <c r="G111" s="34" t="str">
        <f>'[7]BP-Men'!F104</f>
        <v>Пушкино</v>
      </c>
    </row>
    <row r="112" spans="1:7" x14ac:dyDescent="0.25">
      <c r="A112" s="1">
        <f>'[7]BP-Men'!A105</f>
        <v>75</v>
      </c>
      <c r="B112">
        <f>'[7]BP-Men'!B105</f>
        <v>120</v>
      </c>
      <c r="C112" t="str">
        <f>'[7]BP-Men'!C105</f>
        <v>Лопатин Сергей/60</v>
      </c>
      <c r="D112" s="14" t="str">
        <f t="shared" si="1"/>
        <v>60</v>
      </c>
      <c r="E112" s="5" t="str">
        <f>'[7]BP-Men'!D105</f>
        <v>Краснодар</v>
      </c>
      <c r="F112" s="10">
        <f>'[7]BP-Men'!E105</f>
        <v>39352</v>
      </c>
      <c r="G112" s="34" t="str">
        <f>'[7]BP-Men'!F105</f>
        <v>Хорн</v>
      </c>
    </row>
    <row r="113" spans="1:7" x14ac:dyDescent="0.25">
      <c r="A113" s="1" t="str">
        <f>'[7]BP-Men'!A106</f>
        <v>82.5</v>
      </c>
      <c r="B113">
        <f>'[7]BP-Men'!B106</f>
        <v>140</v>
      </c>
      <c r="C113" t="str">
        <f>'[7]BP-Men'!C106</f>
        <v>Смирнов Константин/62</v>
      </c>
      <c r="D113" s="14" t="str">
        <f t="shared" si="1"/>
        <v>62</v>
      </c>
      <c r="E113" s="5" t="str">
        <f>'[7]BP-Men'!D106</f>
        <v>Новосибирск</v>
      </c>
      <c r="F113" s="10">
        <f>'[7]BP-Men'!E106</f>
        <v>40640</v>
      </c>
      <c r="G113" s="34" t="str">
        <f>'[7]BP-Men'!F106</f>
        <v>Челябинск</v>
      </c>
    </row>
    <row r="114" spans="1:7" x14ac:dyDescent="0.25">
      <c r="A114" s="1">
        <f>'[7]BP-Men'!A107</f>
        <v>90</v>
      </c>
      <c r="B114">
        <f>'[7]BP-Men'!B107</f>
        <v>225</v>
      </c>
      <c r="C114" t="str">
        <f>'[7]BP-Men'!C107</f>
        <v>Петров Александр/60</v>
      </c>
      <c r="D114" s="14" t="str">
        <f t="shared" si="1"/>
        <v>60</v>
      </c>
      <c r="E114" s="5" t="str">
        <f>'[7]BP-Men'!D107</f>
        <v>Москва</v>
      </c>
      <c r="F114" s="10">
        <f>'[7]BP-Men'!E107</f>
        <v>40214</v>
      </c>
      <c r="G114" s="34" t="str">
        <f>'[7]BP-Men'!F107</f>
        <v>Красноармейск</v>
      </c>
    </row>
    <row r="115" spans="1:7" x14ac:dyDescent="0.25">
      <c r="A115" s="1">
        <f>'[7]BP-Men'!A108</f>
        <v>100</v>
      </c>
      <c r="B115">
        <f>'[7]BP-Men'!B108</f>
        <v>230</v>
      </c>
      <c r="C115" t="str">
        <f>'[7]BP-Men'!C108</f>
        <v>Петров Александр/60</v>
      </c>
      <c r="D115" s="14" t="str">
        <f t="shared" si="1"/>
        <v>60</v>
      </c>
      <c r="E115" s="5" t="str">
        <f>'[7]BP-Men'!D108</f>
        <v>Москва</v>
      </c>
      <c r="F115" s="10">
        <f>'[7]BP-Men'!E108</f>
        <v>40258</v>
      </c>
      <c r="G115" s="34" t="str">
        <f>'[7]BP-Men'!F108</f>
        <v>Курск</v>
      </c>
    </row>
    <row r="116" spans="1:7" x14ac:dyDescent="0.25">
      <c r="A116" s="1">
        <f>'[7]BP-Men'!A109</f>
        <v>110</v>
      </c>
      <c r="B116">
        <f>'[7]BP-Men'!B109</f>
        <v>250</v>
      </c>
      <c r="C116" t="str">
        <f>'[7]BP-Men'!C109</f>
        <v>Симановский Игорь/65</v>
      </c>
      <c r="D116" s="14" t="str">
        <f t="shared" si="1"/>
        <v>65</v>
      </c>
      <c r="E116" s="5" t="str">
        <f>'[7]BP-Men'!D109</f>
        <v>Раменское</v>
      </c>
      <c r="F116" s="10">
        <f>'[7]BP-Men'!E109</f>
        <v>40690</v>
      </c>
      <c r="G116" s="34" t="str">
        <f>'[7]BP-Men'!F109</f>
        <v>Хотьково</v>
      </c>
    </row>
    <row r="117" spans="1:7" x14ac:dyDescent="0.25">
      <c r="A117" s="1">
        <f>'[7]BP-Men'!A110</f>
        <v>125</v>
      </c>
      <c r="B117">
        <f>'[7]BP-Men'!B110</f>
        <v>285</v>
      </c>
      <c r="C117" t="str">
        <f>'[7]BP-Men'!C110</f>
        <v>Гузев Павел/66</v>
      </c>
      <c r="D117" s="14" t="str">
        <f t="shared" si="1"/>
        <v>66</v>
      </c>
      <c r="E117" s="5" t="str">
        <f>'[7]BP-Men'!D110</f>
        <v>Волгоград</v>
      </c>
      <c r="F117" s="10" t="str">
        <f>'[7]BP-Men'!E110</f>
        <v>23.08.2014</v>
      </c>
      <c r="G117" s="34" t="str">
        <f>'[7]BP-Men'!F110</f>
        <v>Москва</v>
      </c>
    </row>
    <row r="118" spans="1:7" x14ac:dyDescent="0.25">
      <c r="A118" s="1">
        <f>'[7]BP-Men'!A111</f>
        <v>140</v>
      </c>
      <c r="B118">
        <f>'[7]BP-Men'!B111</f>
        <v>160</v>
      </c>
      <c r="C118" t="str">
        <f>'[7]BP-Men'!C111</f>
        <v>Калинин Анатолий/65</v>
      </c>
      <c r="D118" s="14" t="str">
        <f t="shared" si="1"/>
        <v>65</v>
      </c>
      <c r="E118" s="5" t="str">
        <f>'[7]BP-Men'!D111</f>
        <v>Москва</v>
      </c>
      <c r="F118" s="10">
        <f>'[7]BP-Men'!E111</f>
        <v>41068</v>
      </c>
      <c r="G118" s="34" t="str">
        <f>'[7]BP-Men'!F111</f>
        <v>Москва</v>
      </c>
    </row>
    <row r="119" spans="1:7" x14ac:dyDescent="0.25">
      <c r="A119" s="1" t="str">
        <f>'[7]BP-Men'!A112</f>
        <v>140+</v>
      </c>
      <c r="B119">
        <f>'[7]BP-Men'!B112</f>
        <v>0</v>
      </c>
      <c r="C119">
        <f>'[7]BP-Men'!C112</f>
        <v>0</v>
      </c>
      <c r="D119" s="14" t="str">
        <f t="shared" si="1"/>
        <v>0</v>
      </c>
      <c r="E119" s="5">
        <f>'[7]BP-Men'!D112</f>
        <v>0</v>
      </c>
      <c r="F119" s="10">
        <f>'[7]BP-Men'!E112</f>
        <v>0</v>
      </c>
      <c r="G119" s="34">
        <f>'[7]BP-Men'!F112</f>
        <v>0</v>
      </c>
    </row>
    <row r="120" spans="1:7" x14ac:dyDescent="0.25">
      <c r="A120" s="1">
        <f>'[7]BP-Men'!A113</f>
        <v>0</v>
      </c>
      <c r="B120">
        <f>'[7]BP-Men'!B113</f>
        <v>0</v>
      </c>
      <c r="C120">
        <f>'[7]BP-Men'!C113</f>
        <v>0</v>
      </c>
      <c r="D120" s="14" t="str">
        <f t="shared" ref="D120" si="3">RIGHT(C120,2)</f>
        <v>0</v>
      </c>
      <c r="E120" s="5">
        <f>'[7]BP-Men'!D113</f>
        <v>0</v>
      </c>
      <c r="F120" s="10">
        <f>'[7]BP-Men'!E113</f>
        <v>0</v>
      </c>
      <c r="G120" s="34">
        <f>'[7]BP-Men'!F113</f>
        <v>0</v>
      </c>
    </row>
    <row r="121" spans="1:7" s="11" customFormat="1" x14ac:dyDescent="0.25">
      <c r="A121" s="22" t="s">
        <v>0</v>
      </c>
      <c r="B121" s="11">
        <v>1</v>
      </c>
      <c r="C121" s="11">
        <v>50</v>
      </c>
      <c r="D121" s="11" t="str">
        <f>'[7]BP-Men'!B114</f>
        <v>МУЖЧИНЫ - МАСТЕРС  3(50 - 54)</v>
      </c>
      <c r="E121" s="21"/>
      <c r="F121" s="13"/>
      <c r="G121" s="35"/>
    </row>
    <row r="122" spans="1:7" x14ac:dyDescent="0.25">
      <c r="A122" s="1">
        <f>'[7]BP-Men'!A115</f>
        <v>52</v>
      </c>
      <c r="B122">
        <f>'[7]BP-Men'!B115</f>
        <v>0</v>
      </c>
      <c r="C122">
        <f>'[7]BP-Men'!C115</f>
        <v>0</v>
      </c>
      <c r="D122" s="14" t="str">
        <f t="shared" si="1"/>
        <v>0</v>
      </c>
      <c r="E122" s="5">
        <f>'[7]BP-Men'!D115</f>
        <v>0</v>
      </c>
      <c r="F122" s="10">
        <f>'[7]BP-Men'!E115</f>
        <v>0</v>
      </c>
      <c r="G122" s="34">
        <f>'[7]BP-Men'!F115</f>
        <v>0</v>
      </c>
    </row>
    <row r="123" spans="1:7" x14ac:dyDescent="0.25">
      <c r="A123" s="1">
        <f>'[7]BP-Men'!A116</f>
        <v>56</v>
      </c>
      <c r="B123">
        <f>'[7]BP-Men'!B116</f>
        <v>0</v>
      </c>
      <c r="C123">
        <f>'[7]BP-Men'!C116</f>
        <v>0</v>
      </c>
      <c r="D123" s="14" t="str">
        <f t="shared" si="1"/>
        <v>0</v>
      </c>
      <c r="E123" s="5">
        <f>'[7]BP-Men'!D116</f>
        <v>0</v>
      </c>
      <c r="F123" s="10">
        <f>'[7]BP-Men'!E116</f>
        <v>0</v>
      </c>
      <c r="G123" s="34">
        <f>'[7]BP-Men'!F116</f>
        <v>0</v>
      </c>
    </row>
    <row r="124" spans="1:7" x14ac:dyDescent="0.25">
      <c r="A124" s="1">
        <f>'[7]BP-Men'!A117</f>
        <v>60</v>
      </c>
      <c r="B124">
        <f>'[7]BP-Men'!B117</f>
        <v>0</v>
      </c>
      <c r="C124">
        <f>'[7]BP-Men'!C117</f>
        <v>0</v>
      </c>
      <c r="D124" s="14" t="str">
        <f t="shared" si="1"/>
        <v>0</v>
      </c>
      <c r="E124" s="5">
        <f>'[7]BP-Men'!D117</f>
        <v>0</v>
      </c>
      <c r="F124" s="10">
        <f>'[7]BP-Men'!E117</f>
        <v>0</v>
      </c>
      <c r="G124" s="34">
        <f>'[7]BP-Men'!F117</f>
        <v>0</v>
      </c>
    </row>
    <row r="125" spans="1:7" x14ac:dyDescent="0.25">
      <c r="A125" s="1" t="str">
        <f>'[7]BP-Men'!A118</f>
        <v>67.5</v>
      </c>
      <c r="B125">
        <f>'[7]BP-Men'!B118</f>
        <v>130</v>
      </c>
      <c r="C125" t="str">
        <f>'[7]BP-Men'!C118</f>
        <v>Алампиев Сергей/57</v>
      </c>
      <c r="D125" s="14" t="str">
        <f t="shared" si="1"/>
        <v>57</v>
      </c>
      <c r="E125" s="5" t="str">
        <f>'[7]BP-Men'!D118</f>
        <v>Шахты</v>
      </c>
      <c r="F125" s="10">
        <f>'[7]BP-Men'!E118</f>
        <v>40258</v>
      </c>
      <c r="G125" s="34" t="str">
        <f>'[7]BP-Men'!F118</f>
        <v>Курск</v>
      </c>
    </row>
    <row r="126" spans="1:7" x14ac:dyDescent="0.25">
      <c r="A126" s="1">
        <f>'[7]BP-Men'!A119</f>
        <v>75</v>
      </c>
      <c r="B126">
        <f>'[7]BP-Men'!B119</f>
        <v>125</v>
      </c>
      <c r="C126" t="str">
        <f>'[7]BP-Men'!C119</f>
        <v>Алампиев Сергей/57</v>
      </c>
      <c r="D126" s="14" t="str">
        <f t="shared" si="1"/>
        <v>57</v>
      </c>
      <c r="E126" s="5" t="str">
        <f>'[7]BP-Men'!D119</f>
        <v>Шахты</v>
      </c>
      <c r="F126" s="10">
        <f>'[7]BP-Men'!E119</f>
        <v>39873</v>
      </c>
      <c r="G126" s="34" t="str">
        <f>'[7]BP-Men'!F119</f>
        <v>Челябинск</v>
      </c>
    </row>
    <row r="127" spans="1:7" x14ac:dyDescent="0.25">
      <c r="A127" s="1" t="str">
        <f>'[7]BP-Men'!A120</f>
        <v>82.5</v>
      </c>
      <c r="B127">
        <f>'[7]BP-Men'!B120</f>
        <v>195.5</v>
      </c>
      <c r="C127" t="str">
        <f>'[7]BP-Men'!C120</f>
        <v>Решетников Владимир/60</v>
      </c>
      <c r="D127" s="14" t="str">
        <f t="shared" si="1"/>
        <v>60</v>
      </c>
      <c r="E127" s="5" t="str">
        <f>'[7]BP-Men'!D120</f>
        <v>Киров</v>
      </c>
      <c r="F127" s="10">
        <f>'[7]BP-Men'!E120</f>
        <v>40409</v>
      </c>
      <c r="G127" s="34" t="str">
        <f>'[7]BP-Men'!F120</f>
        <v>Москва</v>
      </c>
    </row>
    <row r="128" spans="1:7" x14ac:dyDescent="0.25">
      <c r="A128" s="1">
        <f>'[7]BP-Men'!A121</f>
        <v>90</v>
      </c>
      <c r="B128">
        <f>'[7]BP-Men'!B121</f>
        <v>150</v>
      </c>
      <c r="C128" t="str">
        <f>'[7]BP-Men'!C121</f>
        <v>Муран Владимир/57</v>
      </c>
      <c r="D128" s="14" t="str">
        <f t="shared" si="1"/>
        <v>57</v>
      </c>
      <c r="E128" s="5" t="str">
        <f>'[7]BP-Men'!D121</f>
        <v>Ростов</v>
      </c>
      <c r="F128" s="10">
        <f>'[7]BP-Men'!E121</f>
        <v>39312</v>
      </c>
      <c r="G128" s="34" t="str">
        <f>'[7]BP-Men'!F121</f>
        <v>Курск</v>
      </c>
    </row>
    <row r="129" spans="1:7" x14ac:dyDescent="0.25">
      <c r="A129" s="1">
        <f>'[7]BP-Men'!A122</f>
        <v>100</v>
      </c>
      <c r="B129">
        <f>'[7]BP-Men'!B122</f>
        <v>205</v>
      </c>
      <c r="C129" t="str">
        <f>'[7]BP-Men'!C122</f>
        <v>Акентьев Валерий/58</v>
      </c>
      <c r="D129" s="14" t="str">
        <f t="shared" si="1"/>
        <v>58</v>
      </c>
      <c r="E129" s="5" t="str">
        <f>'[7]BP-Men'!D122</f>
        <v>Ухта</v>
      </c>
      <c r="F129" s="10">
        <f>'[7]BP-Men'!E122</f>
        <v>41068</v>
      </c>
      <c r="G129" s="34" t="str">
        <f>'[7]BP-Men'!F122</f>
        <v>Москва</v>
      </c>
    </row>
    <row r="130" spans="1:7" x14ac:dyDescent="0.25">
      <c r="A130" s="1">
        <f>'[7]BP-Men'!A123</f>
        <v>110</v>
      </c>
      <c r="B130">
        <f>'[7]BP-Men'!B123</f>
        <v>250</v>
      </c>
      <c r="C130" t="str">
        <f>'[7]BP-Men'!C123</f>
        <v>Яговкин Павел/59</v>
      </c>
      <c r="D130" s="14" t="str">
        <f t="shared" si="1"/>
        <v>59</v>
      </c>
      <c r="E130" s="5" t="str">
        <f>'[7]BP-Men'!D123</f>
        <v>Пермь</v>
      </c>
      <c r="F130" s="10">
        <f>'[7]BP-Men'!E123</f>
        <v>40258</v>
      </c>
      <c r="G130" s="34" t="str">
        <f>'[7]BP-Men'!F123</f>
        <v>Курск</v>
      </c>
    </row>
    <row r="131" spans="1:7" x14ac:dyDescent="0.25">
      <c r="A131" s="1">
        <f>'[7]BP-Men'!A124</f>
        <v>125</v>
      </c>
      <c r="B131">
        <f>'[7]BP-Men'!B124</f>
        <v>265</v>
      </c>
      <c r="C131" t="str">
        <f>'[7]BP-Men'!C124</f>
        <v>Яговкин Павел/59</v>
      </c>
      <c r="D131" s="14" t="str">
        <f t="shared" si="1"/>
        <v>59</v>
      </c>
      <c r="E131" s="5" t="str">
        <f>'[7]BP-Men'!D124</f>
        <v>Пермь</v>
      </c>
      <c r="F131" s="10">
        <f>'[7]BP-Men'!E124</f>
        <v>41321</v>
      </c>
      <c r="G131" s="34" t="str">
        <f>'[7]BP-Men'!F124</f>
        <v>Екатеринбург</v>
      </c>
    </row>
    <row r="132" spans="1:7" x14ac:dyDescent="0.25">
      <c r="A132" s="1">
        <f>'[7]BP-Men'!A125</f>
        <v>140</v>
      </c>
      <c r="B132">
        <f>'[7]BP-Men'!B125</f>
        <v>0</v>
      </c>
      <c r="C132">
        <f>'[7]BP-Men'!C125</f>
        <v>0</v>
      </c>
      <c r="D132" s="14" t="str">
        <f t="shared" si="1"/>
        <v>0</v>
      </c>
      <c r="E132" s="5">
        <f>'[7]BP-Men'!D125</f>
        <v>0</v>
      </c>
      <c r="F132" s="10">
        <f>'[7]BP-Men'!E125</f>
        <v>0</v>
      </c>
      <c r="G132" s="34">
        <f>'[7]BP-Men'!F125</f>
        <v>0</v>
      </c>
    </row>
    <row r="133" spans="1:7" x14ac:dyDescent="0.25">
      <c r="A133" s="1" t="str">
        <f>'[7]BP-Men'!A126</f>
        <v>140+</v>
      </c>
      <c r="B133">
        <f>'[7]BP-Men'!B126</f>
        <v>0</v>
      </c>
      <c r="C133">
        <f>'[7]BP-Men'!C126</f>
        <v>0</v>
      </c>
      <c r="D133" s="14" t="str">
        <f t="shared" si="1"/>
        <v>0</v>
      </c>
      <c r="E133" s="5">
        <f>'[7]BP-Men'!D126</f>
        <v>0</v>
      </c>
      <c r="F133" s="10">
        <f>'[7]BP-Men'!E126</f>
        <v>0</v>
      </c>
      <c r="G133" s="34">
        <f>'[7]BP-Men'!F126</f>
        <v>0</v>
      </c>
    </row>
    <row r="134" spans="1:7" x14ac:dyDescent="0.25">
      <c r="B134">
        <f>'[7]BP-Men'!B127</f>
        <v>0</v>
      </c>
      <c r="C134">
        <f>'[7]BP-Men'!C127</f>
        <v>0</v>
      </c>
      <c r="E134" s="5">
        <f>'[7]BP-Men'!D127</f>
        <v>0</v>
      </c>
      <c r="F134" s="10">
        <f>'[7]BP-Men'!E127</f>
        <v>0</v>
      </c>
      <c r="G134" s="34">
        <f>'[7]BP-Men'!F127</f>
        <v>0</v>
      </c>
    </row>
    <row r="135" spans="1:7" s="11" customFormat="1" x14ac:dyDescent="0.25">
      <c r="A135" s="22" t="s">
        <v>0</v>
      </c>
      <c r="B135" s="11">
        <v>1</v>
      </c>
      <c r="C135" s="11">
        <v>55</v>
      </c>
      <c r="D135" s="11" t="str">
        <f>'[7]BP-Men'!B128</f>
        <v>МУЖЧИНЫ - МАСТЕРС  4(55 - 59)</v>
      </c>
      <c r="E135" s="21"/>
      <c r="F135" s="13"/>
      <c r="G135" s="35"/>
    </row>
    <row r="136" spans="1:7" x14ac:dyDescent="0.25">
      <c r="A136" s="1">
        <f>'[7]BP-Men'!A129</f>
        <v>52</v>
      </c>
      <c r="B136">
        <f>'[7]BP-Men'!B129</f>
        <v>0</v>
      </c>
      <c r="C136">
        <f>'[7]BP-Men'!C129</f>
        <v>0</v>
      </c>
      <c r="D136" s="14" t="str">
        <f t="shared" si="1"/>
        <v>0</v>
      </c>
      <c r="E136" s="5">
        <f>'[7]BP-Men'!D129</f>
        <v>0</v>
      </c>
      <c r="F136" s="10">
        <f>'[7]BP-Men'!E129</f>
        <v>0</v>
      </c>
      <c r="G136" s="34">
        <f>'[7]BP-Men'!F129</f>
        <v>0</v>
      </c>
    </row>
    <row r="137" spans="1:7" x14ac:dyDescent="0.25">
      <c r="A137" s="1">
        <f>'[7]BP-Men'!A130</f>
        <v>56</v>
      </c>
      <c r="B137">
        <f>'[7]BP-Men'!B130</f>
        <v>0</v>
      </c>
      <c r="C137">
        <f>'[7]BP-Men'!C130</f>
        <v>0</v>
      </c>
      <c r="D137" s="14" t="str">
        <f t="shared" si="1"/>
        <v>0</v>
      </c>
      <c r="E137" s="5">
        <f>'[7]BP-Men'!D130</f>
        <v>0</v>
      </c>
      <c r="F137" s="10">
        <f>'[7]BP-Men'!E130</f>
        <v>0</v>
      </c>
      <c r="G137" s="34">
        <f>'[7]BP-Men'!F130</f>
        <v>0</v>
      </c>
    </row>
    <row r="138" spans="1:7" x14ac:dyDescent="0.25">
      <c r="A138" s="1">
        <f>'[7]BP-Men'!A131</f>
        <v>60</v>
      </c>
      <c r="B138">
        <f>'[7]BP-Men'!B131</f>
        <v>0</v>
      </c>
      <c r="C138">
        <f>'[7]BP-Men'!C131</f>
        <v>0</v>
      </c>
      <c r="D138" s="14" t="str">
        <f t="shared" ref="D138:D178" si="4">RIGHT(C138,2)</f>
        <v>0</v>
      </c>
      <c r="E138" s="5">
        <f>'[7]BP-Men'!D131</f>
        <v>0</v>
      </c>
      <c r="F138" s="10">
        <f>'[7]BP-Men'!E131</f>
        <v>0</v>
      </c>
      <c r="G138" s="34">
        <f>'[7]BP-Men'!F131</f>
        <v>0</v>
      </c>
    </row>
    <row r="139" spans="1:7" x14ac:dyDescent="0.25">
      <c r="A139" s="1">
        <f>'[7]BP-Men'!A132</f>
        <v>67.5</v>
      </c>
      <c r="B139">
        <f>'[7]BP-Men'!B132</f>
        <v>0</v>
      </c>
      <c r="C139">
        <f>'[7]BP-Men'!C132</f>
        <v>0</v>
      </c>
      <c r="D139" s="14" t="str">
        <f t="shared" si="4"/>
        <v>0</v>
      </c>
      <c r="E139" s="5">
        <f>'[7]BP-Men'!D132</f>
        <v>0</v>
      </c>
      <c r="F139" s="10">
        <f>'[7]BP-Men'!E132</f>
        <v>0</v>
      </c>
      <c r="G139" s="34">
        <f>'[7]BP-Men'!F132</f>
        <v>0</v>
      </c>
    </row>
    <row r="140" spans="1:7" x14ac:dyDescent="0.25">
      <c r="A140" s="1">
        <f>'[7]BP-Men'!A133</f>
        <v>75</v>
      </c>
      <c r="B140">
        <f>'[7]BP-Men'!B133</f>
        <v>0</v>
      </c>
      <c r="C140">
        <f>'[7]BP-Men'!C133</f>
        <v>0</v>
      </c>
      <c r="D140" s="14" t="str">
        <f t="shared" si="4"/>
        <v>0</v>
      </c>
      <c r="E140" s="5">
        <f>'[7]BP-Men'!D133</f>
        <v>0</v>
      </c>
      <c r="F140" s="10">
        <f>'[7]BP-Men'!E133</f>
        <v>0</v>
      </c>
      <c r="G140" s="34">
        <f>'[7]BP-Men'!F133</f>
        <v>0</v>
      </c>
    </row>
    <row r="141" spans="1:7" x14ac:dyDescent="0.25">
      <c r="A141" s="1">
        <f>'[7]BP-Men'!A134</f>
        <v>82.5</v>
      </c>
      <c r="B141">
        <f>'[7]BP-Men'!B134</f>
        <v>0</v>
      </c>
      <c r="C141">
        <f>'[7]BP-Men'!C134</f>
        <v>0</v>
      </c>
      <c r="D141" s="14" t="str">
        <f t="shared" si="4"/>
        <v>0</v>
      </c>
      <c r="E141" s="5">
        <f>'[7]BP-Men'!D134</f>
        <v>0</v>
      </c>
      <c r="F141" s="10">
        <f>'[7]BP-Men'!E134</f>
        <v>0</v>
      </c>
      <c r="G141" s="34">
        <f>'[7]BP-Men'!F134</f>
        <v>0</v>
      </c>
    </row>
    <row r="142" spans="1:7" x14ac:dyDescent="0.25">
      <c r="A142" s="1">
        <f>'[7]BP-Men'!A135</f>
        <v>90</v>
      </c>
      <c r="B142">
        <f>'[7]BP-Men'!B135</f>
        <v>0</v>
      </c>
      <c r="C142">
        <f>'[7]BP-Men'!C135</f>
        <v>0</v>
      </c>
      <c r="D142" s="14" t="str">
        <f t="shared" si="4"/>
        <v>0</v>
      </c>
      <c r="E142" s="5">
        <f>'[7]BP-Men'!D135</f>
        <v>0</v>
      </c>
      <c r="F142" s="10">
        <f>'[7]BP-Men'!E135</f>
        <v>0</v>
      </c>
      <c r="G142" s="34">
        <f>'[7]BP-Men'!F135</f>
        <v>0</v>
      </c>
    </row>
    <row r="143" spans="1:7" x14ac:dyDescent="0.25">
      <c r="A143" s="1">
        <f>'[7]BP-Men'!A136</f>
        <v>100</v>
      </c>
      <c r="B143">
        <f>'[7]BP-Men'!B136</f>
        <v>0</v>
      </c>
      <c r="C143">
        <f>'[7]BP-Men'!C136</f>
        <v>0</v>
      </c>
      <c r="D143" s="14" t="str">
        <f t="shared" si="4"/>
        <v>0</v>
      </c>
      <c r="E143" s="5">
        <f>'[7]BP-Men'!D136</f>
        <v>0</v>
      </c>
      <c r="F143" s="10">
        <f>'[7]BP-Men'!E136</f>
        <v>0</v>
      </c>
      <c r="G143" s="34">
        <f>'[7]BP-Men'!F136</f>
        <v>0</v>
      </c>
    </row>
    <row r="144" spans="1:7" x14ac:dyDescent="0.25">
      <c r="A144" s="1">
        <f>'[7]BP-Men'!A137</f>
        <v>110</v>
      </c>
      <c r="B144">
        <f>'[7]BP-Men'!B137</f>
        <v>215</v>
      </c>
      <c r="C144" t="str">
        <f>'[7]BP-Men'!C137</f>
        <v>Егозарян Грачик/52</v>
      </c>
      <c r="D144" s="14" t="str">
        <f t="shared" si="4"/>
        <v>52</v>
      </c>
      <c r="E144" s="5" t="str">
        <f>'[7]BP-Men'!D137</f>
        <v>Волгоград</v>
      </c>
      <c r="F144" s="10">
        <f>'[7]BP-Men'!E137</f>
        <v>40409</v>
      </c>
      <c r="G144" s="34" t="str">
        <f>'[7]BP-Men'!F137</f>
        <v>Москва</v>
      </c>
    </row>
    <row r="145" spans="1:7" x14ac:dyDescent="0.25">
      <c r="A145" s="1">
        <f>'[7]BP-Men'!A138</f>
        <v>125</v>
      </c>
      <c r="B145">
        <f>'[7]BP-Men'!B138</f>
        <v>0</v>
      </c>
      <c r="C145">
        <f>'[7]BP-Men'!C138</f>
        <v>0</v>
      </c>
      <c r="D145" s="14" t="str">
        <f t="shared" si="4"/>
        <v>0</v>
      </c>
      <c r="E145" s="5">
        <f>'[7]BP-Men'!D138</f>
        <v>0</v>
      </c>
      <c r="F145" s="10">
        <f>'[7]BP-Men'!E138</f>
        <v>0</v>
      </c>
      <c r="G145" s="34">
        <f>'[7]BP-Men'!F138</f>
        <v>0</v>
      </c>
    </row>
    <row r="146" spans="1:7" x14ac:dyDescent="0.25">
      <c r="A146" s="1">
        <f>'[7]BP-Men'!A139</f>
        <v>140</v>
      </c>
      <c r="B146">
        <f>'[7]BP-Men'!B139</f>
        <v>0</v>
      </c>
      <c r="C146">
        <f>'[7]BP-Men'!C139</f>
        <v>0</v>
      </c>
      <c r="D146" s="14" t="str">
        <f t="shared" si="4"/>
        <v>0</v>
      </c>
      <c r="E146" s="5">
        <f>'[7]BP-Men'!D139</f>
        <v>0</v>
      </c>
      <c r="F146" s="10">
        <f>'[7]BP-Men'!E139</f>
        <v>0</v>
      </c>
      <c r="G146" s="34">
        <f>'[7]BP-Men'!F139</f>
        <v>0</v>
      </c>
    </row>
    <row r="147" spans="1:7" x14ac:dyDescent="0.25">
      <c r="A147" s="1" t="str">
        <f>'[7]BP-Men'!A140</f>
        <v>140+</v>
      </c>
      <c r="B147">
        <f>'[7]BP-Men'!B140</f>
        <v>0</v>
      </c>
      <c r="C147">
        <f>'[7]BP-Men'!C140</f>
        <v>0</v>
      </c>
      <c r="D147" s="14" t="str">
        <f t="shared" si="4"/>
        <v>0</v>
      </c>
      <c r="E147" s="5">
        <f>'[7]BP-Men'!D140</f>
        <v>0</v>
      </c>
      <c r="F147" s="10">
        <f>'[7]BP-Men'!E140</f>
        <v>0</v>
      </c>
      <c r="G147" s="34">
        <f>'[7]BP-Men'!F140</f>
        <v>0</v>
      </c>
    </row>
    <row r="148" spans="1:7" x14ac:dyDescent="0.25">
      <c r="B148">
        <f>'[7]BP-Men'!B141</f>
        <v>0</v>
      </c>
      <c r="C148">
        <f>'[7]BP-Men'!C141</f>
        <v>0</v>
      </c>
      <c r="E148" s="5">
        <f>'[7]BP-Men'!D141</f>
        <v>0</v>
      </c>
      <c r="F148" s="10">
        <f>'[7]BP-Men'!E141</f>
        <v>0</v>
      </c>
      <c r="G148" s="34">
        <f>'[7]BP-Men'!F141</f>
        <v>0</v>
      </c>
    </row>
    <row r="149" spans="1:7" s="11" customFormat="1" x14ac:dyDescent="0.25">
      <c r="A149" s="22" t="s">
        <v>0</v>
      </c>
      <c r="B149" s="11">
        <v>1</v>
      </c>
      <c r="C149" s="11">
        <v>60</v>
      </c>
      <c r="D149" s="11" t="str">
        <f>'[7]BP-Men'!B142</f>
        <v>МУЖЧИНЫ - МАСТЕРС  5(60 - 64)</v>
      </c>
      <c r="E149" s="21"/>
      <c r="F149" s="13"/>
      <c r="G149" s="35"/>
    </row>
    <row r="150" spans="1:7" x14ac:dyDescent="0.25">
      <c r="A150" s="1">
        <f>'[7]BP-Men'!A143</f>
        <v>52</v>
      </c>
      <c r="B150">
        <f>'[7]BP-Men'!B143</f>
        <v>0</v>
      </c>
      <c r="C150">
        <f>'[7]BP-Men'!C143</f>
        <v>0</v>
      </c>
      <c r="D150" s="14" t="str">
        <f t="shared" si="4"/>
        <v>0</v>
      </c>
      <c r="E150" s="5">
        <f>'[7]BP-Men'!D143</f>
        <v>0</v>
      </c>
      <c r="F150" s="10">
        <f>'[7]BP-Men'!E143</f>
        <v>0</v>
      </c>
      <c r="G150" s="34">
        <f>'[7]BP-Men'!F143</f>
        <v>0</v>
      </c>
    </row>
    <row r="151" spans="1:7" x14ac:dyDescent="0.25">
      <c r="A151" s="1">
        <f>'[7]BP-Men'!A144</f>
        <v>56</v>
      </c>
      <c r="B151">
        <f>'[7]BP-Men'!B144</f>
        <v>0</v>
      </c>
      <c r="C151">
        <f>'[7]BP-Men'!C144</f>
        <v>0</v>
      </c>
      <c r="D151" s="14" t="str">
        <f t="shared" si="4"/>
        <v>0</v>
      </c>
      <c r="E151" s="5">
        <f>'[7]BP-Men'!D144</f>
        <v>0</v>
      </c>
      <c r="F151" s="10">
        <f>'[7]BP-Men'!E144</f>
        <v>0</v>
      </c>
      <c r="G151" s="34">
        <f>'[7]BP-Men'!F144</f>
        <v>0</v>
      </c>
    </row>
    <row r="152" spans="1:7" x14ac:dyDescent="0.25">
      <c r="A152" s="1">
        <f>'[7]BP-Men'!A145</f>
        <v>60</v>
      </c>
      <c r="B152">
        <f>'[7]BP-Men'!B145</f>
        <v>0</v>
      </c>
      <c r="C152">
        <f>'[7]BP-Men'!C145</f>
        <v>0</v>
      </c>
      <c r="D152" s="14" t="str">
        <f t="shared" si="4"/>
        <v>0</v>
      </c>
      <c r="E152" s="5">
        <f>'[7]BP-Men'!D145</f>
        <v>0</v>
      </c>
      <c r="F152" s="10">
        <f>'[7]BP-Men'!E145</f>
        <v>0</v>
      </c>
      <c r="G152" s="34">
        <f>'[7]BP-Men'!F145</f>
        <v>0</v>
      </c>
    </row>
    <row r="153" spans="1:7" x14ac:dyDescent="0.25">
      <c r="A153" s="1">
        <f>'[7]BP-Men'!A146</f>
        <v>67.5</v>
      </c>
      <c r="B153">
        <f>'[7]BP-Men'!B146</f>
        <v>0</v>
      </c>
      <c r="C153">
        <f>'[7]BP-Men'!C146</f>
        <v>0</v>
      </c>
      <c r="D153" s="14" t="str">
        <f t="shared" si="4"/>
        <v>0</v>
      </c>
      <c r="E153" s="5">
        <f>'[7]BP-Men'!D146</f>
        <v>0</v>
      </c>
      <c r="F153" s="10">
        <f>'[7]BP-Men'!E146</f>
        <v>0</v>
      </c>
      <c r="G153" s="34">
        <f>'[7]BP-Men'!F146</f>
        <v>0</v>
      </c>
    </row>
    <row r="154" spans="1:7" x14ac:dyDescent="0.25">
      <c r="A154" s="1">
        <f>'[7]BP-Men'!A147</f>
        <v>75</v>
      </c>
      <c r="B154">
        <f>'[7]BP-Men'!B147</f>
        <v>0</v>
      </c>
      <c r="C154">
        <f>'[7]BP-Men'!C147</f>
        <v>0</v>
      </c>
      <c r="D154" s="14" t="str">
        <f t="shared" si="4"/>
        <v>0</v>
      </c>
      <c r="E154" s="5">
        <f>'[7]BP-Men'!D147</f>
        <v>0</v>
      </c>
      <c r="F154" s="10">
        <f>'[7]BP-Men'!E147</f>
        <v>0</v>
      </c>
      <c r="G154" s="34">
        <f>'[7]BP-Men'!F147</f>
        <v>0</v>
      </c>
    </row>
    <row r="155" spans="1:7" x14ac:dyDescent="0.25">
      <c r="A155" s="1">
        <f>'[7]BP-Men'!A148</f>
        <v>82.5</v>
      </c>
      <c r="B155">
        <f>'[7]BP-Men'!B148</f>
        <v>0</v>
      </c>
      <c r="C155">
        <f>'[7]BP-Men'!C148</f>
        <v>0</v>
      </c>
      <c r="D155" s="14" t="str">
        <f t="shared" si="4"/>
        <v>0</v>
      </c>
      <c r="E155" s="5">
        <f>'[7]BP-Men'!D148</f>
        <v>0</v>
      </c>
      <c r="F155" s="10">
        <f>'[7]BP-Men'!E148</f>
        <v>0</v>
      </c>
      <c r="G155" s="34">
        <f>'[7]BP-Men'!F148</f>
        <v>0</v>
      </c>
    </row>
    <row r="156" spans="1:7" x14ac:dyDescent="0.25">
      <c r="A156" s="1">
        <f>'[7]BP-Men'!A149</f>
        <v>90</v>
      </c>
      <c r="B156">
        <f>'[7]BP-Men'!B149</f>
        <v>0</v>
      </c>
      <c r="C156">
        <f>'[7]BP-Men'!C149</f>
        <v>0</v>
      </c>
      <c r="D156" s="14" t="str">
        <f t="shared" si="4"/>
        <v>0</v>
      </c>
      <c r="E156" s="5">
        <f>'[7]BP-Men'!D149</f>
        <v>0</v>
      </c>
      <c r="F156" s="10">
        <f>'[7]BP-Men'!E149</f>
        <v>0</v>
      </c>
      <c r="G156" s="34">
        <f>'[7]BP-Men'!F149</f>
        <v>0</v>
      </c>
    </row>
    <row r="157" spans="1:7" x14ac:dyDescent="0.25">
      <c r="A157" s="1">
        <f>'[7]BP-Men'!A150</f>
        <v>100</v>
      </c>
      <c r="B157">
        <f>'[7]BP-Men'!B150</f>
        <v>107.5</v>
      </c>
      <c r="C157" t="str">
        <f>'[7]BP-Men'!C150</f>
        <v>Макеев Владимир/47</v>
      </c>
      <c r="D157" s="14" t="str">
        <f t="shared" si="4"/>
        <v>47</v>
      </c>
      <c r="E157" s="5" t="str">
        <f>'[7]BP-Men'!D150</f>
        <v xml:space="preserve">Курган </v>
      </c>
      <c r="F157" s="10">
        <f>'[7]BP-Men'!E150</f>
        <v>40454</v>
      </c>
      <c r="G157" s="34" t="str">
        <f>'[7]BP-Men'!F150</f>
        <v>Екатеринбург</v>
      </c>
    </row>
    <row r="158" spans="1:7" x14ac:dyDescent="0.25">
      <c r="A158" s="1">
        <f>'[7]BP-Men'!A151</f>
        <v>110</v>
      </c>
      <c r="B158">
        <f>'[7]BP-Men'!B151</f>
        <v>0</v>
      </c>
      <c r="C158">
        <f>'[7]BP-Men'!C151</f>
        <v>0</v>
      </c>
      <c r="D158" s="14" t="str">
        <f t="shared" si="4"/>
        <v>0</v>
      </c>
      <c r="E158" s="5">
        <f>'[7]BP-Men'!D151</f>
        <v>0</v>
      </c>
      <c r="F158" s="10">
        <f>'[7]BP-Men'!E151</f>
        <v>0</v>
      </c>
      <c r="G158" s="34">
        <f>'[7]BP-Men'!F151</f>
        <v>0</v>
      </c>
    </row>
    <row r="159" spans="1:7" x14ac:dyDescent="0.25">
      <c r="A159" s="1">
        <f>'[7]BP-Men'!A152</f>
        <v>125</v>
      </c>
      <c r="B159">
        <f>'[7]BP-Men'!B152</f>
        <v>200</v>
      </c>
      <c r="C159" t="str">
        <f>'[7]BP-Men'!C152</f>
        <v>Максимушкин Александр/50</v>
      </c>
      <c r="D159" s="14" t="str">
        <f t="shared" si="4"/>
        <v>50</v>
      </c>
      <c r="E159" s="5" t="str">
        <f>'[7]BP-Men'!D152</f>
        <v>Балахна</v>
      </c>
      <c r="F159" s="10" t="str">
        <f>'[7]BP-Men'!E152</f>
        <v>23.08.2014</v>
      </c>
      <c r="G159" s="34" t="str">
        <f>'[7]BP-Men'!F152</f>
        <v>Москва</v>
      </c>
    </row>
    <row r="160" spans="1:7" x14ac:dyDescent="0.25">
      <c r="A160" s="1">
        <f>'[7]BP-Men'!A153</f>
        <v>140</v>
      </c>
      <c r="B160">
        <f>'[7]BP-Men'!B153</f>
        <v>0</v>
      </c>
      <c r="C160">
        <f>'[7]BP-Men'!C153</f>
        <v>0</v>
      </c>
      <c r="D160" s="14" t="str">
        <f t="shared" si="4"/>
        <v>0</v>
      </c>
      <c r="E160" s="5">
        <f>'[7]BP-Men'!D153</f>
        <v>0</v>
      </c>
      <c r="F160" s="10">
        <f>'[7]BP-Men'!E153</f>
        <v>0</v>
      </c>
      <c r="G160" s="34">
        <f>'[7]BP-Men'!F153</f>
        <v>0</v>
      </c>
    </row>
    <row r="161" spans="1:7" x14ac:dyDescent="0.25">
      <c r="A161" s="1" t="str">
        <f>'[7]BP-Men'!A154</f>
        <v>140+</v>
      </c>
      <c r="B161">
        <f>'[7]BP-Men'!B154</f>
        <v>0</v>
      </c>
      <c r="C161">
        <f>'[7]BP-Men'!C154</f>
        <v>0</v>
      </c>
      <c r="D161" s="14" t="str">
        <f t="shared" si="4"/>
        <v>0</v>
      </c>
      <c r="E161" s="5">
        <f>'[7]BP-Men'!D154</f>
        <v>0</v>
      </c>
      <c r="F161" s="10">
        <f>'[7]BP-Men'!E154</f>
        <v>0</v>
      </c>
      <c r="G161" s="34">
        <f>'[7]BP-Men'!F154</f>
        <v>0</v>
      </c>
    </row>
    <row r="162" spans="1:7" x14ac:dyDescent="0.25">
      <c r="B162">
        <f>'[7]BP-Men'!B155</f>
        <v>0</v>
      </c>
      <c r="C162">
        <f>'[7]BP-Men'!C155</f>
        <v>0</v>
      </c>
      <c r="E162" s="5">
        <f>'[7]BP-Men'!D155</f>
        <v>0</v>
      </c>
      <c r="F162" s="10">
        <f>'[7]BP-Men'!E155</f>
        <v>0</v>
      </c>
      <c r="G162" s="34">
        <f>'[7]BP-Men'!F155</f>
        <v>0</v>
      </c>
    </row>
    <row r="163" spans="1:7" s="11" customFormat="1" x14ac:dyDescent="0.25">
      <c r="A163" s="22" t="s">
        <v>0</v>
      </c>
      <c r="B163" s="11">
        <v>1</v>
      </c>
      <c r="C163" s="11">
        <v>65</v>
      </c>
      <c r="D163" s="11" t="str">
        <f>'[7]BP-Men'!B156</f>
        <v>МУЖЧИНЫ - МАСТЕРС  6(65 - 69)</v>
      </c>
      <c r="E163" s="21"/>
      <c r="F163" s="13"/>
      <c r="G163" s="35"/>
    </row>
    <row r="164" spans="1:7" x14ac:dyDescent="0.25">
      <c r="A164" s="1">
        <f>'[7]BP-Men'!A157</f>
        <v>52</v>
      </c>
      <c r="B164">
        <f>'[7]BP-Men'!B157</f>
        <v>0</v>
      </c>
      <c r="C164">
        <f>'[7]BP-Men'!C157</f>
        <v>0</v>
      </c>
      <c r="D164" s="14" t="str">
        <f t="shared" si="4"/>
        <v>0</v>
      </c>
      <c r="E164" s="5">
        <f>'[7]BP-Men'!D157</f>
        <v>0</v>
      </c>
      <c r="F164" s="10">
        <f>'[7]BP-Men'!E157</f>
        <v>0</v>
      </c>
      <c r="G164" s="34">
        <f>'[7]BP-Men'!F157</f>
        <v>0</v>
      </c>
    </row>
    <row r="165" spans="1:7" x14ac:dyDescent="0.25">
      <c r="A165" s="1">
        <f>'[7]BP-Men'!A158</f>
        <v>56</v>
      </c>
      <c r="B165">
        <f>'[7]BP-Men'!B158</f>
        <v>0</v>
      </c>
      <c r="C165">
        <f>'[7]BP-Men'!C158</f>
        <v>0</v>
      </c>
      <c r="D165" s="14" t="str">
        <f t="shared" si="4"/>
        <v>0</v>
      </c>
      <c r="E165" s="5">
        <f>'[7]BP-Men'!D158</f>
        <v>0</v>
      </c>
      <c r="F165" s="10">
        <f>'[7]BP-Men'!E158</f>
        <v>0</v>
      </c>
      <c r="G165" s="34">
        <f>'[7]BP-Men'!F158</f>
        <v>0</v>
      </c>
    </row>
    <row r="166" spans="1:7" x14ac:dyDescent="0.25">
      <c r="A166" s="1">
        <f>'[7]BP-Men'!A159</f>
        <v>60</v>
      </c>
      <c r="B166">
        <f>'[7]BP-Men'!B159</f>
        <v>0</v>
      </c>
      <c r="C166">
        <f>'[7]BP-Men'!C159</f>
        <v>0</v>
      </c>
      <c r="D166" s="14" t="str">
        <f t="shared" si="4"/>
        <v>0</v>
      </c>
      <c r="E166" s="5">
        <f>'[7]BP-Men'!D159</f>
        <v>0</v>
      </c>
      <c r="F166" s="10">
        <f>'[7]BP-Men'!E159</f>
        <v>0</v>
      </c>
      <c r="G166" s="34">
        <f>'[7]BP-Men'!F159</f>
        <v>0</v>
      </c>
    </row>
    <row r="167" spans="1:7" x14ac:dyDescent="0.25">
      <c r="A167" s="1">
        <f>'[7]BP-Men'!A160</f>
        <v>67.5</v>
      </c>
      <c r="B167">
        <f>'[7]BP-Men'!B160</f>
        <v>0</v>
      </c>
      <c r="C167">
        <f>'[7]BP-Men'!C160</f>
        <v>0</v>
      </c>
      <c r="D167" s="14" t="str">
        <f t="shared" si="4"/>
        <v>0</v>
      </c>
      <c r="E167" s="5">
        <f>'[7]BP-Men'!D160</f>
        <v>0</v>
      </c>
      <c r="F167" s="10">
        <f>'[7]BP-Men'!E160</f>
        <v>0</v>
      </c>
      <c r="G167" s="34">
        <f>'[7]BP-Men'!F160</f>
        <v>0</v>
      </c>
    </row>
    <row r="168" spans="1:7" x14ac:dyDescent="0.25">
      <c r="A168" s="1">
        <f>'[7]BP-Men'!A161</f>
        <v>75</v>
      </c>
      <c r="B168">
        <f>'[7]BP-Men'!B161</f>
        <v>145</v>
      </c>
      <c r="C168" t="str">
        <f>'[7]BP-Men'!C161</f>
        <v>Петухов Евгений/38</v>
      </c>
      <c r="D168" s="14" t="str">
        <f t="shared" si="4"/>
        <v>38</v>
      </c>
      <c r="E168" s="5" t="str">
        <f>'[7]BP-Men'!D161</f>
        <v>Екатеринбург</v>
      </c>
      <c r="F168" s="10">
        <f>'[7]BP-Men'!E161</f>
        <v>39123</v>
      </c>
      <c r="G168" s="34" t="str">
        <f>'[7]BP-Men'!F161</f>
        <v>Челябинск</v>
      </c>
    </row>
    <row r="169" spans="1:7" x14ac:dyDescent="0.25">
      <c r="A169" s="1" t="str">
        <f>'[7]BP-Men'!A162</f>
        <v>82.5</v>
      </c>
      <c r="B169">
        <f>'[7]BP-Men'!B162</f>
        <v>112.5</v>
      </c>
      <c r="C169" t="str">
        <f>'[7]BP-Men'!C162</f>
        <v>Якушов Вячеслав/41</v>
      </c>
      <c r="D169" s="14" t="str">
        <f t="shared" si="4"/>
        <v>41</v>
      </c>
      <c r="E169" s="5" t="str">
        <f>'[7]BP-Men'!D162</f>
        <v>Курган</v>
      </c>
      <c r="F169" s="10">
        <f>'[7]BP-Men'!E162</f>
        <v>40454</v>
      </c>
      <c r="G169" s="34" t="str">
        <f>'[7]BP-Men'!F162</f>
        <v>Екатеринбург</v>
      </c>
    </row>
    <row r="170" spans="1:7" x14ac:dyDescent="0.25">
      <c r="A170" s="1">
        <f>'[7]BP-Men'!A163</f>
        <v>90</v>
      </c>
      <c r="B170">
        <f>'[7]BP-Men'!B163</f>
        <v>150</v>
      </c>
      <c r="C170" t="str">
        <f>'[7]BP-Men'!C163</f>
        <v>Андрианов Александр/44</v>
      </c>
      <c r="D170" s="14" t="str">
        <f t="shared" si="4"/>
        <v>44</v>
      </c>
      <c r="E170" s="5" t="str">
        <f>'[7]BP-Men'!D163</f>
        <v xml:space="preserve">Ростов </v>
      </c>
      <c r="F170" s="10">
        <f>'[7]BP-Men'!E163</f>
        <v>41137</v>
      </c>
      <c r="G170" s="34" t="str">
        <f>'[7]BP-Men'!F163</f>
        <v>Новосибирск</v>
      </c>
    </row>
    <row r="171" spans="1:7" x14ac:dyDescent="0.25">
      <c r="A171" s="1">
        <f>'[7]BP-Men'!A164</f>
        <v>100</v>
      </c>
      <c r="B171">
        <f>'[7]BP-Men'!B164</f>
        <v>0</v>
      </c>
      <c r="C171">
        <f>'[7]BP-Men'!C164</f>
        <v>0</v>
      </c>
      <c r="D171" s="14" t="str">
        <f t="shared" si="4"/>
        <v>0</v>
      </c>
      <c r="E171" s="5">
        <f>'[7]BP-Men'!D164</f>
        <v>0</v>
      </c>
      <c r="F171" s="10">
        <f>'[7]BP-Men'!E164</f>
        <v>0</v>
      </c>
      <c r="G171" s="34">
        <f>'[7]BP-Men'!F164</f>
        <v>0</v>
      </c>
    </row>
    <row r="172" spans="1:7" x14ac:dyDescent="0.25">
      <c r="A172" s="1">
        <f>'[7]BP-Men'!A165</f>
        <v>110</v>
      </c>
      <c r="B172">
        <f>'[7]BP-Men'!B165</f>
        <v>0</v>
      </c>
      <c r="C172">
        <f>'[7]BP-Men'!C165</f>
        <v>0</v>
      </c>
      <c r="D172" s="14" t="str">
        <f t="shared" si="4"/>
        <v>0</v>
      </c>
      <c r="E172" s="5">
        <f>'[7]BP-Men'!D165</f>
        <v>0</v>
      </c>
      <c r="F172" s="10">
        <f>'[7]BP-Men'!E165</f>
        <v>0</v>
      </c>
      <c r="G172" s="34">
        <f>'[7]BP-Men'!F165</f>
        <v>0</v>
      </c>
    </row>
    <row r="173" spans="1:7" x14ac:dyDescent="0.25">
      <c r="A173" s="1">
        <f>'[7]BP-Men'!A166</f>
        <v>125</v>
      </c>
      <c r="B173">
        <f>'[7]BP-Men'!B166</f>
        <v>0</v>
      </c>
      <c r="C173">
        <f>'[7]BP-Men'!C166</f>
        <v>0</v>
      </c>
      <c r="D173" s="14" t="str">
        <f t="shared" si="4"/>
        <v>0</v>
      </c>
      <c r="E173" s="5">
        <f>'[7]BP-Men'!D166</f>
        <v>0</v>
      </c>
      <c r="F173" s="10">
        <f>'[7]BP-Men'!E166</f>
        <v>0</v>
      </c>
      <c r="G173" s="34">
        <f>'[7]BP-Men'!F166</f>
        <v>0</v>
      </c>
    </row>
    <row r="174" spans="1:7" x14ac:dyDescent="0.25">
      <c r="A174" s="1">
        <f>'[7]BP-Men'!A167</f>
        <v>140</v>
      </c>
      <c r="B174">
        <f>'[7]BP-Men'!B167</f>
        <v>0</v>
      </c>
      <c r="C174">
        <f>'[7]BP-Men'!C167</f>
        <v>0</v>
      </c>
      <c r="D174" s="14" t="str">
        <f t="shared" si="4"/>
        <v>0</v>
      </c>
      <c r="E174" s="5">
        <f>'[7]BP-Men'!D167</f>
        <v>0</v>
      </c>
      <c r="F174" s="10">
        <f>'[7]BP-Men'!E167</f>
        <v>0</v>
      </c>
      <c r="G174" s="34">
        <f>'[7]BP-Men'!F167</f>
        <v>0</v>
      </c>
    </row>
    <row r="175" spans="1:7" x14ac:dyDescent="0.25">
      <c r="A175" s="1" t="str">
        <f>'[7]BP-Men'!A168</f>
        <v>140+</v>
      </c>
      <c r="B175">
        <f>'[7]BP-Men'!B168</f>
        <v>0</v>
      </c>
      <c r="C175">
        <f>'[7]BP-Men'!C168</f>
        <v>0</v>
      </c>
      <c r="D175" s="14" t="str">
        <f t="shared" si="4"/>
        <v>0</v>
      </c>
      <c r="E175" s="5">
        <f>'[7]BP-Men'!D168</f>
        <v>0</v>
      </c>
      <c r="F175" s="10">
        <f>'[7]BP-Men'!E168</f>
        <v>0</v>
      </c>
      <c r="G175" s="34">
        <f>'[7]BP-Men'!F168</f>
        <v>0</v>
      </c>
    </row>
    <row r="176" spans="1:7" x14ac:dyDescent="0.25">
      <c r="B176">
        <f>'[7]BP-Men'!B169</f>
        <v>0</v>
      </c>
      <c r="C176">
        <f>'[7]BP-Men'!C169</f>
        <v>0</v>
      </c>
      <c r="E176" s="5">
        <f>'[7]BP-Men'!D169</f>
        <v>0</v>
      </c>
      <c r="F176" s="10">
        <f>'[7]BP-Men'!E169</f>
        <v>0</v>
      </c>
      <c r="G176" s="34">
        <f>'[7]BP-Men'!F169</f>
        <v>0</v>
      </c>
    </row>
    <row r="177" spans="1:7" s="11" customFormat="1" x14ac:dyDescent="0.25">
      <c r="A177" s="22" t="s">
        <v>0</v>
      </c>
      <c r="B177" s="11">
        <v>1</v>
      </c>
      <c r="C177" s="11">
        <v>70</v>
      </c>
      <c r="D177" s="11" t="str">
        <f>'[7]BP-Men'!B170</f>
        <v>МУЖЧИНЫ - МАСТЕРС  7(70 - 74)</v>
      </c>
      <c r="E177" s="21"/>
      <c r="F177" s="13"/>
      <c r="G177" s="35"/>
    </row>
    <row r="178" spans="1:7" x14ac:dyDescent="0.25">
      <c r="A178" s="1">
        <f>'[7]BP-Men'!A171</f>
        <v>52</v>
      </c>
      <c r="B178">
        <f>'[7]BP-Men'!B171</f>
        <v>0</v>
      </c>
      <c r="C178">
        <f>'[7]BP-Men'!C171</f>
        <v>0</v>
      </c>
      <c r="D178" s="14" t="str">
        <f t="shared" si="4"/>
        <v>0</v>
      </c>
      <c r="E178" s="5">
        <f>'[7]BP-Men'!D171</f>
        <v>0</v>
      </c>
      <c r="F178" s="10">
        <f>'[7]BP-Men'!E171</f>
        <v>0</v>
      </c>
      <c r="G178" s="34">
        <f>'[7]BP-Men'!F171</f>
        <v>0</v>
      </c>
    </row>
    <row r="179" spans="1:7" x14ac:dyDescent="0.25">
      <c r="A179" s="1">
        <f>'[7]BP-Men'!A172</f>
        <v>56</v>
      </c>
      <c r="B179">
        <f>'[7]BP-Men'!B172</f>
        <v>0</v>
      </c>
      <c r="C179">
        <f>'[7]BP-Men'!C172</f>
        <v>0</v>
      </c>
      <c r="D179" s="14" t="str">
        <f t="shared" ref="D179:D206" si="5">RIGHT(C179,2)</f>
        <v>0</v>
      </c>
      <c r="E179" s="5">
        <f>'[7]BP-Men'!D172</f>
        <v>0</v>
      </c>
      <c r="F179" s="10">
        <f>'[7]BP-Men'!E172</f>
        <v>0</v>
      </c>
      <c r="G179" s="34">
        <f>'[7]BP-Men'!F172</f>
        <v>0</v>
      </c>
    </row>
    <row r="180" spans="1:7" x14ac:dyDescent="0.25">
      <c r="A180" s="1">
        <f>'[7]BP-Men'!A173</f>
        <v>60</v>
      </c>
      <c r="B180">
        <f>'[7]BP-Men'!B173</f>
        <v>0</v>
      </c>
      <c r="C180">
        <f>'[7]BP-Men'!C173</f>
        <v>0</v>
      </c>
      <c r="D180" s="14" t="str">
        <f t="shared" si="5"/>
        <v>0</v>
      </c>
      <c r="E180" s="5">
        <f>'[7]BP-Men'!D173</f>
        <v>0</v>
      </c>
      <c r="F180" s="10">
        <f>'[7]BP-Men'!E173</f>
        <v>0</v>
      </c>
      <c r="G180" s="34">
        <f>'[7]BP-Men'!F173</f>
        <v>0</v>
      </c>
    </row>
    <row r="181" spans="1:7" x14ac:dyDescent="0.25">
      <c r="A181" s="1" t="str">
        <f>'[7]BP-Men'!A174</f>
        <v>67.5</v>
      </c>
      <c r="B181">
        <f>'[7]BP-Men'!B174</f>
        <v>100</v>
      </c>
      <c r="C181" t="str">
        <f>'[7]BP-Men'!C174</f>
        <v>Ким Мирон/41</v>
      </c>
      <c r="D181" s="14" t="str">
        <f t="shared" si="5"/>
        <v>41</v>
      </c>
      <c r="E181" s="5" t="str">
        <f>'[7]BP-Men'!D174</f>
        <v>Москва</v>
      </c>
      <c r="F181" s="10">
        <f>'[7]BP-Men'!E174</f>
        <v>41068</v>
      </c>
      <c r="G181" s="34" t="str">
        <f>'[7]BP-Men'!F174</f>
        <v>Москва</v>
      </c>
    </row>
    <row r="182" spans="1:7" x14ac:dyDescent="0.25">
      <c r="A182" s="1">
        <f>'[7]BP-Men'!A175</f>
        <v>75</v>
      </c>
      <c r="B182">
        <f>'[7]BP-Men'!B175</f>
        <v>0</v>
      </c>
      <c r="C182">
        <f>'[7]BP-Men'!C175</f>
        <v>0</v>
      </c>
      <c r="D182" s="14" t="str">
        <f t="shared" si="5"/>
        <v>0</v>
      </c>
      <c r="E182" s="5">
        <f>'[7]BP-Men'!D175</f>
        <v>0</v>
      </c>
      <c r="F182" s="10">
        <f>'[7]BP-Men'!E175</f>
        <v>0</v>
      </c>
      <c r="G182" s="34">
        <f>'[7]BP-Men'!F175</f>
        <v>0</v>
      </c>
    </row>
    <row r="183" spans="1:7" x14ac:dyDescent="0.25">
      <c r="A183" s="1">
        <f>'[7]BP-Men'!A176</f>
        <v>82.5</v>
      </c>
      <c r="B183">
        <f>'[7]BP-Men'!B176</f>
        <v>97.5</v>
      </c>
      <c r="C183" t="str">
        <f>'[7]BP-Men'!C176</f>
        <v>Санников Владислав/38</v>
      </c>
      <c r="D183" s="14" t="str">
        <f t="shared" si="5"/>
        <v>38</v>
      </c>
      <c r="E183" s="5" t="str">
        <f>'[7]BP-Men'!D176</f>
        <v>Королев</v>
      </c>
      <c r="F183" s="10">
        <f>'[7]BP-Men'!E176</f>
        <v>41068</v>
      </c>
      <c r="G183" s="34" t="str">
        <f>'[7]BP-Men'!F176</f>
        <v>Москва</v>
      </c>
    </row>
    <row r="184" spans="1:7" x14ac:dyDescent="0.25">
      <c r="A184" s="1">
        <f>'[7]BP-Men'!A177</f>
        <v>90</v>
      </c>
      <c r="B184">
        <f>'[7]BP-Men'!B177</f>
        <v>0</v>
      </c>
      <c r="C184">
        <f>'[7]BP-Men'!C177</f>
        <v>0</v>
      </c>
      <c r="D184" s="14" t="str">
        <f t="shared" si="5"/>
        <v>0</v>
      </c>
      <c r="E184" s="5">
        <f>'[7]BP-Men'!D177</f>
        <v>0</v>
      </c>
      <c r="F184" s="10">
        <f>'[7]BP-Men'!E177</f>
        <v>0</v>
      </c>
      <c r="G184" s="34">
        <f>'[7]BP-Men'!F177</f>
        <v>0</v>
      </c>
    </row>
    <row r="185" spans="1:7" x14ac:dyDescent="0.25">
      <c r="A185" s="1">
        <f>'[7]BP-Men'!A178</f>
        <v>100</v>
      </c>
      <c r="B185">
        <f>'[7]BP-Men'!B178</f>
        <v>0</v>
      </c>
      <c r="C185">
        <f>'[7]BP-Men'!C178</f>
        <v>0</v>
      </c>
      <c r="D185" s="14" t="str">
        <f t="shared" si="5"/>
        <v>0</v>
      </c>
      <c r="E185" s="5">
        <f>'[7]BP-Men'!D178</f>
        <v>0</v>
      </c>
      <c r="F185" s="10">
        <f>'[7]BP-Men'!E178</f>
        <v>0</v>
      </c>
      <c r="G185" s="34">
        <f>'[7]BP-Men'!F178</f>
        <v>0</v>
      </c>
    </row>
    <row r="186" spans="1:7" x14ac:dyDescent="0.25">
      <c r="A186" s="1">
        <f>'[7]BP-Men'!A179</f>
        <v>110</v>
      </c>
      <c r="B186">
        <f>'[7]BP-Men'!B179</f>
        <v>0</v>
      </c>
      <c r="C186">
        <f>'[7]BP-Men'!C179</f>
        <v>0</v>
      </c>
      <c r="D186" s="14" t="str">
        <f t="shared" si="5"/>
        <v>0</v>
      </c>
      <c r="E186" s="5">
        <f>'[7]BP-Men'!D179</f>
        <v>0</v>
      </c>
      <c r="F186" s="10">
        <f>'[7]BP-Men'!E179</f>
        <v>0</v>
      </c>
      <c r="G186" s="34">
        <f>'[7]BP-Men'!F179</f>
        <v>0</v>
      </c>
    </row>
    <row r="187" spans="1:7" x14ac:dyDescent="0.25">
      <c r="A187" s="1">
        <f>'[7]BP-Men'!A180</f>
        <v>125</v>
      </c>
      <c r="B187">
        <f>'[7]BP-Men'!B180</f>
        <v>0</v>
      </c>
      <c r="C187">
        <f>'[7]BP-Men'!C180</f>
        <v>0</v>
      </c>
      <c r="D187" s="14" t="str">
        <f t="shared" si="5"/>
        <v>0</v>
      </c>
      <c r="E187" s="5">
        <f>'[7]BP-Men'!D180</f>
        <v>0</v>
      </c>
      <c r="F187" s="10">
        <f>'[7]BP-Men'!E180</f>
        <v>0</v>
      </c>
      <c r="G187" s="34">
        <f>'[7]BP-Men'!F180</f>
        <v>0</v>
      </c>
    </row>
    <row r="188" spans="1:7" x14ac:dyDescent="0.25">
      <c r="A188" s="1">
        <f>'[7]BP-Men'!A181</f>
        <v>140</v>
      </c>
      <c r="B188">
        <f>'[7]BP-Men'!B181</f>
        <v>0</v>
      </c>
      <c r="C188">
        <f>'[7]BP-Men'!C181</f>
        <v>0</v>
      </c>
      <c r="D188" s="14" t="str">
        <f t="shared" si="5"/>
        <v>0</v>
      </c>
      <c r="E188" s="5">
        <f>'[7]BP-Men'!D181</f>
        <v>0</v>
      </c>
      <c r="F188" s="10">
        <f>'[7]BP-Men'!E181</f>
        <v>0</v>
      </c>
      <c r="G188" s="34">
        <f>'[7]BP-Men'!F181</f>
        <v>0</v>
      </c>
    </row>
    <row r="189" spans="1:7" x14ac:dyDescent="0.25">
      <c r="A189" s="1" t="str">
        <f>'[7]BP-Men'!A182</f>
        <v>140+</v>
      </c>
      <c r="B189">
        <f>'[7]BP-Men'!B182</f>
        <v>0</v>
      </c>
      <c r="C189">
        <f>'[7]BP-Men'!C182</f>
        <v>0</v>
      </c>
      <c r="D189" s="14" t="str">
        <f t="shared" si="5"/>
        <v>0</v>
      </c>
      <c r="E189" s="5">
        <f>'[7]BP-Men'!D182</f>
        <v>0</v>
      </c>
      <c r="F189" s="10">
        <f>'[7]BP-Men'!E182</f>
        <v>0</v>
      </c>
      <c r="G189" s="34">
        <f>'[7]BP-Men'!F182</f>
        <v>0</v>
      </c>
    </row>
    <row r="190" spans="1:7" x14ac:dyDescent="0.25">
      <c r="A190" s="1">
        <f>'[7]BP-Men'!A183</f>
        <v>0</v>
      </c>
      <c r="B190">
        <f>'[7]BP-Men'!B183</f>
        <v>0</v>
      </c>
      <c r="C190">
        <f>'[7]BP-Men'!C183</f>
        <v>0</v>
      </c>
      <c r="D190" s="14" t="str">
        <f t="shared" si="5"/>
        <v>0</v>
      </c>
      <c r="E190" s="5">
        <f>'[7]BP-Men'!D183</f>
        <v>0</v>
      </c>
      <c r="F190" s="10">
        <f>'[7]BP-Men'!E183</f>
        <v>0</v>
      </c>
      <c r="G190" s="34">
        <f>'[7]BP-Men'!F183</f>
        <v>0</v>
      </c>
    </row>
    <row r="191" spans="1:7" x14ac:dyDescent="0.25">
      <c r="A191" s="1">
        <f>'[7]BP-Men'!A184</f>
        <v>0</v>
      </c>
      <c r="B191">
        <f>'[7]BP-Men'!B184</f>
        <v>0</v>
      </c>
      <c r="C191">
        <f>'[7]BP-Men'!C184</f>
        <v>0</v>
      </c>
      <c r="D191" s="14" t="str">
        <f t="shared" si="5"/>
        <v>0</v>
      </c>
      <c r="E191" s="5">
        <f>'[7]BP-Men'!D184</f>
        <v>0</v>
      </c>
      <c r="F191" s="10">
        <f>'[7]BP-Men'!E184</f>
        <v>0</v>
      </c>
      <c r="G191" s="34">
        <f>'[7]BP-Men'!F184</f>
        <v>0</v>
      </c>
    </row>
    <row r="192" spans="1:7" x14ac:dyDescent="0.25">
      <c r="A192" s="1">
        <f>'[7]BP-Men'!A185</f>
        <v>0</v>
      </c>
      <c r="B192">
        <f>'[7]BP-Men'!B185</f>
        <v>0</v>
      </c>
      <c r="C192">
        <f>'[7]BP-Men'!C185</f>
        <v>0</v>
      </c>
      <c r="D192" s="14" t="str">
        <f t="shared" si="5"/>
        <v>0</v>
      </c>
      <c r="E192" s="5">
        <f>'[7]BP-Men'!D185</f>
        <v>0</v>
      </c>
      <c r="F192" s="10">
        <f>'[7]BP-Men'!E185</f>
        <v>0</v>
      </c>
      <c r="G192" s="34">
        <f>'[7]BP-Men'!F185</f>
        <v>0</v>
      </c>
    </row>
    <row r="193" spans="1:7" x14ac:dyDescent="0.25">
      <c r="A193" s="1">
        <f>'[7]BP-Men'!A186</f>
        <v>0</v>
      </c>
      <c r="B193">
        <f>'[7]BP-Men'!B186</f>
        <v>0</v>
      </c>
      <c r="C193">
        <f>'[7]BP-Men'!C186</f>
        <v>0</v>
      </c>
      <c r="D193" s="14" t="str">
        <f t="shared" si="5"/>
        <v>0</v>
      </c>
      <c r="E193" s="5">
        <f>'[7]BP-Men'!D186</f>
        <v>0</v>
      </c>
      <c r="F193" s="10">
        <f>'[7]BP-Men'!E186</f>
        <v>0</v>
      </c>
      <c r="G193" s="34">
        <f>'[7]BP-Men'!F186</f>
        <v>0</v>
      </c>
    </row>
    <row r="194" spans="1:7" x14ac:dyDescent="0.25">
      <c r="A194" s="1">
        <f>'[7]BP-Men'!A187</f>
        <v>0</v>
      </c>
      <c r="B194">
        <f>'[7]BP-Men'!B187</f>
        <v>0</v>
      </c>
      <c r="C194">
        <f>'[7]BP-Men'!C187</f>
        <v>0</v>
      </c>
      <c r="D194" s="14" t="str">
        <f t="shared" si="5"/>
        <v>0</v>
      </c>
      <c r="E194" s="5">
        <f>'[7]BP-Men'!D187</f>
        <v>0</v>
      </c>
      <c r="F194" s="10">
        <f>'[7]BP-Men'!E187</f>
        <v>0</v>
      </c>
      <c r="G194" s="34">
        <f>'[7]BP-Men'!F187</f>
        <v>0</v>
      </c>
    </row>
    <row r="195" spans="1:7" x14ac:dyDescent="0.25">
      <c r="A195" s="1">
        <f>'[7]BP-Men'!A188</f>
        <v>0</v>
      </c>
      <c r="B195">
        <f>'[7]BP-Men'!B188</f>
        <v>0</v>
      </c>
      <c r="C195">
        <f>'[7]BP-Men'!C188</f>
        <v>0</v>
      </c>
      <c r="D195" s="14" t="str">
        <f t="shared" si="5"/>
        <v>0</v>
      </c>
      <c r="E195" s="5">
        <f>'[7]BP-Men'!D188</f>
        <v>0</v>
      </c>
      <c r="F195" s="10">
        <f>'[7]BP-Men'!E188</f>
        <v>0</v>
      </c>
      <c r="G195" s="34">
        <f>'[7]BP-Men'!F188</f>
        <v>0</v>
      </c>
    </row>
    <row r="196" spans="1:7" x14ac:dyDescent="0.25">
      <c r="A196" s="1">
        <f>'[7]BP-Men'!A189</f>
        <v>0</v>
      </c>
      <c r="B196">
        <f>'[7]BP-Men'!B189</f>
        <v>0</v>
      </c>
      <c r="C196">
        <f>'[7]BP-Men'!C189</f>
        <v>0</v>
      </c>
      <c r="D196" s="14" t="str">
        <f t="shared" si="5"/>
        <v>0</v>
      </c>
      <c r="E196" s="5">
        <f>'[7]BP-Men'!D189</f>
        <v>0</v>
      </c>
      <c r="F196" s="10">
        <f>'[7]BP-Men'!E189</f>
        <v>0</v>
      </c>
      <c r="G196" s="34">
        <f>'[7]BP-Men'!F189</f>
        <v>0</v>
      </c>
    </row>
    <row r="197" spans="1:7" x14ac:dyDescent="0.25">
      <c r="A197" s="1">
        <f>'[7]BP-Men'!A190</f>
        <v>0</v>
      </c>
      <c r="B197">
        <f>'[7]BP-Men'!B190</f>
        <v>0</v>
      </c>
      <c r="C197">
        <f>'[7]BP-Men'!C190</f>
        <v>0</v>
      </c>
      <c r="D197" s="14" t="str">
        <f t="shared" si="5"/>
        <v>0</v>
      </c>
      <c r="E197" s="5">
        <f>'[7]BP-Men'!D190</f>
        <v>0</v>
      </c>
      <c r="F197" s="10">
        <f>'[7]BP-Men'!E190</f>
        <v>0</v>
      </c>
      <c r="G197" s="34">
        <f>'[7]BP-Men'!F190</f>
        <v>0</v>
      </c>
    </row>
    <row r="198" spans="1:7" x14ac:dyDescent="0.25">
      <c r="A198" s="1">
        <f>'[7]BP-Men'!A191</f>
        <v>0</v>
      </c>
      <c r="B198">
        <f>'[7]BP-Men'!B191</f>
        <v>0</v>
      </c>
      <c r="C198">
        <f>'[7]BP-Men'!C191</f>
        <v>0</v>
      </c>
      <c r="D198" s="14" t="str">
        <f t="shared" si="5"/>
        <v>0</v>
      </c>
      <c r="E198" s="5">
        <f>'[7]BP-Men'!D191</f>
        <v>0</v>
      </c>
      <c r="F198" s="10">
        <f>'[7]BP-Men'!E191</f>
        <v>0</v>
      </c>
      <c r="G198" s="34">
        <f>'[7]BP-Men'!F191</f>
        <v>0</v>
      </c>
    </row>
    <row r="199" spans="1:7" x14ac:dyDescent="0.25">
      <c r="A199" s="1">
        <f>'[7]BP-Men'!A192</f>
        <v>0</v>
      </c>
      <c r="B199">
        <f>'[7]BP-Men'!B192</f>
        <v>0</v>
      </c>
      <c r="C199">
        <f>'[7]BP-Men'!C192</f>
        <v>0</v>
      </c>
      <c r="D199" s="14" t="str">
        <f t="shared" si="5"/>
        <v>0</v>
      </c>
      <c r="E199" s="5">
        <f>'[7]BP-Men'!D192</f>
        <v>0</v>
      </c>
      <c r="F199" s="10">
        <f>'[7]BP-Men'!E192</f>
        <v>0</v>
      </c>
      <c r="G199" s="34">
        <f>'[7]BP-Men'!F192</f>
        <v>0</v>
      </c>
    </row>
    <row r="200" spans="1:7" x14ac:dyDescent="0.25">
      <c r="A200" s="1">
        <f>'[7]BP-Men'!A193</f>
        <v>0</v>
      </c>
      <c r="B200">
        <f>'[7]BP-Men'!B193</f>
        <v>0</v>
      </c>
      <c r="C200">
        <f>'[7]BP-Men'!C193</f>
        <v>0</v>
      </c>
      <c r="D200" s="14" t="str">
        <f t="shared" si="5"/>
        <v>0</v>
      </c>
      <c r="E200" s="5">
        <f>'[7]BP-Men'!D193</f>
        <v>0</v>
      </c>
      <c r="F200" s="10">
        <f>'[7]BP-Men'!E193</f>
        <v>0</v>
      </c>
      <c r="G200" s="34">
        <f>'[7]BP-Men'!F193</f>
        <v>0</v>
      </c>
    </row>
    <row r="201" spans="1:7" x14ac:dyDescent="0.25">
      <c r="A201" s="1">
        <f>'[7]BP-Men'!A194</f>
        <v>0</v>
      </c>
      <c r="B201">
        <f>'[7]BP-Men'!B194</f>
        <v>0</v>
      </c>
      <c r="C201">
        <f>'[7]BP-Men'!C194</f>
        <v>0</v>
      </c>
      <c r="D201" s="14" t="str">
        <f t="shared" si="5"/>
        <v>0</v>
      </c>
      <c r="E201" s="5">
        <f>'[7]BP-Men'!D194</f>
        <v>0</v>
      </c>
      <c r="F201" s="10">
        <f>'[7]BP-Men'!E194</f>
        <v>0</v>
      </c>
      <c r="G201" s="34">
        <f>'[7]BP-Men'!F194</f>
        <v>0</v>
      </c>
    </row>
    <row r="202" spans="1:7" x14ac:dyDescent="0.25">
      <c r="A202" s="1">
        <f>'[7]BP-Men'!A195</f>
        <v>0</v>
      </c>
      <c r="B202">
        <f>'[7]BP-Men'!B195</f>
        <v>0</v>
      </c>
      <c r="C202">
        <f>'[7]BP-Men'!C195</f>
        <v>0</v>
      </c>
      <c r="D202" s="14" t="str">
        <f t="shared" si="5"/>
        <v>0</v>
      </c>
      <c r="E202" s="5">
        <f>'[7]BP-Men'!D195</f>
        <v>0</v>
      </c>
      <c r="F202" s="10">
        <f>'[7]BP-Men'!E195</f>
        <v>0</v>
      </c>
      <c r="G202" s="34">
        <f>'[7]BP-Men'!F195</f>
        <v>0</v>
      </c>
    </row>
    <row r="203" spans="1:7" x14ac:dyDescent="0.25">
      <c r="A203" s="1">
        <f>'[7]BP-Men'!A196</f>
        <v>0</v>
      </c>
      <c r="B203">
        <f>'[7]BP-Men'!B196</f>
        <v>0</v>
      </c>
      <c r="C203">
        <f>'[7]BP-Men'!C196</f>
        <v>0</v>
      </c>
      <c r="D203" s="14" t="str">
        <f t="shared" si="5"/>
        <v>0</v>
      </c>
      <c r="E203" s="5">
        <f>'[7]BP-Men'!D196</f>
        <v>0</v>
      </c>
      <c r="F203" s="10">
        <f>'[7]BP-Men'!E196</f>
        <v>0</v>
      </c>
      <c r="G203" s="34">
        <f>'[7]BP-Men'!F196</f>
        <v>0</v>
      </c>
    </row>
    <row r="204" spans="1:7" x14ac:dyDescent="0.25">
      <c r="A204" s="1">
        <f>'[7]BP-Men'!A197</f>
        <v>0</v>
      </c>
      <c r="B204">
        <f>'[7]BP-Men'!B197</f>
        <v>0</v>
      </c>
      <c r="C204">
        <f>'[7]BP-Men'!C197</f>
        <v>0</v>
      </c>
      <c r="D204" s="14" t="str">
        <f t="shared" si="5"/>
        <v>0</v>
      </c>
      <c r="E204" s="5">
        <f>'[7]BP-Men'!D197</f>
        <v>0</v>
      </c>
      <c r="F204" s="10">
        <f>'[7]BP-Men'!E197</f>
        <v>0</v>
      </c>
      <c r="G204" s="34">
        <f>'[7]BP-Men'!F197</f>
        <v>0</v>
      </c>
    </row>
    <row r="205" spans="1:7" x14ac:dyDescent="0.25">
      <c r="A205" s="1">
        <f>'[7]BP-Men'!A198</f>
        <v>0</v>
      </c>
      <c r="B205">
        <f>'[7]BP-Men'!B198</f>
        <v>0</v>
      </c>
      <c r="C205">
        <f>'[7]BP-Men'!C198</f>
        <v>0</v>
      </c>
      <c r="D205" s="14" t="str">
        <f t="shared" si="5"/>
        <v>0</v>
      </c>
      <c r="E205" s="5">
        <f>'[7]BP-Men'!D198</f>
        <v>0</v>
      </c>
      <c r="F205" s="10">
        <f>'[7]BP-Men'!E198</f>
        <v>0</v>
      </c>
      <c r="G205" s="34">
        <f>'[7]BP-Men'!F198</f>
        <v>0</v>
      </c>
    </row>
    <row r="206" spans="1:7" x14ac:dyDescent="0.25">
      <c r="A206" s="1">
        <f>'[7]BP-Men'!A199</f>
        <v>0</v>
      </c>
      <c r="B206">
        <f>'[7]BP-Men'!B199</f>
        <v>0</v>
      </c>
      <c r="C206">
        <f>'[7]BP-Men'!C199</f>
        <v>0</v>
      </c>
      <c r="D206" s="14" t="str">
        <f t="shared" si="5"/>
        <v>0</v>
      </c>
      <c r="E206" s="5">
        <f>'[7]BP-Men'!D199</f>
        <v>0</v>
      </c>
      <c r="F206" s="10">
        <f>'[7]BP-Men'!E199</f>
        <v>0</v>
      </c>
      <c r="G206" s="34">
        <f>'[7]BP-Men'!F199</f>
        <v>0</v>
      </c>
    </row>
    <row r="213" spans="1:7" x14ac:dyDescent="0.25">
      <c r="B213" t="str">
        <f>'[7]BP-Wom'!B1</f>
        <v>Рекорды AWPC- Россия</v>
      </c>
      <c r="E213" s="5">
        <f>'[7]BP-Wom'!D1</f>
        <v>0</v>
      </c>
      <c r="F213" s="10">
        <f>'[7]BP-Wom'!E1</f>
        <v>0</v>
      </c>
      <c r="G213" s="34">
        <f>'[7]BP-Wom'!F1</f>
        <v>0</v>
      </c>
    </row>
    <row r="214" spans="1:7" s="11" customFormat="1" x14ac:dyDescent="0.25">
      <c r="A214" s="22" t="s">
        <v>0</v>
      </c>
      <c r="B214" s="11">
        <v>0</v>
      </c>
      <c r="C214" s="11">
        <v>13</v>
      </c>
      <c r="D214" s="24" t="str">
        <f t="shared" ref="D214:D277" si="6">RIGHT(C214,2)</f>
        <v>13</v>
      </c>
      <c r="E214" s="21" t="str">
        <f>'[7]BP-Wom'!B2</f>
        <v>ДЕВУШКИ  (13 - 15)</v>
      </c>
      <c r="F214" s="13"/>
      <c r="G214" s="35"/>
    </row>
    <row r="215" spans="1:7" x14ac:dyDescent="0.25">
      <c r="A215" s="1">
        <f>'[7]BP-Wom'!A3</f>
        <v>44</v>
      </c>
      <c r="B215">
        <f>'[7]BP-Wom'!B3</f>
        <v>32.5</v>
      </c>
      <c r="C215" t="str">
        <f>'[7]BP-Wom'!C3</f>
        <v>Наземнова Ольга/97</v>
      </c>
      <c r="D215" s="14" t="str">
        <f t="shared" si="6"/>
        <v>97</v>
      </c>
      <c r="E215" s="5" t="str">
        <f>'[7]BP-Wom'!D3</f>
        <v>Алапаевск</v>
      </c>
      <c r="F215" s="10">
        <f>'[7]BP-Wom'!E3</f>
        <v>40983</v>
      </c>
      <c r="G215" s="34" t="str">
        <f>'[7]BP-Wom'!F3</f>
        <v>Екатеринбург</v>
      </c>
    </row>
    <row r="216" spans="1:7" x14ac:dyDescent="0.25">
      <c r="A216" s="1">
        <f>'[7]BP-Wom'!A4</f>
        <v>48</v>
      </c>
      <c r="B216">
        <f>'[7]BP-Wom'!B4</f>
        <v>75</v>
      </c>
      <c r="C216" t="str">
        <f>'[7]BP-Wom'!C4</f>
        <v>Длужневская Владислава/2000</v>
      </c>
      <c r="D216" s="14" t="str">
        <f t="shared" si="6"/>
        <v>00</v>
      </c>
      <c r="E216" s="5" t="str">
        <f>'[7]BP-Wom'!D4</f>
        <v>Вологда</v>
      </c>
      <c r="F216" s="10">
        <f>'[7]BP-Wom'!E4</f>
        <v>41216</v>
      </c>
      <c r="G216" s="34" t="str">
        <f>'[7]BP-Wom'!F4</f>
        <v>Вологда</v>
      </c>
    </row>
    <row r="217" spans="1:7" x14ac:dyDescent="0.25">
      <c r="A217" s="1">
        <f>'[7]BP-Wom'!A5</f>
        <v>52</v>
      </c>
      <c r="B217">
        <f>'[7]BP-Wom'!B5</f>
        <v>0</v>
      </c>
      <c r="C217">
        <f>'[7]BP-Wom'!C5</f>
        <v>0</v>
      </c>
      <c r="D217" s="14" t="str">
        <f t="shared" si="6"/>
        <v>0</v>
      </c>
      <c r="E217" s="5">
        <f>'[7]BP-Wom'!D5</f>
        <v>0</v>
      </c>
      <c r="F217" s="10">
        <f>'[7]BP-Wom'!E5</f>
        <v>0</v>
      </c>
      <c r="G217" s="34">
        <f>'[7]BP-Wom'!F5</f>
        <v>0</v>
      </c>
    </row>
    <row r="218" spans="1:7" x14ac:dyDescent="0.25">
      <c r="A218" s="1">
        <f>'[7]BP-Wom'!A6</f>
        <v>56</v>
      </c>
      <c r="B218">
        <f>'[7]BP-Wom'!B6</f>
        <v>0</v>
      </c>
      <c r="C218">
        <f>'[7]BP-Wom'!C6</f>
        <v>0</v>
      </c>
      <c r="D218" s="14" t="str">
        <f t="shared" si="6"/>
        <v>0</v>
      </c>
      <c r="E218" s="5">
        <f>'[7]BP-Wom'!D6</f>
        <v>0</v>
      </c>
      <c r="F218" s="10">
        <f>'[7]BP-Wom'!E6</f>
        <v>0</v>
      </c>
      <c r="G218" s="34">
        <f>'[7]BP-Wom'!F6</f>
        <v>0</v>
      </c>
    </row>
    <row r="219" spans="1:7" x14ac:dyDescent="0.25">
      <c r="A219" s="1">
        <f>'[7]BP-Wom'!A7</f>
        <v>60</v>
      </c>
      <c r="B219">
        <f>'[7]BP-Wom'!B7</f>
        <v>0</v>
      </c>
      <c r="C219">
        <f>'[7]BP-Wom'!C7</f>
        <v>0</v>
      </c>
      <c r="D219" s="14" t="str">
        <f t="shared" si="6"/>
        <v>0</v>
      </c>
      <c r="E219" s="5">
        <f>'[7]BP-Wom'!D7</f>
        <v>0</v>
      </c>
      <c r="F219" s="10">
        <f>'[7]BP-Wom'!E7</f>
        <v>0</v>
      </c>
      <c r="G219" s="34">
        <f>'[7]BP-Wom'!F7</f>
        <v>0</v>
      </c>
    </row>
    <row r="220" spans="1:7" x14ac:dyDescent="0.25">
      <c r="A220" s="1">
        <f>'[7]BP-Wom'!A8</f>
        <v>67.5</v>
      </c>
      <c r="B220">
        <f>'[7]BP-Wom'!B8</f>
        <v>0</v>
      </c>
      <c r="C220">
        <f>'[7]BP-Wom'!C8</f>
        <v>0</v>
      </c>
      <c r="D220" s="14" t="str">
        <f t="shared" si="6"/>
        <v>0</v>
      </c>
      <c r="E220" s="5">
        <f>'[7]BP-Wom'!D8</f>
        <v>0</v>
      </c>
      <c r="F220" s="10">
        <f>'[7]BP-Wom'!E8</f>
        <v>0</v>
      </c>
      <c r="G220" s="34">
        <f>'[7]BP-Wom'!F8</f>
        <v>0</v>
      </c>
    </row>
    <row r="221" spans="1:7" x14ac:dyDescent="0.25">
      <c r="A221" s="1">
        <f>'[7]BP-Wom'!A9</f>
        <v>75</v>
      </c>
      <c r="B221">
        <f>'[7]BP-Wom'!B9</f>
        <v>0</v>
      </c>
      <c r="C221">
        <f>'[7]BP-Wom'!C9</f>
        <v>0</v>
      </c>
      <c r="D221" s="14" t="str">
        <f t="shared" si="6"/>
        <v>0</v>
      </c>
      <c r="E221" s="5">
        <f>'[7]BP-Wom'!D9</f>
        <v>0</v>
      </c>
      <c r="F221" s="10">
        <f>'[7]BP-Wom'!E9</f>
        <v>0</v>
      </c>
      <c r="G221" s="34">
        <f>'[7]BP-Wom'!F9</f>
        <v>0</v>
      </c>
    </row>
    <row r="222" spans="1:7" x14ac:dyDescent="0.25">
      <c r="A222" s="1">
        <f>'[7]BP-Wom'!A10</f>
        <v>82.5</v>
      </c>
      <c r="B222">
        <f>'[7]BP-Wom'!B10</f>
        <v>0</v>
      </c>
      <c r="C222">
        <f>'[7]BP-Wom'!C10</f>
        <v>0</v>
      </c>
      <c r="D222" s="14" t="str">
        <f t="shared" si="6"/>
        <v>0</v>
      </c>
      <c r="E222" s="5">
        <f>'[7]BP-Wom'!D10</f>
        <v>0</v>
      </c>
      <c r="F222" s="10">
        <f>'[7]BP-Wom'!E10</f>
        <v>0</v>
      </c>
      <c r="G222" s="34">
        <f>'[7]BP-Wom'!F10</f>
        <v>0</v>
      </c>
    </row>
    <row r="223" spans="1:7" x14ac:dyDescent="0.25">
      <c r="A223" s="1">
        <f>'[7]BP-Wom'!A11</f>
        <v>90</v>
      </c>
      <c r="B223">
        <f>'[7]BP-Wom'!B11</f>
        <v>0</v>
      </c>
      <c r="C223">
        <f>'[7]BP-Wom'!C11</f>
        <v>0</v>
      </c>
      <c r="D223" s="14" t="str">
        <f t="shared" si="6"/>
        <v>0</v>
      </c>
      <c r="E223" s="5">
        <f>'[7]BP-Wom'!D11</f>
        <v>0</v>
      </c>
      <c r="F223" s="10">
        <f>'[7]BP-Wom'!E11</f>
        <v>0</v>
      </c>
      <c r="G223" s="34">
        <f>'[7]BP-Wom'!F11</f>
        <v>0</v>
      </c>
    </row>
    <row r="224" spans="1:7" x14ac:dyDescent="0.25">
      <c r="A224" s="1" t="str">
        <f>'[7]BP-Wom'!A12</f>
        <v>90+</v>
      </c>
      <c r="B224">
        <f>'[7]BP-Wom'!B12</f>
        <v>0</v>
      </c>
      <c r="C224">
        <f>'[7]BP-Wom'!C12</f>
        <v>0</v>
      </c>
      <c r="D224" s="14" t="str">
        <f t="shared" si="6"/>
        <v>0</v>
      </c>
      <c r="E224" s="5">
        <f>'[7]BP-Wom'!D12</f>
        <v>0</v>
      </c>
      <c r="F224" s="10">
        <f>'[7]BP-Wom'!E12</f>
        <v>0</v>
      </c>
      <c r="G224" s="34">
        <f>'[7]BP-Wom'!F12</f>
        <v>0</v>
      </c>
    </row>
    <row r="225" spans="1:7" x14ac:dyDescent="0.25">
      <c r="B225">
        <f>'[7]BP-Wom'!B13</f>
        <v>0</v>
      </c>
      <c r="C225">
        <f>'[7]BP-Wom'!C13</f>
        <v>0</v>
      </c>
      <c r="D225" s="14" t="str">
        <f t="shared" si="6"/>
        <v>0</v>
      </c>
      <c r="E225" s="5">
        <f>'[7]BP-Wom'!D13</f>
        <v>0</v>
      </c>
      <c r="F225" s="10">
        <f>'[7]BP-Wom'!E13</f>
        <v>0</v>
      </c>
      <c r="G225" s="34">
        <f>'[7]BP-Wom'!F13</f>
        <v>0</v>
      </c>
    </row>
    <row r="226" spans="1:7" s="11" customFormat="1" x14ac:dyDescent="0.25">
      <c r="A226" s="22" t="s">
        <v>0</v>
      </c>
      <c r="B226" s="11">
        <v>0</v>
      </c>
      <c r="C226" s="11">
        <v>16</v>
      </c>
      <c r="D226" s="24" t="str">
        <f t="shared" si="6"/>
        <v>16</v>
      </c>
      <c r="E226" s="21" t="str">
        <f>'[7]BP-Wom'!B14</f>
        <v>ДЕВУШКИ  (16 - 17)</v>
      </c>
      <c r="F226" s="13"/>
      <c r="G226" s="35"/>
    </row>
    <row r="227" spans="1:7" x14ac:dyDescent="0.25">
      <c r="A227" s="1">
        <f>'[7]BP-Wom'!A15</f>
        <v>44</v>
      </c>
      <c r="B227">
        <f>'[7]BP-Wom'!B15</f>
        <v>0</v>
      </c>
      <c r="C227">
        <f>'[7]BP-Wom'!C15</f>
        <v>0</v>
      </c>
      <c r="D227" s="14" t="str">
        <f t="shared" si="6"/>
        <v>0</v>
      </c>
      <c r="E227" s="5">
        <f>'[7]BP-Wom'!D15</f>
        <v>0</v>
      </c>
      <c r="F227" s="10">
        <f>'[7]BP-Wom'!E15</f>
        <v>0</v>
      </c>
      <c r="G227" s="34">
        <f>'[7]BP-Wom'!F15</f>
        <v>0</v>
      </c>
    </row>
    <row r="228" spans="1:7" x14ac:dyDescent="0.25">
      <c r="A228" s="1">
        <f>'[7]BP-Wom'!A16</f>
        <v>48</v>
      </c>
      <c r="B228">
        <f>'[7]BP-Wom'!B16</f>
        <v>0</v>
      </c>
      <c r="C228">
        <f>'[7]BP-Wom'!C16</f>
        <v>0</v>
      </c>
      <c r="D228" s="14" t="str">
        <f t="shared" si="6"/>
        <v>0</v>
      </c>
      <c r="E228" s="5">
        <f>'[7]BP-Wom'!D16</f>
        <v>0</v>
      </c>
      <c r="F228" s="10">
        <f>'[7]BP-Wom'!E16</f>
        <v>0</v>
      </c>
      <c r="G228" s="34">
        <f>'[7]BP-Wom'!F16</f>
        <v>0</v>
      </c>
    </row>
    <row r="229" spans="1:7" x14ac:dyDescent="0.25">
      <c r="A229" s="1">
        <f>'[7]BP-Wom'!A17</f>
        <v>52</v>
      </c>
      <c r="B229">
        <f>'[7]BP-Wom'!B17</f>
        <v>57.5</v>
      </c>
      <c r="C229" t="str">
        <f>'[7]BP-Wom'!C17</f>
        <v>Реутова Надежда/93</v>
      </c>
      <c r="D229" s="14" t="str">
        <f t="shared" si="6"/>
        <v>93</v>
      </c>
      <c r="E229" s="5" t="str">
        <f>'[7]BP-Wom'!D17</f>
        <v>Лесной</v>
      </c>
      <c r="F229" s="10">
        <f>'[7]BP-Wom'!E17</f>
        <v>40454</v>
      </c>
      <c r="G229" s="34" t="str">
        <f>'[7]BP-Wom'!F17</f>
        <v>Екатеринбург</v>
      </c>
    </row>
    <row r="230" spans="1:7" x14ac:dyDescent="0.25">
      <c r="A230" s="1">
        <f>'[7]BP-Wom'!A18</f>
        <v>56</v>
      </c>
      <c r="B230">
        <f>'[7]BP-Wom'!B18</f>
        <v>77.5</v>
      </c>
      <c r="C230" t="str">
        <f>'[7]BP-Wom'!C18</f>
        <v>Блинкова Наталья/92</v>
      </c>
      <c r="D230" s="14" t="str">
        <f t="shared" si="6"/>
        <v>92</v>
      </c>
      <c r="E230" s="5" t="str">
        <f>'[7]BP-Wom'!D18</f>
        <v>Курск</v>
      </c>
      <c r="F230" s="10">
        <f>'[7]BP-Wom'!E18</f>
        <v>40258</v>
      </c>
      <c r="G230" s="34" t="str">
        <f>'[7]BP-Wom'!F18</f>
        <v>Курск</v>
      </c>
    </row>
    <row r="231" spans="1:7" x14ac:dyDescent="0.25">
      <c r="A231" s="1">
        <f>'[7]BP-Wom'!A19</f>
        <v>60</v>
      </c>
      <c r="B231">
        <f>'[7]BP-Wom'!B19</f>
        <v>0</v>
      </c>
      <c r="C231">
        <f>'[7]BP-Wom'!C19</f>
        <v>0</v>
      </c>
      <c r="D231" s="14" t="str">
        <f t="shared" si="6"/>
        <v>0</v>
      </c>
      <c r="E231" s="5">
        <f>'[7]BP-Wom'!D19</f>
        <v>0</v>
      </c>
      <c r="F231" s="10">
        <f>'[7]BP-Wom'!E19</f>
        <v>0</v>
      </c>
      <c r="G231" s="34">
        <f>'[7]BP-Wom'!F19</f>
        <v>0</v>
      </c>
    </row>
    <row r="232" spans="1:7" x14ac:dyDescent="0.25">
      <c r="A232" s="1">
        <f>'[7]BP-Wom'!A20</f>
        <v>67.5</v>
      </c>
      <c r="B232">
        <f>'[7]BP-Wom'!B20</f>
        <v>0</v>
      </c>
      <c r="C232">
        <f>'[7]BP-Wom'!C20</f>
        <v>0</v>
      </c>
      <c r="D232" s="14" t="str">
        <f t="shared" si="6"/>
        <v>0</v>
      </c>
      <c r="E232" s="5">
        <f>'[7]BP-Wom'!D20</f>
        <v>0</v>
      </c>
      <c r="F232" s="10">
        <f>'[7]BP-Wom'!E20</f>
        <v>0</v>
      </c>
      <c r="G232" s="34">
        <f>'[7]BP-Wom'!F20</f>
        <v>0</v>
      </c>
    </row>
    <row r="233" spans="1:7" x14ac:dyDescent="0.25">
      <c r="A233" s="1">
        <f>'[7]BP-Wom'!A21</f>
        <v>75</v>
      </c>
      <c r="B233">
        <f>'[7]BP-Wom'!B21</f>
        <v>0</v>
      </c>
      <c r="C233">
        <f>'[7]BP-Wom'!C21</f>
        <v>0</v>
      </c>
      <c r="D233" s="14" t="str">
        <f t="shared" si="6"/>
        <v>0</v>
      </c>
      <c r="E233" s="5">
        <f>'[7]BP-Wom'!D21</f>
        <v>0</v>
      </c>
      <c r="F233" s="10">
        <f>'[7]BP-Wom'!E21</f>
        <v>0</v>
      </c>
      <c r="G233" s="34">
        <f>'[7]BP-Wom'!F21</f>
        <v>0</v>
      </c>
    </row>
    <row r="234" spans="1:7" x14ac:dyDescent="0.25">
      <c r="A234" s="1">
        <f>'[7]BP-Wom'!A22</f>
        <v>82.5</v>
      </c>
      <c r="B234">
        <f>'[7]BP-Wom'!B22</f>
        <v>0</v>
      </c>
      <c r="C234">
        <f>'[7]BP-Wom'!C22</f>
        <v>0</v>
      </c>
      <c r="D234" s="14" t="str">
        <f t="shared" si="6"/>
        <v>0</v>
      </c>
      <c r="E234" s="5">
        <f>'[7]BP-Wom'!D22</f>
        <v>0</v>
      </c>
      <c r="F234" s="10">
        <f>'[7]BP-Wom'!E22</f>
        <v>0</v>
      </c>
      <c r="G234" s="34">
        <f>'[7]BP-Wom'!F22</f>
        <v>0</v>
      </c>
    </row>
    <row r="235" spans="1:7" x14ac:dyDescent="0.25">
      <c r="A235" s="1">
        <f>'[7]BP-Wom'!A23</f>
        <v>90</v>
      </c>
      <c r="B235">
        <f>'[7]BP-Wom'!B23</f>
        <v>0</v>
      </c>
      <c r="C235">
        <f>'[7]BP-Wom'!C23</f>
        <v>0</v>
      </c>
      <c r="D235" s="14" t="str">
        <f t="shared" si="6"/>
        <v>0</v>
      </c>
      <c r="E235" s="5">
        <f>'[7]BP-Wom'!D23</f>
        <v>0</v>
      </c>
      <c r="F235" s="10">
        <f>'[7]BP-Wom'!E23</f>
        <v>0</v>
      </c>
      <c r="G235" s="34">
        <f>'[7]BP-Wom'!F23</f>
        <v>0</v>
      </c>
    </row>
    <row r="236" spans="1:7" x14ac:dyDescent="0.25">
      <c r="A236" s="1" t="str">
        <f>'[7]BP-Wom'!A24</f>
        <v>90+</v>
      </c>
      <c r="B236">
        <f>'[7]BP-Wom'!B24</f>
        <v>0</v>
      </c>
      <c r="C236">
        <f>'[7]BP-Wom'!C24</f>
        <v>0</v>
      </c>
      <c r="D236" s="14" t="str">
        <f t="shared" si="6"/>
        <v>0</v>
      </c>
      <c r="E236" s="5">
        <f>'[7]BP-Wom'!D24</f>
        <v>0</v>
      </c>
      <c r="F236" s="10">
        <f>'[7]BP-Wom'!E24</f>
        <v>0</v>
      </c>
      <c r="G236" s="34">
        <f>'[7]BP-Wom'!F24</f>
        <v>0</v>
      </c>
    </row>
    <row r="237" spans="1:7" x14ac:dyDescent="0.25">
      <c r="B237">
        <f>'[7]BP-Wom'!B25</f>
        <v>0</v>
      </c>
      <c r="C237">
        <f>'[7]BP-Wom'!C25</f>
        <v>0</v>
      </c>
      <c r="D237" s="14" t="str">
        <f t="shared" si="6"/>
        <v>0</v>
      </c>
      <c r="E237" s="5">
        <f>'[7]BP-Wom'!D25</f>
        <v>0</v>
      </c>
      <c r="F237" s="10">
        <f>'[7]BP-Wom'!E25</f>
        <v>0</v>
      </c>
      <c r="G237" s="34">
        <f>'[7]BP-Wom'!F25</f>
        <v>0</v>
      </c>
    </row>
    <row r="238" spans="1:7" s="11" customFormat="1" x14ac:dyDescent="0.25">
      <c r="A238" s="22" t="s">
        <v>0</v>
      </c>
      <c r="B238" s="11">
        <v>0</v>
      </c>
      <c r="C238" s="11">
        <v>18</v>
      </c>
      <c r="D238" s="24" t="str">
        <f t="shared" si="6"/>
        <v>18</v>
      </c>
      <c r="E238" s="21" t="str">
        <f>'[7]BP-Wom'!B26</f>
        <v>ДЕВУШКИ  (18 - 19)</v>
      </c>
      <c r="F238" s="13"/>
      <c r="G238" s="35"/>
    </row>
    <row r="239" spans="1:7" x14ac:dyDescent="0.25">
      <c r="A239" s="1">
        <f>'[7]BP-Wom'!A27</f>
        <v>44</v>
      </c>
      <c r="B239">
        <f>'[7]BP-Wom'!B27</f>
        <v>0</v>
      </c>
      <c r="C239">
        <f>'[7]BP-Wom'!C27</f>
        <v>0</v>
      </c>
      <c r="D239" s="14" t="str">
        <f t="shared" si="6"/>
        <v>0</v>
      </c>
      <c r="E239" s="5">
        <f>'[7]BP-Wom'!D27</f>
        <v>0</v>
      </c>
      <c r="F239" s="10">
        <f>'[7]BP-Wom'!E27</f>
        <v>0</v>
      </c>
      <c r="G239" s="34">
        <f>'[7]BP-Wom'!F27</f>
        <v>0</v>
      </c>
    </row>
    <row r="240" spans="1:7" x14ac:dyDescent="0.25">
      <c r="A240" s="1">
        <f>'[7]BP-Wom'!A28</f>
        <v>48</v>
      </c>
      <c r="B240">
        <f>'[7]BP-Wom'!B28</f>
        <v>72.5</v>
      </c>
      <c r="C240" t="str">
        <f>'[7]BP-Wom'!C28</f>
        <v>Дудырева Ирина/90</v>
      </c>
      <c r="D240" s="14" t="str">
        <f t="shared" si="6"/>
        <v>90</v>
      </c>
      <c r="E240" s="5" t="str">
        <f>'[7]BP-Wom'!D28</f>
        <v>Курск</v>
      </c>
      <c r="F240" s="10">
        <f>'[7]BP-Wom'!E28</f>
        <v>40258</v>
      </c>
      <c r="G240" s="34" t="str">
        <f>'[7]BP-Wom'!F28</f>
        <v>Курск</v>
      </c>
    </row>
    <row r="241" spans="1:7" x14ac:dyDescent="0.25">
      <c r="A241" s="1">
        <f>'[7]BP-Wom'!A29</f>
        <v>52</v>
      </c>
      <c r="B241">
        <f>'[7]BP-Wom'!B29</f>
        <v>0</v>
      </c>
      <c r="C241">
        <f>'[7]BP-Wom'!C29</f>
        <v>0</v>
      </c>
      <c r="D241" s="14" t="str">
        <f t="shared" si="6"/>
        <v>0</v>
      </c>
      <c r="E241" s="5">
        <f>'[7]BP-Wom'!D29</f>
        <v>0</v>
      </c>
      <c r="F241" s="10">
        <f>'[7]BP-Wom'!E29</f>
        <v>0</v>
      </c>
      <c r="G241" s="34">
        <f>'[7]BP-Wom'!F29</f>
        <v>0</v>
      </c>
    </row>
    <row r="242" spans="1:7" x14ac:dyDescent="0.25">
      <c r="A242" s="1">
        <f>'[7]BP-Wom'!A30</f>
        <v>56</v>
      </c>
      <c r="B242">
        <f>'[7]BP-Wom'!B30</f>
        <v>75</v>
      </c>
      <c r="C242" t="str">
        <f>'[7]BP-Wom'!C30</f>
        <v>Блинкова Наталья/92</v>
      </c>
      <c r="D242" s="14" t="str">
        <f t="shared" si="6"/>
        <v>92</v>
      </c>
      <c r="E242" s="5" t="str">
        <f>'[7]BP-Wom'!D30</f>
        <v>Курск</v>
      </c>
      <c r="F242" s="10">
        <f>'[7]BP-Wom'!E30</f>
        <v>40522</v>
      </c>
      <c r="G242" s="34" t="str">
        <f>'[7]BP-Wom'!F30</f>
        <v>Курск</v>
      </c>
    </row>
    <row r="243" spans="1:7" x14ac:dyDescent="0.25">
      <c r="A243" s="1">
        <f>'[7]BP-Wom'!A31</f>
        <v>60</v>
      </c>
      <c r="B243">
        <f>'[7]BP-Wom'!B31</f>
        <v>87.5</v>
      </c>
      <c r="C243" t="str">
        <f>'[7]BP-Wom'!C31</f>
        <v xml:space="preserve">Березенко Мария/89 </v>
      </c>
      <c r="D243" s="14" t="str">
        <f t="shared" si="6"/>
        <v xml:space="preserve">9 </v>
      </c>
      <c r="E243" s="5" t="str">
        <f>'[7]BP-Wom'!D31</f>
        <v>Алапаевск</v>
      </c>
      <c r="F243" s="10">
        <f>'[7]BP-Wom'!E31</f>
        <v>39873</v>
      </c>
      <c r="G243" s="34" t="str">
        <f>'[7]BP-Wom'!F31</f>
        <v>Челябинск</v>
      </c>
    </row>
    <row r="244" spans="1:7" x14ac:dyDescent="0.25">
      <c r="A244" s="1">
        <f>'[7]BP-Wom'!A32</f>
        <v>67.5</v>
      </c>
      <c r="B244">
        <f>'[7]BP-Wom'!B32</f>
        <v>0</v>
      </c>
      <c r="C244">
        <f>'[7]BP-Wom'!C32</f>
        <v>0</v>
      </c>
      <c r="D244" s="14" t="str">
        <f t="shared" si="6"/>
        <v>0</v>
      </c>
      <c r="E244" s="5">
        <f>'[7]BP-Wom'!D32</f>
        <v>0</v>
      </c>
      <c r="F244" s="10">
        <f>'[7]BP-Wom'!E32</f>
        <v>0</v>
      </c>
      <c r="G244" s="34">
        <f>'[7]BP-Wom'!F32</f>
        <v>0</v>
      </c>
    </row>
    <row r="245" spans="1:7" x14ac:dyDescent="0.25">
      <c r="A245" s="1">
        <f>'[7]BP-Wom'!A33</f>
        <v>75</v>
      </c>
      <c r="B245">
        <f>'[7]BP-Wom'!B33</f>
        <v>0</v>
      </c>
      <c r="C245">
        <f>'[7]BP-Wom'!C33</f>
        <v>0</v>
      </c>
      <c r="D245" s="14" t="str">
        <f t="shared" si="6"/>
        <v>0</v>
      </c>
      <c r="E245" s="5">
        <f>'[7]BP-Wom'!D33</f>
        <v>0</v>
      </c>
      <c r="F245" s="10">
        <f>'[7]BP-Wom'!E33</f>
        <v>0</v>
      </c>
      <c r="G245" s="34">
        <f>'[7]BP-Wom'!F33</f>
        <v>0</v>
      </c>
    </row>
    <row r="246" spans="1:7" x14ac:dyDescent="0.25">
      <c r="A246" s="1">
        <f>'[7]BP-Wom'!A34</f>
        <v>82.5</v>
      </c>
      <c r="B246">
        <f>'[7]BP-Wom'!B34</f>
        <v>0</v>
      </c>
      <c r="C246">
        <f>'[7]BP-Wom'!C34</f>
        <v>0</v>
      </c>
      <c r="D246" s="14" t="str">
        <f t="shared" si="6"/>
        <v>0</v>
      </c>
      <c r="E246" s="5">
        <f>'[7]BP-Wom'!D34</f>
        <v>0</v>
      </c>
      <c r="F246" s="10">
        <f>'[7]BP-Wom'!E34</f>
        <v>0</v>
      </c>
      <c r="G246" s="34">
        <f>'[7]BP-Wom'!F34</f>
        <v>0</v>
      </c>
    </row>
    <row r="247" spans="1:7" x14ac:dyDescent="0.25">
      <c r="A247" s="1">
        <f>'[7]BP-Wom'!A35</f>
        <v>90</v>
      </c>
      <c r="B247">
        <f>'[7]BP-Wom'!B35</f>
        <v>0</v>
      </c>
      <c r="C247">
        <f>'[7]BP-Wom'!C35</f>
        <v>0</v>
      </c>
      <c r="D247" s="14" t="str">
        <f t="shared" si="6"/>
        <v>0</v>
      </c>
      <c r="E247" s="5">
        <f>'[7]BP-Wom'!D35</f>
        <v>0</v>
      </c>
      <c r="F247" s="10">
        <f>'[7]BP-Wom'!E35</f>
        <v>0</v>
      </c>
      <c r="G247" s="34">
        <f>'[7]BP-Wom'!F35</f>
        <v>0</v>
      </c>
    </row>
    <row r="248" spans="1:7" x14ac:dyDescent="0.25">
      <c r="A248" s="1" t="str">
        <f>'[7]BP-Wom'!A36</f>
        <v>90+</v>
      </c>
      <c r="B248">
        <f>'[7]BP-Wom'!B36</f>
        <v>0</v>
      </c>
      <c r="C248">
        <f>'[7]BP-Wom'!C36</f>
        <v>0</v>
      </c>
      <c r="D248" s="14" t="str">
        <f t="shared" si="6"/>
        <v>0</v>
      </c>
      <c r="E248" s="5">
        <f>'[7]BP-Wom'!D36</f>
        <v>0</v>
      </c>
      <c r="F248" s="10">
        <f>'[7]BP-Wom'!E36</f>
        <v>0</v>
      </c>
      <c r="G248" s="34">
        <f>'[7]BP-Wom'!F36</f>
        <v>0</v>
      </c>
    </row>
    <row r="249" spans="1:7" x14ac:dyDescent="0.25">
      <c r="B249">
        <f>'[7]BP-Wom'!B37</f>
        <v>0</v>
      </c>
      <c r="C249">
        <f>'[7]BP-Wom'!C37</f>
        <v>0</v>
      </c>
      <c r="D249" s="14" t="str">
        <f t="shared" si="6"/>
        <v>0</v>
      </c>
      <c r="E249" s="5">
        <f>'[7]BP-Wom'!D37</f>
        <v>0</v>
      </c>
      <c r="F249" s="10">
        <f>'[7]BP-Wom'!E37</f>
        <v>0</v>
      </c>
      <c r="G249" s="34">
        <f>'[7]BP-Wom'!F37</f>
        <v>0</v>
      </c>
    </row>
    <row r="250" spans="1:7" s="11" customFormat="1" x14ac:dyDescent="0.25">
      <c r="A250" s="22" t="s">
        <v>0</v>
      </c>
      <c r="B250" s="11">
        <v>0</v>
      </c>
      <c r="C250" s="11">
        <v>20</v>
      </c>
      <c r="D250" s="24" t="str">
        <f t="shared" si="6"/>
        <v>20</v>
      </c>
      <c r="E250" s="21" t="str">
        <f>'[7]BP-Wom'!B38</f>
        <v>ЮНИОРКИ  (20 - 23)</v>
      </c>
      <c r="F250" s="13"/>
      <c r="G250" s="35"/>
    </row>
    <row r="251" spans="1:7" x14ac:dyDescent="0.25">
      <c r="A251" s="1">
        <f>'[7]BP-Wom'!A39</f>
        <v>44</v>
      </c>
      <c r="B251">
        <f>'[7]BP-Wom'!B39</f>
        <v>50</v>
      </c>
      <c r="C251" t="str">
        <f>'[7]BP-Wom'!C39</f>
        <v>Романова Екатерина/90</v>
      </c>
      <c r="D251" s="14" t="str">
        <f t="shared" si="6"/>
        <v>90</v>
      </c>
      <c r="E251" s="5" t="str">
        <f>'[7]BP-Wom'!D39</f>
        <v xml:space="preserve">Екатеринбург </v>
      </c>
      <c r="F251" s="10">
        <f>'[7]BP-Wom'!E39</f>
        <v>40454</v>
      </c>
      <c r="G251" s="34" t="str">
        <f>'[7]BP-Wom'!F39</f>
        <v>Екатеринбург</v>
      </c>
    </row>
    <row r="252" spans="1:7" x14ac:dyDescent="0.25">
      <c r="A252" s="1">
        <f>'[7]BP-Wom'!A40</f>
        <v>48</v>
      </c>
      <c r="B252">
        <f>'[7]BP-Wom'!B40</f>
        <v>80</v>
      </c>
      <c r="C252" t="str">
        <f>'[7]BP-Wom'!C40</f>
        <v>Дудырева Ирина/90</v>
      </c>
      <c r="D252" s="14" t="str">
        <f t="shared" si="6"/>
        <v>90</v>
      </c>
      <c r="E252" s="5" t="str">
        <f>'[7]BP-Wom'!D40</f>
        <v>Курск</v>
      </c>
      <c r="F252" s="10">
        <f>'[7]BP-Wom'!E40</f>
        <v>40409</v>
      </c>
      <c r="G252" s="34" t="str">
        <f>'[7]BP-Wom'!F40</f>
        <v>Москва</v>
      </c>
    </row>
    <row r="253" spans="1:7" x14ac:dyDescent="0.25">
      <c r="A253" s="1">
        <f>'[7]BP-Wom'!A41</f>
        <v>52</v>
      </c>
      <c r="B253">
        <f>'[7]BP-Wom'!B41</f>
        <v>85</v>
      </c>
      <c r="C253" t="str">
        <f>'[7]BP-Wom'!C41</f>
        <v>Блинкова Наталья/92</v>
      </c>
      <c r="D253" s="14" t="str">
        <f t="shared" si="6"/>
        <v>92</v>
      </c>
      <c r="E253" s="5" t="str">
        <f>'[7]BP-Wom'!D41</f>
        <v>Курск</v>
      </c>
      <c r="F253" s="10">
        <f>'[7]BP-Wom'!E41</f>
        <v>41129</v>
      </c>
      <c r="G253" s="34" t="str">
        <f>'[7]BP-Wom'!F41</f>
        <v>Кривой Рог</v>
      </c>
    </row>
    <row r="254" spans="1:7" x14ac:dyDescent="0.25">
      <c r="A254" s="1">
        <f>'[7]BP-Wom'!A42</f>
        <v>56</v>
      </c>
      <c r="B254">
        <f>'[7]BP-Wom'!B42</f>
        <v>97.5</v>
      </c>
      <c r="C254" t="str">
        <f>'[7]BP-Wom'!C42</f>
        <v>Березенко Мария/89</v>
      </c>
      <c r="D254" s="14" t="str">
        <f t="shared" si="6"/>
        <v>89</v>
      </c>
      <c r="E254" s="5" t="str">
        <f>'[7]BP-Wom'!D42</f>
        <v>Алапаевск</v>
      </c>
      <c r="F254" s="10">
        <f>'[7]BP-Wom'!E42</f>
        <v>40980</v>
      </c>
      <c r="G254" s="34" t="str">
        <f>'[7]BP-Wom'!F42</f>
        <v>Екатеринбург</v>
      </c>
    </row>
    <row r="255" spans="1:7" x14ac:dyDescent="0.25">
      <c r="A255" s="1">
        <f>'[7]BP-Wom'!A43</f>
        <v>60</v>
      </c>
      <c r="B255">
        <f>'[7]BP-Wom'!B43</f>
        <v>90</v>
      </c>
      <c r="C255" t="str">
        <f>'[7]BP-Wom'!C43</f>
        <v>Березенко Мария/89</v>
      </c>
      <c r="D255" s="14" t="str">
        <f t="shared" si="6"/>
        <v>89</v>
      </c>
      <c r="E255" s="5" t="str">
        <f>'[7]BP-Wom'!D43</f>
        <v>Алапаевск</v>
      </c>
      <c r="F255" s="10">
        <f>'[7]BP-Wom'!E43</f>
        <v>40454</v>
      </c>
      <c r="G255" s="34" t="str">
        <f>'[7]BP-Wom'!F43</f>
        <v>Екатеринбург</v>
      </c>
    </row>
    <row r="256" spans="1:7" x14ac:dyDescent="0.25">
      <c r="A256" s="1">
        <f>'[7]BP-Wom'!A44</f>
        <v>67.5</v>
      </c>
      <c r="B256">
        <f>'[7]BP-Wom'!B44</f>
        <v>0</v>
      </c>
      <c r="C256">
        <f>'[7]BP-Wom'!C44</f>
        <v>0</v>
      </c>
      <c r="D256" s="14" t="str">
        <f t="shared" si="6"/>
        <v>0</v>
      </c>
      <c r="E256" s="5">
        <f>'[7]BP-Wom'!D44</f>
        <v>0</v>
      </c>
      <c r="F256" s="10">
        <f>'[7]BP-Wom'!E44</f>
        <v>0</v>
      </c>
      <c r="G256" s="34">
        <f>'[7]BP-Wom'!F44</f>
        <v>0</v>
      </c>
    </row>
    <row r="257" spans="1:7" x14ac:dyDescent="0.25">
      <c r="A257" s="1">
        <f>'[7]BP-Wom'!A45</f>
        <v>75</v>
      </c>
      <c r="B257">
        <f>'[7]BP-Wom'!B45</f>
        <v>105</v>
      </c>
      <c r="C257" t="str">
        <f>'[7]BP-Wom'!C45</f>
        <v>Удовенко Оксана/91</v>
      </c>
      <c r="D257" s="14" t="str">
        <f t="shared" si="6"/>
        <v>91</v>
      </c>
      <c r="E257" s="5" t="str">
        <f>'[7]BP-Wom'!D45</f>
        <v>Сочи</v>
      </c>
      <c r="F257" s="10">
        <f>'[7]BP-Wom'!E45</f>
        <v>41041</v>
      </c>
      <c r="G257" s="34" t="str">
        <f>'[7]BP-Wom'!F45</f>
        <v>Краснодар</v>
      </c>
    </row>
    <row r="258" spans="1:7" x14ac:dyDescent="0.25">
      <c r="A258" s="1">
        <f>'[7]BP-Wom'!A46</f>
        <v>82.5</v>
      </c>
      <c r="B258">
        <f>'[7]BP-Wom'!B46</f>
        <v>0</v>
      </c>
      <c r="C258">
        <f>'[7]BP-Wom'!C46</f>
        <v>0</v>
      </c>
      <c r="D258" s="14" t="str">
        <f t="shared" si="6"/>
        <v>0</v>
      </c>
      <c r="E258" s="5">
        <f>'[7]BP-Wom'!D46</f>
        <v>0</v>
      </c>
      <c r="F258" s="10">
        <f>'[7]BP-Wom'!E46</f>
        <v>0</v>
      </c>
      <c r="G258" s="34">
        <f>'[7]BP-Wom'!F46</f>
        <v>0</v>
      </c>
    </row>
    <row r="259" spans="1:7" x14ac:dyDescent="0.25">
      <c r="A259" s="1">
        <f>'[7]BP-Wom'!A47</f>
        <v>90</v>
      </c>
      <c r="B259">
        <f>'[7]BP-Wom'!B47</f>
        <v>0</v>
      </c>
      <c r="C259">
        <f>'[7]BP-Wom'!C47</f>
        <v>0</v>
      </c>
      <c r="D259" s="14" t="str">
        <f t="shared" si="6"/>
        <v>0</v>
      </c>
      <c r="E259" s="5">
        <f>'[7]BP-Wom'!D47</f>
        <v>0</v>
      </c>
      <c r="F259" s="10">
        <f>'[7]BP-Wom'!E47</f>
        <v>0</v>
      </c>
      <c r="G259" s="34">
        <f>'[7]BP-Wom'!F47</f>
        <v>0</v>
      </c>
    </row>
    <row r="260" spans="1:7" x14ac:dyDescent="0.25">
      <c r="A260" s="1" t="str">
        <f>'[7]BP-Wom'!A48</f>
        <v>90+</v>
      </c>
      <c r="B260">
        <f>'[7]BP-Wom'!B48</f>
        <v>0</v>
      </c>
      <c r="C260">
        <f>'[7]BP-Wom'!C48</f>
        <v>0</v>
      </c>
      <c r="D260" s="14" t="str">
        <f t="shared" si="6"/>
        <v>0</v>
      </c>
      <c r="E260" s="5">
        <f>'[7]BP-Wom'!D48</f>
        <v>0</v>
      </c>
      <c r="F260" s="10">
        <f>'[7]BP-Wom'!E48</f>
        <v>0</v>
      </c>
      <c r="G260" s="34">
        <f>'[7]BP-Wom'!F48</f>
        <v>0</v>
      </c>
    </row>
    <row r="261" spans="1:7" x14ac:dyDescent="0.25">
      <c r="B261">
        <f>'[7]BP-Wom'!B49</f>
        <v>0</v>
      </c>
      <c r="C261">
        <f>'[7]BP-Wom'!C49</f>
        <v>0</v>
      </c>
      <c r="D261" s="14" t="str">
        <f t="shared" si="6"/>
        <v>0</v>
      </c>
      <c r="E261" s="5">
        <f>'[7]BP-Wom'!D49</f>
        <v>0</v>
      </c>
      <c r="F261" s="10">
        <f>'[7]BP-Wom'!E49</f>
        <v>0</v>
      </c>
      <c r="G261" s="34">
        <f>'[7]BP-Wom'!F49</f>
        <v>0</v>
      </c>
    </row>
    <row r="262" spans="1:7" s="11" customFormat="1" x14ac:dyDescent="0.25">
      <c r="A262" s="22" t="s">
        <v>0</v>
      </c>
      <c r="B262" s="11">
        <v>0</v>
      </c>
      <c r="C262" s="11">
        <v>-2</v>
      </c>
      <c r="D262" s="24" t="str">
        <f t="shared" si="6"/>
        <v>-2</v>
      </c>
      <c r="E262" s="21" t="str">
        <f>'[7]BP-Wom'!B50</f>
        <v>ЖЕНЩИНЫ</v>
      </c>
      <c r="F262" s="13"/>
      <c r="G262" s="35"/>
    </row>
    <row r="263" spans="1:7" x14ac:dyDescent="0.25">
      <c r="A263" s="1">
        <f>'[7]BP-Wom'!A51</f>
        <v>44</v>
      </c>
      <c r="B263">
        <f>'[7]BP-Wom'!B51</f>
        <v>50</v>
      </c>
      <c r="C263" t="str">
        <f>'[7]BP-Wom'!C51</f>
        <v>Романова Екатерина/90</v>
      </c>
      <c r="D263" s="14" t="str">
        <f t="shared" si="6"/>
        <v>90</v>
      </c>
      <c r="E263" s="5" t="str">
        <f>'[7]BP-Wom'!D51</f>
        <v xml:space="preserve">Екатеринбург </v>
      </c>
      <c r="F263" s="10">
        <f>'[7]BP-Wom'!E51</f>
        <v>40454</v>
      </c>
      <c r="G263" s="34" t="str">
        <f>'[7]BP-Wom'!F51</f>
        <v>Екатеринбург</v>
      </c>
    </row>
    <row r="264" spans="1:7" x14ac:dyDescent="0.25">
      <c r="A264" s="1">
        <f>'[7]BP-Wom'!A52</f>
        <v>48</v>
      </c>
      <c r="B264">
        <f>'[7]BP-Wom'!B52</f>
        <v>87.5</v>
      </c>
      <c r="C264" t="str">
        <f>'[7]BP-Wom'!C52</f>
        <v>Сергиенко Анастасия/87</v>
      </c>
      <c r="D264" s="14" t="str">
        <f t="shared" si="6"/>
        <v>87</v>
      </c>
      <c r="E264" s="5" t="str">
        <f>'[7]BP-Wom'!D52</f>
        <v>Краснодар</v>
      </c>
      <c r="F264" s="10" t="str">
        <f>'[7]BP-Wom'!E52</f>
        <v>23.08.2014</v>
      </c>
      <c r="G264" s="34" t="str">
        <f>'[7]BP-Wom'!F52</f>
        <v>Москва</v>
      </c>
    </row>
    <row r="265" spans="1:7" x14ac:dyDescent="0.25">
      <c r="A265" s="1">
        <f>'[7]BP-Wom'!A53</f>
        <v>52</v>
      </c>
      <c r="B265">
        <f>'[7]BP-Wom'!B53</f>
        <v>110</v>
      </c>
      <c r="C265" t="str">
        <f>'[7]BP-Wom'!C53</f>
        <v>Антипова Агнесса/81</v>
      </c>
      <c r="D265" s="14" t="str">
        <f t="shared" si="6"/>
        <v>81</v>
      </c>
      <c r="E265" s="5" t="str">
        <f>'[7]BP-Wom'!D53</f>
        <v>Барнаул</v>
      </c>
      <c r="F265" s="10">
        <f>'[7]BP-Wom'!E53</f>
        <v>40813</v>
      </c>
      <c r="G265" s="34" t="str">
        <f>'[7]BP-Wom'!F53</f>
        <v>Екатеринбург</v>
      </c>
    </row>
    <row r="266" spans="1:7" x14ac:dyDescent="0.25">
      <c r="A266" s="1">
        <f>'[7]BP-Wom'!A54</f>
        <v>56</v>
      </c>
      <c r="B266">
        <f>'[7]BP-Wom'!B54</f>
        <v>100</v>
      </c>
      <c r="C266" t="str">
        <f>'[7]BP-Wom'!C54</f>
        <v>Заескова Людмила/88</v>
      </c>
      <c r="D266" s="14" t="str">
        <f t="shared" si="6"/>
        <v>88</v>
      </c>
      <c r="E266" s="5" t="str">
        <f>'[7]BP-Wom'!D54</f>
        <v>Вологда</v>
      </c>
      <c r="F266" s="10">
        <f>'[7]BP-Wom'!E54</f>
        <v>41439</v>
      </c>
      <c r="G266" s="34" t="str">
        <f>'[7]BP-Wom'!F54</f>
        <v>Москва</v>
      </c>
    </row>
    <row r="267" spans="1:7" x14ac:dyDescent="0.25">
      <c r="A267" s="1">
        <f>'[7]BP-Wom'!A55</f>
        <v>60</v>
      </c>
      <c r="B267">
        <f>'[7]BP-Wom'!B55</f>
        <v>92.5</v>
      </c>
      <c r="C267" t="str">
        <f>'[7]BP-Wom'!C55</f>
        <v>Загребина Наталья/77</v>
      </c>
      <c r="D267" s="14" t="str">
        <f t="shared" si="6"/>
        <v>77</v>
      </c>
      <c r="E267" s="5" t="str">
        <f>'[7]BP-Wom'!D55</f>
        <v>Нижний Ломов</v>
      </c>
      <c r="F267" s="10">
        <f>'[7]BP-Wom'!E55</f>
        <v>41619</v>
      </c>
      <c r="G267" s="34" t="str">
        <f>'[7]BP-Wom'!F55</f>
        <v>Курск</v>
      </c>
    </row>
    <row r="268" spans="1:7" x14ac:dyDescent="0.25">
      <c r="A268" s="1">
        <f>'[7]BP-Wom'!A56</f>
        <v>67.5</v>
      </c>
      <c r="B268">
        <f>'[7]BP-Wom'!B56</f>
        <v>140</v>
      </c>
      <c r="C268" t="str">
        <f>'[7]BP-Wom'!C56</f>
        <v>Медведева Юлия/79</v>
      </c>
      <c r="D268" s="14" t="str">
        <f t="shared" si="6"/>
        <v>79</v>
      </c>
      <c r="E268" s="5" t="str">
        <f>'[7]BP-Wom'!D56</f>
        <v>Новосибирск</v>
      </c>
      <c r="F268" s="10">
        <f>'[7]BP-Wom'!E56</f>
        <v>40034</v>
      </c>
      <c r="G268" s="34" t="str">
        <f>'[7]BP-Wom'!F56</f>
        <v>Курск</v>
      </c>
    </row>
    <row r="269" spans="1:7" x14ac:dyDescent="0.25">
      <c r="A269" s="1">
        <f>'[7]BP-Wom'!A57</f>
        <v>75</v>
      </c>
      <c r="B269">
        <f>'[7]BP-Wom'!B57</f>
        <v>120</v>
      </c>
      <c r="C269" t="str">
        <f>'[7]BP-Wom'!C57</f>
        <v>Синачева Светлана/66</v>
      </c>
      <c r="D269" s="14" t="str">
        <f t="shared" si="6"/>
        <v>66</v>
      </c>
      <c r="E269" s="5" t="str">
        <f>'[7]BP-Wom'!D57</f>
        <v>Трехгорный</v>
      </c>
      <c r="F269" s="10">
        <f>'[7]BP-Wom'!E57</f>
        <v>39724</v>
      </c>
      <c r="G269" s="34" t="str">
        <f>'[7]BP-Wom'!F57</f>
        <v>Лауххаммер</v>
      </c>
    </row>
    <row r="270" spans="1:7" x14ac:dyDescent="0.25">
      <c r="A270" s="1">
        <f>'[7]BP-Wom'!A58</f>
        <v>82.5</v>
      </c>
      <c r="B270">
        <f>'[7]BP-Wom'!B58</f>
        <v>130</v>
      </c>
      <c r="C270" t="str">
        <f>'[7]BP-Wom'!C58</f>
        <v>Бако Наталья/73</v>
      </c>
      <c r="D270" s="14" t="str">
        <f t="shared" si="6"/>
        <v>73</v>
      </c>
      <c r="E270" s="5" t="str">
        <f>'[7]BP-Wom'!D58</f>
        <v>Ленинск-Кузнецкий р-н</v>
      </c>
      <c r="F270" s="10">
        <f>'[7]BP-Wom'!E58</f>
        <v>40025</v>
      </c>
      <c r="G270" s="34" t="str">
        <f>'[7]BP-Wom'!F58</f>
        <v>Палм-Бич</v>
      </c>
    </row>
    <row r="271" spans="1:7" x14ac:dyDescent="0.25">
      <c r="A271" s="1">
        <f>'[7]BP-Wom'!A59</f>
        <v>90</v>
      </c>
      <c r="B271">
        <f>'[7]BP-Wom'!B59</f>
        <v>0</v>
      </c>
      <c r="C271">
        <f>'[7]BP-Wom'!C59</f>
        <v>0</v>
      </c>
      <c r="D271" s="14" t="str">
        <f t="shared" si="6"/>
        <v>0</v>
      </c>
      <c r="E271" s="5">
        <f>'[7]BP-Wom'!D59</f>
        <v>0</v>
      </c>
      <c r="F271" s="10">
        <f>'[7]BP-Wom'!E59</f>
        <v>0</v>
      </c>
      <c r="G271" s="34">
        <f>'[7]BP-Wom'!F59</f>
        <v>0</v>
      </c>
    </row>
    <row r="272" spans="1:7" x14ac:dyDescent="0.25">
      <c r="A272" s="1" t="str">
        <f>'[7]BP-Wom'!A60</f>
        <v>90+</v>
      </c>
      <c r="B272">
        <f>'[7]BP-Wom'!B60</f>
        <v>0</v>
      </c>
      <c r="C272">
        <f>'[7]BP-Wom'!C60</f>
        <v>0</v>
      </c>
      <c r="D272" s="14" t="str">
        <f t="shared" si="6"/>
        <v>0</v>
      </c>
      <c r="E272" s="5">
        <f>'[7]BP-Wom'!D60</f>
        <v>0</v>
      </c>
      <c r="F272" s="10">
        <f>'[7]BP-Wom'!E60</f>
        <v>0</v>
      </c>
      <c r="G272" s="34">
        <f>'[7]BP-Wom'!F60</f>
        <v>0</v>
      </c>
    </row>
    <row r="273" spans="1:7" x14ac:dyDescent="0.25">
      <c r="B273">
        <f>'[7]BP-Wom'!B61</f>
        <v>0</v>
      </c>
      <c r="C273">
        <f>'[7]BP-Wom'!C61</f>
        <v>0</v>
      </c>
      <c r="D273" s="14" t="str">
        <f t="shared" si="6"/>
        <v>0</v>
      </c>
      <c r="E273" s="5">
        <f>'[7]BP-Wom'!D61</f>
        <v>0</v>
      </c>
      <c r="F273" s="10">
        <f>'[7]BP-Wom'!E61</f>
        <v>0</v>
      </c>
      <c r="G273" s="34">
        <f>'[7]BP-Wom'!F61</f>
        <v>0</v>
      </c>
    </row>
    <row r="274" spans="1:7" s="11" customFormat="1" x14ac:dyDescent="0.25">
      <c r="A274" s="22" t="s">
        <v>0</v>
      </c>
      <c r="B274" s="11">
        <v>0</v>
      </c>
      <c r="C274" s="11">
        <v>-4</v>
      </c>
      <c r="D274" s="24" t="str">
        <f t="shared" si="6"/>
        <v>-4</v>
      </c>
      <c r="E274" s="21" t="str">
        <f>'[7]BP-Wom'!B62</f>
        <v>ЖЕНЩИНЫ - САБМАСТЕРС  (33 - 39)</v>
      </c>
      <c r="F274" s="13"/>
      <c r="G274" s="35"/>
    </row>
    <row r="275" spans="1:7" x14ac:dyDescent="0.25">
      <c r="A275" s="1">
        <f>'[7]BP-Wom'!A63</f>
        <v>44</v>
      </c>
      <c r="B275">
        <f>'[7]BP-Wom'!B63</f>
        <v>0</v>
      </c>
      <c r="C275">
        <f>'[7]BP-Wom'!C63</f>
        <v>0</v>
      </c>
      <c r="D275" s="14" t="str">
        <f t="shared" si="6"/>
        <v>0</v>
      </c>
      <c r="E275" s="5">
        <f>'[7]BP-Wom'!D63</f>
        <v>0</v>
      </c>
      <c r="F275" s="10">
        <f>'[7]BP-Wom'!E63</f>
        <v>0</v>
      </c>
      <c r="G275" s="34">
        <f>'[7]BP-Wom'!F63</f>
        <v>0</v>
      </c>
    </row>
    <row r="276" spans="1:7" x14ac:dyDescent="0.25">
      <c r="A276" s="1">
        <f>'[7]BP-Wom'!A64</f>
        <v>48</v>
      </c>
      <c r="B276">
        <f>'[7]BP-Wom'!B64</f>
        <v>0</v>
      </c>
      <c r="C276">
        <f>'[7]BP-Wom'!C64</f>
        <v>0</v>
      </c>
      <c r="D276" s="14" t="str">
        <f t="shared" si="6"/>
        <v>0</v>
      </c>
      <c r="E276" s="5">
        <f>'[7]BP-Wom'!D64</f>
        <v>0</v>
      </c>
      <c r="F276" s="10">
        <f>'[7]BP-Wom'!E64</f>
        <v>0</v>
      </c>
      <c r="G276" s="34">
        <f>'[7]BP-Wom'!F64</f>
        <v>0</v>
      </c>
    </row>
    <row r="277" spans="1:7" x14ac:dyDescent="0.25">
      <c r="A277" s="1">
        <f>'[7]BP-Wom'!A65</f>
        <v>52</v>
      </c>
      <c r="B277">
        <f>'[7]BP-Wom'!B65</f>
        <v>65</v>
      </c>
      <c r="C277" t="str">
        <f>'[7]BP-Wom'!C65</f>
        <v>Рыкунова Татьяна/71</v>
      </c>
      <c r="D277" s="14" t="str">
        <f t="shared" si="6"/>
        <v>71</v>
      </c>
      <c r="E277" s="5" t="str">
        <f>'[7]BP-Wom'!D65</f>
        <v>Алапаевск</v>
      </c>
      <c r="F277" s="10">
        <f>'[7]BP-Wom'!E65</f>
        <v>40454</v>
      </c>
      <c r="G277" s="34" t="str">
        <f>'[7]BP-Wom'!F65</f>
        <v>Екатеринбург</v>
      </c>
    </row>
    <row r="278" spans="1:7" x14ac:dyDescent="0.25">
      <c r="A278" s="1">
        <f>'[7]BP-Wom'!A66</f>
        <v>56</v>
      </c>
      <c r="B278">
        <f>'[7]BP-Wom'!B66</f>
        <v>88</v>
      </c>
      <c r="C278" t="str">
        <f>'[7]BP-Wom'!C66</f>
        <v>Григорьева Елена/76</v>
      </c>
      <c r="D278" s="14" t="str">
        <f t="shared" ref="D278:D319" si="7">RIGHT(C278,2)</f>
        <v>76</v>
      </c>
      <c r="E278" s="5" t="str">
        <f>'[7]BP-Wom'!D66</f>
        <v>Волгоград</v>
      </c>
      <c r="F278" s="10" t="str">
        <f>'[7]BP-Wom'!E66</f>
        <v>23.08.2014</v>
      </c>
      <c r="G278" s="34" t="str">
        <f>'[7]BP-Wom'!F66</f>
        <v>Москва</v>
      </c>
    </row>
    <row r="279" spans="1:7" x14ac:dyDescent="0.25">
      <c r="A279" s="1">
        <f>'[7]BP-Wom'!A67</f>
        <v>60</v>
      </c>
      <c r="B279">
        <f>'[7]BP-Wom'!B67</f>
        <v>92.5</v>
      </c>
      <c r="C279" t="str">
        <f>'[7]BP-Wom'!C67</f>
        <v>Загребина Наталья/77</v>
      </c>
      <c r="D279" s="14" t="str">
        <f t="shared" si="7"/>
        <v>77</v>
      </c>
      <c r="E279" s="5" t="str">
        <f>'[7]BP-Wom'!D67</f>
        <v>Нижний Ломов</v>
      </c>
      <c r="F279" s="10">
        <f>'[7]BP-Wom'!E67</f>
        <v>41619</v>
      </c>
      <c r="G279" s="34" t="str">
        <f>'[7]BP-Wom'!F67</f>
        <v>Курск</v>
      </c>
    </row>
    <row r="280" spans="1:7" x14ac:dyDescent="0.25">
      <c r="A280" s="1">
        <f>'[7]BP-Wom'!A68</f>
        <v>67.5</v>
      </c>
      <c r="B280">
        <f>'[7]BP-Wom'!B68</f>
        <v>102.5</v>
      </c>
      <c r="C280" t="str">
        <f>'[7]BP-Wom'!C68</f>
        <v>Загребина Наталья/77</v>
      </c>
      <c r="D280" s="14" t="str">
        <f t="shared" si="7"/>
        <v>77</v>
      </c>
      <c r="E280" s="5" t="str">
        <f>'[7]BP-Wom'!D68</f>
        <v>Нижний Ломов</v>
      </c>
      <c r="F280" s="10" t="str">
        <f>'[7]BP-Wom'!E68</f>
        <v>23.08.2014</v>
      </c>
      <c r="G280" s="34" t="str">
        <f>'[7]BP-Wom'!F68</f>
        <v>Москва</v>
      </c>
    </row>
    <row r="281" spans="1:7" x14ac:dyDescent="0.25">
      <c r="A281" s="1">
        <f>'[7]BP-Wom'!A69</f>
        <v>75</v>
      </c>
      <c r="B281">
        <f>'[7]BP-Wom'!B69</f>
        <v>0</v>
      </c>
      <c r="C281">
        <f>'[7]BP-Wom'!C69</f>
        <v>0</v>
      </c>
      <c r="D281" s="14" t="str">
        <f t="shared" si="7"/>
        <v>0</v>
      </c>
      <c r="E281" s="5">
        <f>'[7]BP-Wom'!D69</f>
        <v>0</v>
      </c>
      <c r="F281" s="10">
        <f>'[7]BP-Wom'!E69</f>
        <v>0</v>
      </c>
      <c r="G281" s="34">
        <f>'[7]BP-Wom'!F69</f>
        <v>0</v>
      </c>
    </row>
    <row r="282" spans="1:7" x14ac:dyDescent="0.25">
      <c r="A282" s="1">
        <f>'[7]BP-Wom'!A70</f>
        <v>82.5</v>
      </c>
      <c r="B282">
        <f>'[7]BP-Wom'!B70</f>
        <v>130</v>
      </c>
      <c r="C282" t="str">
        <f>'[7]BP-Wom'!C70</f>
        <v>Бако Наталья/73</v>
      </c>
      <c r="D282" s="14" t="str">
        <f t="shared" si="7"/>
        <v>73</v>
      </c>
      <c r="E282" s="5" t="str">
        <f>'[7]BP-Wom'!D70</f>
        <v>Ленинск-Кузнецкий р-н</v>
      </c>
      <c r="F282" s="10">
        <f>'[7]BP-Wom'!E70</f>
        <v>40025</v>
      </c>
      <c r="G282" s="34" t="str">
        <f>'[7]BP-Wom'!F70</f>
        <v>Палм-Бич</v>
      </c>
    </row>
    <row r="283" spans="1:7" x14ac:dyDescent="0.25">
      <c r="A283" s="1">
        <f>'[7]BP-Wom'!A71</f>
        <v>90</v>
      </c>
      <c r="B283">
        <f>'[7]BP-Wom'!B71</f>
        <v>0</v>
      </c>
      <c r="C283">
        <f>'[7]BP-Wom'!C71</f>
        <v>0</v>
      </c>
      <c r="D283" s="14" t="str">
        <f t="shared" si="7"/>
        <v>0</v>
      </c>
      <c r="E283" s="5">
        <f>'[7]BP-Wom'!D71</f>
        <v>0</v>
      </c>
      <c r="F283" s="10">
        <f>'[7]BP-Wom'!E71</f>
        <v>0</v>
      </c>
      <c r="G283" s="34">
        <f>'[7]BP-Wom'!F71</f>
        <v>0</v>
      </c>
    </row>
    <row r="284" spans="1:7" x14ac:dyDescent="0.25">
      <c r="A284" s="1" t="str">
        <f>'[7]BP-Wom'!A72</f>
        <v>90+</v>
      </c>
      <c r="B284">
        <f>'[7]BP-Wom'!B72</f>
        <v>0</v>
      </c>
      <c r="C284">
        <f>'[7]BP-Wom'!C72</f>
        <v>0</v>
      </c>
      <c r="D284" s="14" t="str">
        <f t="shared" si="7"/>
        <v>0</v>
      </c>
      <c r="E284" s="5">
        <f>'[7]BP-Wom'!D72</f>
        <v>0</v>
      </c>
      <c r="F284" s="10">
        <f>'[7]BP-Wom'!E72</f>
        <v>0</v>
      </c>
      <c r="G284" s="34">
        <f>'[7]BP-Wom'!F72</f>
        <v>0</v>
      </c>
    </row>
    <row r="285" spans="1:7" x14ac:dyDescent="0.25">
      <c r="B285">
        <f>'[7]BP-Wom'!B73</f>
        <v>0</v>
      </c>
      <c r="C285">
        <f>'[7]BP-Wom'!C73</f>
        <v>0</v>
      </c>
      <c r="D285" s="14" t="str">
        <f t="shared" si="7"/>
        <v>0</v>
      </c>
      <c r="E285" s="5">
        <f>'[7]BP-Wom'!D73</f>
        <v>0</v>
      </c>
      <c r="F285" s="10">
        <f>'[7]BP-Wom'!E73</f>
        <v>0</v>
      </c>
      <c r="G285" s="34">
        <f>'[7]BP-Wom'!F73</f>
        <v>0</v>
      </c>
    </row>
    <row r="286" spans="1:7" s="11" customFormat="1" x14ac:dyDescent="0.25">
      <c r="A286" s="22" t="s">
        <v>0</v>
      </c>
      <c r="B286" s="11">
        <v>0</v>
      </c>
      <c r="C286" s="11">
        <v>40</v>
      </c>
      <c r="D286" s="24" t="str">
        <f t="shared" si="7"/>
        <v>40</v>
      </c>
      <c r="E286" s="21" t="str">
        <f>'[7]BP-Wom'!B74</f>
        <v>МАСТЕРС - 1(40-44)</v>
      </c>
      <c r="F286" s="13"/>
      <c r="G286" s="35"/>
    </row>
    <row r="287" spans="1:7" x14ac:dyDescent="0.25">
      <c r="A287" s="1">
        <f>'[7]BP-Wom'!A75</f>
        <v>44</v>
      </c>
      <c r="B287">
        <f>'[7]BP-Wom'!B75</f>
        <v>0</v>
      </c>
      <c r="C287">
        <f>'[7]BP-Wom'!C75</f>
        <v>0</v>
      </c>
      <c r="D287" s="14" t="str">
        <f t="shared" si="7"/>
        <v>0</v>
      </c>
      <c r="E287" s="5">
        <f>'[7]BP-Wom'!D75</f>
        <v>0</v>
      </c>
      <c r="F287" s="10">
        <f>'[7]BP-Wom'!E75</f>
        <v>0</v>
      </c>
      <c r="G287" s="34">
        <f>'[7]BP-Wom'!F75</f>
        <v>0</v>
      </c>
    </row>
    <row r="288" spans="1:7" x14ac:dyDescent="0.25">
      <c r="A288" s="1">
        <f>'[7]BP-Wom'!A76</f>
        <v>48</v>
      </c>
      <c r="B288">
        <f>'[7]BP-Wom'!B76</f>
        <v>0</v>
      </c>
      <c r="C288">
        <f>'[7]BP-Wom'!C76</f>
        <v>0</v>
      </c>
      <c r="D288" s="14" t="str">
        <f t="shared" si="7"/>
        <v>0</v>
      </c>
      <c r="E288" s="5">
        <f>'[7]BP-Wom'!D76</f>
        <v>0</v>
      </c>
      <c r="F288" s="10">
        <f>'[7]BP-Wom'!E76</f>
        <v>0</v>
      </c>
      <c r="G288" s="34">
        <f>'[7]BP-Wom'!F76</f>
        <v>0</v>
      </c>
    </row>
    <row r="289" spans="1:7" x14ac:dyDescent="0.25">
      <c r="A289" s="1">
        <f>'[7]BP-Wom'!A77</f>
        <v>52</v>
      </c>
      <c r="B289">
        <f>'[7]BP-Wom'!B77</f>
        <v>0</v>
      </c>
      <c r="C289">
        <f>'[7]BP-Wom'!C77</f>
        <v>0</v>
      </c>
      <c r="D289" s="14" t="str">
        <f t="shared" si="7"/>
        <v>0</v>
      </c>
      <c r="E289" s="5">
        <f>'[7]BP-Wom'!D77</f>
        <v>0</v>
      </c>
      <c r="F289" s="10">
        <f>'[7]BP-Wom'!E77</f>
        <v>0</v>
      </c>
      <c r="G289" s="34">
        <f>'[7]BP-Wom'!F77</f>
        <v>0</v>
      </c>
    </row>
    <row r="290" spans="1:7" x14ac:dyDescent="0.25">
      <c r="A290" s="1">
        <f>'[7]BP-Wom'!A78</f>
        <v>56</v>
      </c>
      <c r="B290">
        <f>'[7]BP-Wom'!B78</f>
        <v>0</v>
      </c>
      <c r="C290">
        <f>'[7]BP-Wom'!C78</f>
        <v>0</v>
      </c>
      <c r="D290" s="14" t="str">
        <f t="shared" si="7"/>
        <v>0</v>
      </c>
      <c r="E290" s="5">
        <f>'[7]BP-Wom'!D78</f>
        <v>0</v>
      </c>
      <c r="F290" s="10">
        <f>'[7]BP-Wom'!E78</f>
        <v>0</v>
      </c>
      <c r="G290" s="34">
        <f>'[7]BP-Wom'!F78</f>
        <v>0</v>
      </c>
    </row>
    <row r="291" spans="1:7" x14ac:dyDescent="0.25">
      <c r="A291" s="1">
        <f>'[7]BP-Wom'!A79</f>
        <v>60</v>
      </c>
      <c r="B291">
        <f>'[7]BP-Wom'!B79</f>
        <v>0</v>
      </c>
      <c r="C291">
        <f>'[7]BP-Wom'!C79</f>
        <v>0</v>
      </c>
      <c r="D291" s="14" t="str">
        <f t="shared" si="7"/>
        <v>0</v>
      </c>
      <c r="E291" s="5">
        <f>'[7]BP-Wom'!D79</f>
        <v>0</v>
      </c>
      <c r="F291" s="10">
        <f>'[7]BP-Wom'!E79</f>
        <v>0</v>
      </c>
      <c r="G291" s="34">
        <f>'[7]BP-Wom'!F79</f>
        <v>0</v>
      </c>
    </row>
    <row r="292" spans="1:7" x14ac:dyDescent="0.25">
      <c r="A292" s="1" t="str">
        <f>'[7]BP-Wom'!A80</f>
        <v>67.5</v>
      </c>
      <c r="B292">
        <f>'[7]BP-Wom'!B80</f>
        <v>82.5</v>
      </c>
      <c r="C292" t="str">
        <f>'[7]BP-Wom'!C80</f>
        <v>Nikolenko Anna/70</v>
      </c>
      <c r="D292" s="14" t="str">
        <f t="shared" si="7"/>
        <v>70</v>
      </c>
      <c r="E292" s="5" t="str">
        <f>'[7]BP-Wom'!D80</f>
        <v>Москва</v>
      </c>
      <c r="F292" s="10">
        <f>'[7]BP-Wom'!E80</f>
        <v>41441</v>
      </c>
      <c r="G292" s="34" t="str">
        <f>'[7]BP-Wom'!F80</f>
        <v>Moscow</v>
      </c>
    </row>
    <row r="293" spans="1:7" x14ac:dyDescent="0.25">
      <c r="A293" s="1">
        <f>'[7]BP-Wom'!A81</f>
        <v>75</v>
      </c>
      <c r="B293">
        <f>'[7]BP-Wom'!B81</f>
        <v>120</v>
      </c>
      <c r="C293" t="str">
        <f>'[7]BP-Wom'!C81</f>
        <v>Синачева Светлана/66</v>
      </c>
      <c r="D293" s="14" t="str">
        <f t="shared" si="7"/>
        <v>66</v>
      </c>
      <c r="E293" s="5" t="str">
        <f>'[7]BP-Wom'!D81</f>
        <v>Трехгорный</v>
      </c>
      <c r="F293" s="10">
        <f>'[7]BP-Wom'!E81</f>
        <v>39724</v>
      </c>
      <c r="G293" s="34" t="str">
        <f>'[7]BP-Wom'!F81</f>
        <v>Лауххаммер</v>
      </c>
    </row>
    <row r="294" spans="1:7" x14ac:dyDescent="0.25">
      <c r="A294" s="1">
        <f>'[7]BP-Wom'!A82</f>
        <v>82.5</v>
      </c>
      <c r="B294">
        <f>'[7]BP-Wom'!B82</f>
        <v>115</v>
      </c>
      <c r="C294" t="str">
        <f>'[7]BP-Wom'!C82</f>
        <v>Синачева Светлана/66</v>
      </c>
      <c r="D294" s="14" t="str">
        <f t="shared" si="7"/>
        <v>66</v>
      </c>
      <c r="E294" s="5" t="str">
        <f>'[7]BP-Wom'!D82</f>
        <v>Трехгорный</v>
      </c>
      <c r="F294" s="10">
        <f>'[7]BP-Wom'!E82</f>
        <v>40257</v>
      </c>
      <c r="G294" s="34" t="str">
        <f>'[7]BP-Wom'!F82</f>
        <v>Курск</v>
      </c>
    </row>
    <row r="295" spans="1:7" x14ac:dyDescent="0.25">
      <c r="A295" s="1">
        <f>'[7]BP-Wom'!A83</f>
        <v>90</v>
      </c>
      <c r="B295">
        <f>'[7]BP-Wom'!B83</f>
        <v>0</v>
      </c>
      <c r="C295">
        <f>'[7]BP-Wom'!C83</f>
        <v>0</v>
      </c>
      <c r="D295" s="14" t="str">
        <f t="shared" si="7"/>
        <v>0</v>
      </c>
      <c r="E295" s="5">
        <f>'[7]BP-Wom'!D83</f>
        <v>0</v>
      </c>
      <c r="F295" s="10">
        <f>'[7]BP-Wom'!E83</f>
        <v>0</v>
      </c>
      <c r="G295" s="34">
        <f>'[7]BP-Wom'!F83</f>
        <v>0</v>
      </c>
    </row>
    <row r="296" spans="1:7" x14ac:dyDescent="0.25">
      <c r="A296" s="1" t="str">
        <f>'[7]BP-Wom'!A84</f>
        <v>90+</v>
      </c>
      <c r="B296">
        <f>'[7]BP-Wom'!B84</f>
        <v>0</v>
      </c>
      <c r="C296">
        <f>'[7]BP-Wom'!C84</f>
        <v>0</v>
      </c>
      <c r="D296" s="14" t="str">
        <f t="shared" si="7"/>
        <v>0</v>
      </c>
      <c r="E296" s="5">
        <f>'[7]BP-Wom'!D84</f>
        <v>0</v>
      </c>
      <c r="F296" s="10">
        <f>'[7]BP-Wom'!E84</f>
        <v>0</v>
      </c>
      <c r="G296" s="34">
        <f>'[7]BP-Wom'!F84</f>
        <v>0</v>
      </c>
    </row>
    <row r="297" spans="1:7" x14ac:dyDescent="0.25">
      <c r="B297">
        <f>'[7]BP-Wom'!B85</f>
        <v>0</v>
      </c>
      <c r="C297">
        <f>'[7]BP-Wom'!C85</f>
        <v>0</v>
      </c>
      <c r="D297" s="14" t="str">
        <f t="shared" si="7"/>
        <v>0</v>
      </c>
      <c r="E297" s="5">
        <f>'[7]BP-Wom'!D85</f>
        <v>0</v>
      </c>
      <c r="F297" s="10">
        <f>'[7]BP-Wom'!E85</f>
        <v>0</v>
      </c>
      <c r="G297" s="34">
        <f>'[7]BP-Wom'!F85</f>
        <v>0</v>
      </c>
    </row>
    <row r="298" spans="1:7" s="11" customFormat="1" x14ac:dyDescent="0.25">
      <c r="A298" s="22" t="s">
        <v>0</v>
      </c>
      <c r="B298" s="11">
        <v>0</v>
      </c>
      <c r="C298" s="11">
        <v>45</v>
      </c>
      <c r="D298" s="24" t="str">
        <f t="shared" si="7"/>
        <v>45</v>
      </c>
      <c r="E298" s="21" t="str">
        <f>'[7]BP-Wom'!B86</f>
        <v>МАСТЕРС -2(45-49)</v>
      </c>
      <c r="F298" s="13"/>
      <c r="G298" s="35"/>
    </row>
    <row r="299" spans="1:7" x14ac:dyDescent="0.25">
      <c r="A299" s="1">
        <f>'[7]BP-Wom'!A87</f>
        <v>44</v>
      </c>
      <c r="B299">
        <f>'[7]BP-Wom'!B87</f>
        <v>0</v>
      </c>
      <c r="C299">
        <f>'[7]BP-Wom'!C87</f>
        <v>0</v>
      </c>
      <c r="D299" s="14" t="str">
        <f t="shared" si="7"/>
        <v>0</v>
      </c>
      <c r="E299" s="5">
        <f>'[7]BP-Wom'!D87</f>
        <v>0</v>
      </c>
      <c r="F299" s="10">
        <f>'[7]BP-Wom'!E87</f>
        <v>0</v>
      </c>
      <c r="G299" s="34">
        <f>'[7]BP-Wom'!F87</f>
        <v>0</v>
      </c>
    </row>
    <row r="300" spans="1:7" x14ac:dyDescent="0.25">
      <c r="A300" s="1">
        <f>'[7]BP-Wom'!A88</f>
        <v>48</v>
      </c>
      <c r="B300">
        <f>'[7]BP-Wom'!B88</f>
        <v>0</v>
      </c>
      <c r="C300">
        <f>'[7]BP-Wom'!C88</f>
        <v>0</v>
      </c>
      <c r="D300" s="14" t="str">
        <f t="shared" si="7"/>
        <v>0</v>
      </c>
      <c r="E300" s="5">
        <f>'[7]BP-Wom'!D88</f>
        <v>0</v>
      </c>
      <c r="F300" s="10">
        <f>'[7]BP-Wom'!E88</f>
        <v>0</v>
      </c>
      <c r="G300" s="34">
        <f>'[7]BP-Wom'!F88</f>
        <v>0</v>
      </c>
    </row>
    <row r="301" spans="1:7" x14ac:dyDescent="0.25">
      <c r="A301" s="1">
        <f>'[7]BP-Wom'!A89</f>
        <v>52</v>
      </c>
      <c r="B301">
        <f>'[7]BP-Wom'!B89</f>
        <v>0</v>
      </c>
      <c r="C301">
        <f>'[7]BP-Wom'!C89</f>
        <v>0</v>
      </c>
      <c r="D301" s="14" t="str">
        <f t="shared" si="7"/>
        <v>0</v>
      </c>
      <c r="E301" s="5">
        <f>'[7]BP-Wom'!D89</f>
        <v>0</v>
      </c>
      <c r="F301" s="10">
        <f>'[7]BP-Wom'!E89</f>
        <v>0</v>
      </c>
      <c r="G301" s="34">
        <f>'[7]BP-Wom'!F89</f>
        <v>0</v>
      </c>
    </row>
    <row r="302" spans="1:7" x14ac:dyDescent="0.25">
      <c r="A302" s="1">
        <f>'[7]BP-Wom'!A90</f>
        <v>56</v>
      </c>
      <c r="B302">
        <f>'[7]BP-Wom'!B90</f>
        <v>0</v>
      </c>
      <c r="C302">
        <f>'[7]BP-Wom'!C90</f>
        <v>0</v>
      </c>
      <c r="D302" s="14" t="str">
        <f t="shared" si="7"/>
        <v>0</v>
      </c>
      <c r="E302" s="5">
        <f>'[7]BP-Wom'!D90</f>
        <v>0</v>
      </c>
      <c r="F302" s="10">
        <f>'[7]BP-Wom'!E90</f>
        <v>0</v>
      </c>
      <c r="G302" s="34">
        <f>'[7]BP-Wom'!F90</f>
        <v>0</v>
      </c>
    </row>
    <row r="303" spans="1:7" x14ac:dyDescent="0.25">
      <c r="A303" s="1">
        <f>'[7]BP-Wom'!A91</f>
        <v>60</v>
      </c>
      <c r="B303">
        <f>'[7]BP-Wom'!B91</f>
        <v>0</v>
      </c>
      <c r="C303">
        <f>'[7]BP-Wom'!C91</f>
        <v>0</v>
      </c>
      <c r="D303" s="14" t="str">
        <f t="shared" si="7"/>
        <v>0</v>
      </c>
      <c r="E303" s="5">
        <f>'[7]BP-Wom'!D91</f>
        <v>0</v>
      </c>
      <c r="F303" s="10">
        <f>'[7]BP-Wom'!E91</f>
        <v>0</v>
      </c>
      <c r="G303" s="34">
        <f>'[7]BP-Wom'!F91</f>
        <v>0</v>
      </c>
    </row>
    <row r="304" spans="1:7" x14ac:dyDescent="0.25">
      <c r="A304" s="1" t="str">
        <f>'[7]BP-Wom'!A92</f>
        <v>67.5</v>
      </c>
      <c r="B304">
        <f>'[7]BP-Wom'!B92</f>
        <v>0</v>
      </c>
      <c r="C304">
        <f>'[7]BP-Wom'!C92</f>
        <v>0</v>
      </c>
      <c r="D304" s="14" t="str">
        <f t="shared" si="7"/>
        <v>0</v>
      </c>
      <c r="E304" s="5">
        <f>'[7]BP-Wom'!D92</f>
        <v>0</v>
      </c>
      <c r="F304" s="10">
        <f>'[7]BP-Wom'!E92</f>
        <v>0</v>
      </c>
      <c r="G304" s="34">
        <f>'[7]BP-Wom'!F92</f>
        <v>0</v>
      </c>
    </row>
    <row r="305" spans="1:7" x14ac:dyDescent="0.25">
      <c r="A305" s="1">
        <f>'[7]BP-Wom'!A93</f>
        <v>75</v>
      </c>
      <c r="B305">
        <f>'[7]BP-Wom'!B93</f>
        <v>0</v>
      </c>
      <c r="C305">
        <f>'[7]BP-Wom'!C93</f>
        <v>0</v>
      </c>
      <c r="D305" s="14" t="str">
        <f t="shared" si="7"/>
        <v>0</v>
      </c>
      <c r="E305" s="5">
        <f>'[7]BP-Wom'!D93</f>
        <v>0</v>
      </c>
      <c r="F305" s="10">
        <f>'[7]BP-Wom'!E93</f>
        <v>0</v>
      </c>
      <c r="G305" s="34">
        <f>'[7]BP-Wom'!F93</f>
        <v>0</v>
      </c>
    </row>
    <row r="306" spans="1:7" x14ac:dyDescent="0.25">
      <c r="A306" s="1">
        <f>'[7]BP-Wom'!A94</f>
        <v>82.5</v>
      </c>
      <c r="B306">
        <f>'[7]BP-Wom'!B94</f>
        <v>0</v>
      </c>
      <c r="C306">
        <f>'[7]BP-Wom'!C94</f>
        <v>0</v>
      </c>
      <c r="D306" s="14" t="str">
        <f t="shared" si="7"/>
        <v>0</v>
      </c>
      <c r="E306" s="5">
        <f>'[7]BP-Wom'!D94</f>
        <v>0</v>
      </c>
      <c r="F306" s="10">
        <f>'[7]BP-Wom'!E94</f>
        <v>0</v>
      </c>
      <c r="G306" s="34">
        <f>'[7]BP-Wom'!F94</f>
        <v>0</v>
      </c>
    </row>
    <row r="307" spans="1:7" x14ac:dyDescent="0.25">
      <c r="A307" s="1">
        <f>'[7]BP-Wom'!A95</f>
        <v>90</v>
      </c>
      <c r="B307">
        <f>'[7]BP-Wom'!B95</f>
        <v>0</v>
      </c>
      <c r="C307">
        <f>'[7]BP-Wom'!C95</f>
        <v>0</v>
      </c>
      <c r="D307" s="14" t="str">
        <f t="shared" si="7"/>
        <v>0</v>
      </c>
      <c r="E307" s="5">
        <f>'[7]BP-Wom'!D95</f>
        <v>0</v>
      </c>
      <c r="F307" s="10">
        <f>'[7]BP-Wom'!E95</f>
        <v>0</v>
      </c>
      <c r="G307" s="34">
        <f>'[7]BP-Wom'!F95</f>
        <v>0</v>
      </c>
    </row>
    <row r="308" spans="1:7" x14ac:dyDescent="0.25">
      <c r="A308" s="1" t="str">
        <f>'[7]BP-Wom'!A96</f>
        <v>90+</v>
      </c>
      <c r="B308">
        <f>'[7]BP-Wom'!B96</f>
        <v>0</v>
      </c>
      <c r="C308">
        <f>'[7]BP-Wom'!C96</f>
        <v>0</v>
      </c>
      <c r="D308" s="14" t="str">
        <f t="shared" si="7"/>
        <v>0</v>
      </c>
      <c r="E308" s="5">
        <f>'[7]BP-Wom'!D96</f>
        <v>0</v>
      </c>
      <c r="F308" s="10">
        <f>'[7]BP-Wom'!E96</f>
        <v>0</v>
      </c>
      <c r="G308" s="34">
        <f>'[7]BP-Wom'!F96</f>
        <v>0</v>
      </c>
    </row>
    <row r="309" spans="1:7" s="11" customFormat="1" x14ac:dyDescent="0.25">
      <c r="A309" s="22" t="s">
        <v>0</v>
      </c>
      <c r="B309" s="11">
        <v>0</v>
      </c>
      <c r="C309" s="11">
        <v>50</v>
      </c>
      <c r="D309" s="24" t="str">
        <f t="shared" si="7"/>
        <v>50</v>
      </c>
      <c r="E309" s="21" t="str">
        <f>'[7]BP-Wom'!B97</f>
        <v>МАСТЕРС -3(50-54)</v>
      </c>
      <c r="F309" s="13"/>
      <c r="G309" s="35"/>
    </row>
    <row r="310" spans="1:7" x14ac:dyDescent="0.25">
      <c r="A310" s="1">
        <f>'[7]BP-Wom'!A98</f>
        <v>44</v>
      </c>
      <c r="B310">
        <f>'[7]BP-Wom'!B98</f>
        <v>0</v>
      </c>
      <c r="C310">
        <f>'[7]BP-Wom'!C98</f>
        <v>0</v>
      </c>
      <c r="D310" s="14" t="str">
        <f t="shared" si="7"/>
        <v>0</v>
      </c>
      <c r="E310" s="5">
        <f>'[7]BP-Wom'!D98</f>
        <v>0</v>
      </c>
      <c r="F310" s="10">
        <f>'[7]BP-Wom'!E98</f>
        <v>0</v>
      </c>
      <c r="G310" s="34">
        <f>'[7]BP-Wom'!F98</f>
        <v>0</v>
      </c>
    </row>
    <row r="311" spans="1:7" x14ac:dyDescent="0.25">
      <c r="A311" s="1">
        <f>'[7]BP-Wom'!A99</f>
        <v>48</v>
      </c>
      <c r="B311">
        <f>'[7]BP-Wom'!B99</f>
        <v>0</v>
      </c>
      <c r="C311">
        <f>'[7]BP-Wom'!C99</f>
        <v>0</v>
      </c>
      <c r="D311" s="14" t="str">
        <f t="shared" si="7"/>
        <v>0</v>
      </c>
      <c r="E311" s="5">
        <f>'[7]BP-Wom'!D99</f>
        <v>0</v>
      </c>
      <c r="F311" s="10">
        <f>'[7]BP-Wom'!E99</f>
        <v>0</v>
      </c>
      <c r="G311" s="34">
        <f>'[7]BP-Wom'!F99</f>
        <v>0</v>
      </c>
    </row>
    <row r="312" spans="1:7" x14ac:dyDescent="0.25">
      <c r="A312" s="1">
        <f>'[7]BP-Wom'!A100</f>
        <v>52</v>
      </c>
      <c r="B312">
        <f>'[7]BP-Wom'!B100</f>
        <v>62.5</v>
      </c>
      <c r="C312" t="str">
        <f>'[7]BP-Wom'!C100</f>
        <v>Телегина Татьяна/61</v>
      </c>
      <c r="D312" s="14" t="str">
        <f t="shared" si="7"/>
        <v>61</v>
      </c>
      <c r="E312" s="5" t="str">
        <f>'[7]BP-Wom'!D100</f>
        <v>Улан-Уде</v>
      </c>
      <c r="F312" s="10">
        <f>'[7]BP-Wom'!E100</f>
        <v>41137</v>
      </c>
      <c r="G312" s="34" t="str">
        <f>'[7]BP-Wom'!F100</f>
        <v>Новосибирск</v>
      </c>
    </row>
    <row r="313" spans="1:7" x14ac:dyDescent="0.25">
      <c r="A313" s="1">
        <f>'[7]BP-Wom'!A101</f>
        <v>56</v>
      </c>
      <c r="B313">
        <f>'[7]BP-Wom'!B101</f>
        <v>0</v>
      </c>
      <c r="C313">
        <f>'[7]BP-Wom'!C101</f>
        <v>0</v>
      </c>
      <c r="D313" s="14" t="str">
        <f t="shared" si="7"/>
        <v>0</v>
      </c>
      <c r="E313" s="5">
        <f>'[7]BP-Wom'!D101</f>
        <v>0</v>
      </c>
      <c r="F313" s="10">
        <f>'[7]BP-Wom'!E101</f>
        <v>0</v>
      </c>
      <c r="G313" s="34">
        <f>'[7]BP-Wom'!F101</f>
        <v>0</v>
      </c>
    </row>
    <row r="314" spans="1:7" x14ac:dyDescent="0.25">
      <c r="A314" s="1">
        <f>'[7]BP-Wom'!A102</f>
        <v>60</v>
      </c>
      <c r="B314">
        <f>'[7]BP-Wom'!B102</f>
        <v>0</v>
      </c>
      <c r="C314">
        <f>'[7]BP-Wom'!C102</f>
        <v>0</v>
      </c>
      <c r="D314" s="14" t="str">
        <f t="shared" si="7"/>
        <v>0</v>
      </c>
      <c r="E314" s="5">
        <f>'[7]BP-Wom'!D102</f>
        <v>0</v>
      </c>
      <c r="F314" s="10">
        <f>'[7]BP-Wom'!E102</f>
        <v>0</v>
      </c>
      <c r="G314" s="34">
        <f>'[7]BP-Wom'!F102</f>
        <v>0</v>
      </c>
    </row>
    <row r="315" spans="1:7" x14ac:dyDescent="0.25">
      <c r="A315" s="1" t="str">
        <f>'[7]BP-Wom'!A103</f>
        <v>67.5</v>
      </c>
      <c r="B315">
        <f>'[7]BP-Wom'!B103</f>
        <v>0</v>
      </c>
      <c r="C315">
        <f>'[7]BP-Wom'!C103</f>
        <v>0</v>
      </c>
      <c r="D315" s="14" t="str">
        <f t="shared" si="7"/>
        <v>0</v>
      </c>
      <c r="E315" s="5">
        <f>'[7]BP-Wom'!D103</f>
        <v>0</v>
      </c>
      <c r="F315" s="10">
        <f>'[7]BP-Wom'!E103</f>
        <v>0</v>
      </c>
      <c r="G315" s="34">
        <f>'[7]BP-Wom'!F103</f>
        <v>0</v>
      </c>
    </row>
    <row r="316" spans="1:7" x14ac:dyDescent="0.25">
      <c r="A316" s="1">
        <f>'[7]BP-Wom'!A104</f>
        <v>75</v>
      </c>
      <c r="B316">
        <f>'[7]BP-Wom'!B104</f>
        <v>0</v>
      </c>
      <c r="C316">
        <f>'[7]BP-Wom'!C104</f>
        <v>0</v>
      </c>
      <c r="D316" s="14" t="str">
        <f t="shared" si="7"/>
        <v>0</v>
      </c>
      <c r="E316" s="5">
        <f>'[7]BP-Wom'!D104</f>
        <v>0</v>
      </c>
      <c r="F316" s="10">
        <f>'[7]BP-Wom'!E104</f>
        <v>0</v>
      </c>
      <c r="G316" s="34">
        <f>'[7]BP-Wom'!F104</f>
        <v>0</v>
      </c>
    </row>
    <row r="317" spans="1:7" x14ac:dyDescent="0.25">
      <c r="A317" s="1">
        <f>'[7]BP-Wom'!A105</f>
        <v>82.5</v>
      </c>
      <c r="B317">
        <f>'[7]BP-Wom'!B105</f>
        <v>0</v>
      </c>
      <c r="C317">
        <f>'[7]BP-Wom'!C105</f>
        <v>0</v>
      </c>
      <c r="D317" s="14" t="str">
        <f t="shared" si="7"/>
        <v>0</v>
      </c>
      <c r="E317" s="5">
        <f>'[7]BP-Wom'!D105</f>
        <v>0</v>
      </c>
      <c r="F317" s="10">
        <f>'[7]BP-Wom'!E105</f>
        <v>0</v>
      </c>
      <c r="G317" s="34">
        <f>'[7]BP-Wom'!F105</f>
        <v>0</v>
      </c>
    </row>
    <row r="318" spans="1:7" x14ac:dyDescent="0.25">
      <c r="A318" s="1">
        <f>'[7]BP-Wom'!A106</f>
        <v>90</v>
      </c>
      <c r="B318">
        <f>'[7]BP-Wom'!B106</f>
        <v>0</v>
      </c>
      <c r="C318">
        <f>'[7]BP-Wom'!C106</f>
        <v>0</v>
      </c>
      <c r="D318" s="14" t="str">
        <f t="shared" si="7"/>
        <v>0</v>
      </c>
      <c r="E318" s="5">
        <f>'[7]BP-Wom'!D106</f>
        <v>0</v>
      </c>
      <c r="F318" s="10">
        <f>'[7]BP-Wom'!E106</f>
        <v>0</v>
      </c>
      <c r="G318" s="34">
        <f>'[7]BP-Wom'!F106</f>
        <v>0</v>
      </c>
    </row>
    <row r="319" spans="1:7" s="16" customFormat="1" x14ac:dyDescent="0.25">
      <c r="A319" s="28" t="str">
        <f>'[7]BP-Wom'!A107</f>
        <v>90+</v>
      </c>
      <c r="B319" s="16">
        <f>'[7]BP-Wom'!B107</f>
        <v>0</v>
      </c>
      <c r="C319" s="16">
        <f>'[7]BP-Wom'!C107</f>
        <v>0</v>
      </c>
      <c r="D319" s="31" t="str">
        <f t="shared" si="7"/>
        <v>0</v>
      </c>
      <c r="E319" s="33">
        <f>'[7]BP-Wom'!D107</f>
        <v>0</v>
      </c>
      <c r="F319" s="17">
        <f>'[7]BP-Wom'!E107</f>
        <v>0</v>
      </c>
      <c r="G319" s="36">
        <f>'[7]BP-Wom'!F107</f>
        <v>0</v>
      </c>
    </row>
    <row r="320" spans="1:7" s="16" customFormat="1" x14ac:dyDescent="0.25">
      <c r="A320" s="28">
        <f>'[7]BP-Wom'!A108</f>
        <v>0</v>
      </c>
      <c r="B320" s="16">
        <f>'[7]BP-Wom'!B108</f>
        <v>0</v>
      </c>
      <c r="C320" s="16">
        <f>'[7]BP-Wom'!C108</f>
        <v>0</v>
      </c>
      <c r="D320" s="31" t="str">
        <f t="shared" ref="D320:D345" si="8">RIGHT(C320,2)</f>
        <v>0</v>
      </c>
      <c r="E320" s="33">
        <f>'[7]BP-Wom'!D108</f>
        <v>0</v>
      </c>
      <c r="F320" s="17">
        <f>'[7]BP-Wom'!E108</f>
        <v>0</v>
      </c>
      <c r="G320" s="36">
        <f>'[7]BP-Wom'!F108</f>
        <v>0</v>
      </c>
    </row>
    <row r="321" spans="1:7" s="16" customFormat="1" x14ac:dyDescent="0.25">
      <c r="A321" s="28">
        <f>'[7]BP-Wom'!A109</f>
        <v>0</v>
      </c>
      <c r="B321" s="16">
        <f>'[7]BP-Wom'!B109</f>
        <v>0</v>
      </c>
      <c r="C321" s="16">
        <f>'[7]BP-Wom'!C109</f>
        <v>0</v>
      </c>
      <c r="D321" s="31" t="str">
        <f t="shared" si="8"/>
        <v>0</v>
      </c>
      <c r="E321" s="33">
        <f>'[7]BP-Wom'!D109</f>
        <v>0</v>
      </c>
      <c r="F321" s="17">
        <f>'[7]BP-Wom'!E109</f>
        <v>0</v>
      </c>
      <c r="G321" s="36">
        <f>'[7]BP-Wom'!F109</f>
        <v>0</v>
      </c>
    </row>
    <row r="322" spans="1:7" s="16" customFormat="1" x14ac:dyDescent="0.25">
      <c r="A322" s="28">
        <f>'[7]BP-Wom'!A110</f>
        <v>0</v>
      </c>
      <c r="B322" s="16">
        <f>'[7]BP-Wom'!B110</f>
        <v>0</v>
      </c>
      <c r="C322" s="16">
        <f>'[7]BP-Wom'!C110</f>
        <v>0</v>
      </c>
      <c r="D322" s="31" t="str">
        <f t="shared" si="8"/>
        <v>0</v>
      </c>
      <c r="E322" s="33">
        <f>'[7]BP-Wom'!D110</f>
        <v>0</v>
      </c>
      <c r="F322" s="17">
        <f>'[7]BP-Wom'!E110</f>
        <v>0</v>
      </c>
      <c r="G322" s="36">
        <f>'[7]BP-Wom'!F110</f>
        <v>0</v>
      </c>
    </row>
    <row r="323" spans="1:7" s="16" customFormat="1" x14ac:dyDescent="0.25">
      <c r="A323" s="28">
        <f>'[7]BP-Wom'!A111</f>
        <v>0</v>
      </c>
      <c r="B323" s="16">
        <f>'[7]BP-Wom'!B111</f>
        <v>0</v>
      </c>
      <c r="C323" s="16">
        <f>'[7]BP-Wom'!C111</f>
        <v>0</v>
      </c>
      <c r="D323" s="31" t="str">
        <f t="shared" si="8"/>
        <v>0</v>
      </c>
      <c r="E323" s="33">
        <f>'[7]BP-Wom'!D111</f>
        <v>0</v>
      </c>
      <c r="F323" s="17">
        <f>'[7]BP-Wom'!E111</f>
        <v>0</v>
      </c>
      <c r="G323" s="36">
        <f>'[7]BP-Wom'!F111</f>
        <v>0</v>
      </c>
    </row>
    <row r="324" spans="1:7" s="16" customFormat="1" x14ac:dyDescent="0.25">
      <c r="A324" s="28">
        <f>'[7]BP-Wom'!A112</f>
        <v>0</v>
      </c>
      <c r="B324" s="16">
        <f>'[7]BP-Wom'!B112</f>
        <v>0</v>
      </c>
      <c r="C324" s="16">
        <f>'[7]BP-Wom'!C112</f>
        <v>0</v>
      </c>
      <c r="D324" s="31" t="str">
        <f t="shared" si="8"/>
        <v>0</v>
      </c>
      <c r="E324" s="33">
        <f>'[7]BP-Wom'!D112</f>
        <v>0</v>
      </c>
      <c r="F324" s="17">
        <f>'[7]BP-Wom'!E112</f>
        <v>0</v>
      </c>
      <c r="G324" s="36">
        <f>'[7]BP-Wom'!F112</f>
        <v>0</v>
      </c>
    </row>
    <row r="325" spans="1:7" s="16" customFormat="1" x14ac:dyDescent="0.25">
      <c r="A325" s="28">
        <f>'[7]BP-Wom'!A113</f>
        <v>0</v>
      </c>
      <c r="B325" s="16">
        <f>'[7]BP-Wom'!B113</f>
        <v>0</v>
      </c>
      <c r="C325" s="16">
        <f>'[7]BP-Wom'!C113</f>
        <v>0</v>
      </c>
      <c r="D325" s="31" t="str">
        <f t="shared" si="8"/>
        <v>0</v>
      </c>
      <c r="E325" s="33">
        <f>'[7]BP-Wom'!D113</f>
        <v>0</v>
      </c>
      <c r="F325" s="17">
        <f>'[7]BP-Wom'!E113</f>
        <v>0</v>
      </c>
      <c r="G325" s="36">
        <f>'[7]BP-Wom'!F113</f>
        <v>0</v>
      </c>
    </row>
    <row r="326" spans="1:7" s="16" customFormat="1" x14ac:dyDescent="0.25">
      <c r="A326" s="28">
        <f>'[7]BP-Wom'!A114</f>
        <v>0</v>
      </c>
      <c r="B326" s="16">
        <f>'[7]BP-Wom'!B114</f>
        <v>0</v>
      </c>
      <c r="C326" s="16">
        <f>'[7]BP-Wom'!C114</f>
        <v>0</v>
      </c>
      <c r="D326" s="31" t="str">
        <f t="shared" si="8"/>
        <v>0</v>
      </c>
      <c r="E326" s="33">
        <f>'[7]BP-Wom'!D114</f>
        <v>0</v>
      </c>
      <c r="F326" s="17">
        <f>'[7]BP-Wom'!E114</f>
        <v>0</v>
      </c>
      <c r="G326" s="36">
        <f>'[7]BP-Wom'!F114</f>
        <v>0</v>
      </c>
    </row>
    <row r="327" spans="1:7" s="16" customFormat="1" x14ac:dyDescent="0.25">
      <c r="A327" s="28">
        <f>'[7]BP-Wom'!A115</f>
        <v>0</v>
      </c>
      <c r="B327" s="16">
        <f>'[7]BP-Wom'!B115</f>
        <v>0</v>
      </c>
      <c r="C327" s="16">
        <f>'[7]BP-Wom'!C115</f>
        <v>0</v>
      </c>
      <c r="D327" s="31" t="str">
        <f t="shared" si="8"/>
        <v>0</v>
      </c>
      <c r="E327" s="33">
        <f>'[7]BP-Wom'!D115</f>
        <v>0</v>
      </c>
      <c r="F327" s="17">
        <f>'[7]BP-Wom'!E115</f>
        <v>0</v>
      </c>
      <c r="G327" s="36">
        <f>'[7]BP-Wom'!F115</f>
        <v>0</v>
      </c>
    </row>
    <row r="328" spans="1:7" s="16" customFormat="1" x14ac:dyDescent="0.25">
      <c r="A328" s="28">
        <f>'[7]BP-Wom'!A116</f>
        <v>0</v>
      </c>
      <c r="B328" s="16">
        <f>'[7]BP-Wom'!B116</f>
        <v>0</v>
      </c>
      <c r="C328" s="16">
        <f>'[7]BP-Wom'!C116</f>
        <v>0</v>
      </c>
      <c r="D328" s="31" t="str">
        <f t="shared" si="8"/>
        <v>0</v>
      </c>
      <c r="E328" s="33">
        <f>'[7]BP-Wom'!D116</f>
        <v>0</v>
      </c>
      <c r="F328" s="17">
        <f>'[7]BP-Wom'!E116</f>
        <v>0</v>
      </c>
      <c r="G328" s="36">
        <f>'[7]BP-Wom'!F116</f>
        <v>0</v>
      </c>
    </row>
    <row r="329" spans="1:7" s="16" customFormat="1" x14ac:dyDescent="0.25">
      <c r="A329" s="28">
        <f>'[7]BP-Wom'!A117</f>
        <v>0</v>
      </c>
      <c r="B329" s="16">
        <f>'[7]BP-Wom'!B117</f>
        <v>0</v>
      </c>
      <c r="C329" s="16">
        <f>'[7]BP-Wom'!C117</f>
        <v>0</v>
      </c>
      <c r="D329" s="31" t="str">
        <f t="shared" si="8"/>
        <v>0</v>
      </c>
      <c r="E329" s="33">
        <f>'[7]BP-Wom'!D117</f>
        <v>0</v>
      </c>
      <c r="F329" s="17">
        <f>'[7]BP-Wom'!E117</f>
        <v>0</v>
      </c>
      <c r="G329" s="36">
        <f>'[7]BP-Wom'!F117</f>
        <v>0</v>
      </c>
    </row>
    <row r="330" spans="1:7" s="16" customFormat="1" x14ac:dyDescent="0.25">
      <c r="A330" s="28">
        <f>'[7]BP-Wom'!A118</f>
        <v>0</v>
      </c>
      <c r="B330" s="16">
        <f>'[7]BP-Wom'!B118</f>
        <v>0</v>
      </c>
      <c r="C330" s="16">
        <f>'[7]BP-Wom'!C118</f>
        <v>0</v>
      </c>
      <c r="D330" s="31" t="str">
        <f t="shared" si="8"/>
        <v>0</v>
      </c>
      <c r="E330" s="33">
        <f>'[7]BP-Wom'!D118</f>
        <v>0</v>
      </c>
      <c r="F330" s="17">
        <f>'[7]BP-Wom'!E118</f>
        <v>0</v>
      </c>
      <c r="G330" s="36">
        <f>'[7]BP-Wom'!F118</f>
        <v>0</v>
      </c>
    </row>
    <row r="331" spans="1:7" s="16" customFormat="1" x14ac:dyDescent="0.25">
      <c r="A331" s="28">
        <f>'[7]BP-Wom'!A119</f>
        <v>0</v>
      </c>
      <c r="B331" s="16">
        <f>'[7]BP-Wom'!B119</f>
        <v>0</v>
      </c>
      <c r="C331" s="16">
        <f>'[7]BP-Wom'!C119</f>
        <v>0</v>
      </c>
      <c r="D331" s="31" t="str">
        <f t="shared" si="8"/>
        <v>0</v>
      </c>
      <c r="E331" s="33">
        <f>'[7]BP-Wom'!D119</f>
        <v>0</v>
      </c>
      <c r="F331" s="17">
        <f>'[7]BP-Wom'!E119</f>
        <v>0</v>
      </c>
      <c r="G331" s="36">
        <f>'[7]BP-Wom'!F119</f>
        <v>0</v>
      </c>
    </row>
    <row r="332" spans="1:7" s="16" customFormat="1" x14ac:dyDescent="0.25">
      <c r="A332" s="28">
        <f>'[7]BP-Wom'!A120</f>
        <v>0</v>
      </c>
      <c r="B332" s="16">
        <f>'[7]BP-Wom'!B120</f>
        <v>0</v>
      </c>
      <c r="C332" s="16">
        <f>'[7]BP-Wom'!C120</f>
        <v>0</v>
      </c>
      <c r="D332" s="31" t="str">
        <f t="shared" si="8"/>
        <v>0</v>
      </c>
      <c r="E332" s="33">
        <f>'[7]BP-Wom'!D120</f>
        <v>0</v>
      </c>
      <c r="F332" s="17">
        <f>'[7]BP-Wom'!E120</f>
        <v>0</v>
      </c>
      <c r="G332" s="36">
        <f>'[7]BP-Wom'!F120</f>
        <v>0</v>
      </c>
    </row>
    <row r="333" spans="1:7" s="16" customFormat="1" x14ac:dyDescent="0.25">
      <c r="A333" s="28">
        <f>'[7]BP-Wom'!A121</f>
        <v>0</v>
      </c>
      <c r="B333" s="16">
        <f>'[7]BP-Wom'!B121</f>
        <v>0</v>
      </c>
      <c r="C333" s="16">
        <f>'[7]BP-Wom'!C121</f>
        <v>0</v>
      </c>
      <c r="D333" s="31" t="str">
        <f t="shared" si="8"/>
        <v>0</v>
      </c>
      <c r="E333" s="33">
        <f>'[7]BP-Wom'!D121</f>
        <v>0</v>
      </c>
      <c r="F333" s="17">
        <f>'[7]BP-Wom'!E121</f>
        <v>0</v>
      </c>
      <c r="G333" s="36">
        <f>'[7]BP-Wom'!F121</f>
        <v>0</v>
      </c>
    </row>
    <row r="334" spans="1:7" s="16" customFormat="1" x14ac:dyDescent="0.25">
      <c r="A334" s="28">
        <f>'[7]BP-Wom'!A122</f>
        <v>0</v>
      </c>
      <c r="B334" s="16">
        <f>'[7]BP-Wom'!B122</f>
        <v>0</v>
      </c>
      <c r="C334" s="16">
        <f>'[7]BP-Wom'!C122</f>
        <v>0</v>
      </c>
      <c r="D334" s="31" t="str">
        <f t="shared" si="8"/>
        <v>0</v>
      </c>
      <c r="E334" s="33">
        <f>'[7]BP-Wom'!D122</f>
        <v>0</v>
      </c>
      <c r="F334" s="17">
        <f>'[7]BP-Wom'!E122</f>
        <v>0</v>
      </c>
      <c r="G334" s="36">
        <f>'[7]BP-Wom'!F122</f>
        <v>0</v>
      </c>
    </row>
    <row r="335" spans="1:7" s="16" customFormat="1" x14ac:dyDescent="0.25">
      <c r="A335" s="28">
        <f>'[7]BP-Wom'!A123</f>
        <v>0</v>
      </c>
      <c r="B335" s="16">
        <f>'[7]BP-Wom'!B123</f>
        <v>0</v>
      </c>
      <c r="C335" s="16">
        <f>'[7]BP-Wom'!C123</f>
        <v>0</v>
      </c>
      <c r="D335" s="31" t="str">
        <f t="shared" si="8"/>
        <v>0</v>
      </c>
      <c r="E335" s="33">
        <f>'[7]BP-Wom'!D123</f>
        <v>0</v>
      </c>
      <c r="F335" s="17">
        <f>'[7]BP-Wom'!E123</f>
        <v>0</v>
      </c>
      <c r="G335" s="36">
        <f>'[7]BP-Wom'!F123</f>
        <v>0</v>
      </c>
    </row>
    <row r="336" spans="1:7" s="16" customFormat="1" x14ac:dyDescent="0.25">
      <c r="A336" s="28">
        <f>'[7]BP-Wom'!A124</f>
        <v>0</v>
      </c>
      <c r="B336" s="16">
        <f>'[7]BP-Wom'!B124</f>
        <v>0</v>
      </c>
      <c r="C336" s="16">
        <f>'[7]BP-Wom'!C124</f>
        <v>0</v>
      </c>
      <c r="D336" s="31" t="str">
        <f t="shared" si="8"/>
        <v>0</v>
      </c>
      <c r="E336" s="33">
        <f>'[7]BP-Wom'!D124</f>
        <v>0</v>
      </c>
      <c r="F336" s="17">
        <f>'[7]BP-Wom'!E124</f>
        <v>0</v>
      </c>
      <c r="G336" s="36">
        <f>'[7]BP-Wom'!F124</f>
        <v>0</v>
      </c>
    </row>
    <row r="337" spans="1:7" s="16" customFormat="1" x14ac:dyDescent="0.25">
      <c r="A337" s="28">
        <f>'[7]BP-Wom'!A125</f>
        <v>0</v>
      </c>
      <c r="B337" s="16">
        <f>'[7]BP-Wom'!B125</f>
        <v>0</v>
      </c>
      <c r="C337" s="16">
        <f>'[7]BP-Wom'!C125</f>
        <v>0</v>
      </c>
      <c r="D337" s="31" t="str">
        <f t="shared" si="8"/>
        <v>0</v>
      </c>
      <c r="E337" s="33">
        <f>'[7]BP-Wom'!D125</f>
        <v>0</v>
      </c>
      <c r="F337" s="17">
        <f>'[7]BP-Wom'!E125</f>
        <v>0</v>
      </c>
      <c r="G337" s="36">
        <f>'[7]BP-Wom'!F125</f>
        <v>0</v>
      </c>
    </row>
    <row r="338" spans="1:7" s="16" customFormat="1" x14ac:dyDescent="0.25">
      <c r="A338" s="28">
        <f>'[7]BP-Wom'!A126</f>
        <v>0</v>
      </c>
      <c r="B338" s="16">
        <f>'[7]BP-Wom'!B126</f>
        <v>0</v>
      </c>
      <c r="C338" s="16">
        <f>'[7]BP-Wom'!C126</f>
        <v>0</v>
      </c>
      <c r="D338" s="31" t="str">
        <f t="shared" si="8"/>
        <v>0</v>
      </c>
      <c r="E338" s="33">
        <f>'[7]BP-Wom'!D126</f>
        <v>0</v>
      </c>
      <c r="F338" s="17">
        <f>'[7]BP-Wom'!E126</f>
        <v>0</v>
      </c>
      <c r="G338" s="36">
        <f>'[7]BP-Wom'!F126</f>
        <v>0</v>
      </c>
    </row>
    <row r="339" spans="1:7" s="16" customFormat="1" x14ac:dyDescent="0.25">
      <c r="A339" s="28">
        <f>'[7]BP-Wom'!A127</f>
        <v>0</v>
      </c>
      <c r="B339" s="16">
        <f>'[7]BP-Wom'!B127</f>
        <v>0</v>
      </c>
      <c r="C339" s="16">
        <f>'[7]BP-Wom'!C127</f>
        <v>0</v>
      </c>
      <c r="D339" s="31" t="str">
        <f t="shared" si="8"/>
        <v>0</v>
      </c>
      <c r="E339" s="33">
        <f>'[7]BP-Wom'!D127</f>
        <v>0</v>
      </c>
      <c r="F339" s="17">
        <f>'[7]BP-Wom'!E127</f>
        <v>0</v>
      </c>
      <c r="G339" s="36">
        <f>'[7]BP-Wom'!F127</f>
        <v>0</v>
      </c>
    </row>
    <row r="340" spans="1:7" s="16" customFormat="1" x14ac:dyDescent="0.25">
      <c r="A340" s="28">
        <f>'[7]BP-Wom'!A128</f>
        <v>0</v>
      </c>
      <c r="B340" s="16">
        <f>'[7]BP-Wom'!B128</f>
        <v>0</v>
      </c>
      <c r="C340" s="16">
        <f>'[7]BP-Wom'!C128</f>
        <v>0</v>
      </c>
      <c r="D340" s="31" t="str">
        <f t="shared" si="8"/>
        <v>0</v>
      </c>
      <c r="E340" s="33">
        <f>'[7]BP-Wom'!D128</f>
        <v>0</v>
      </c>
      <c r="F340" s="17">
        <f>'[7]BP-Wom'!E128</f>
        <v>0</v>
      </c>
      <c r="G340" s="36">
        <f>'[7]BP-Wom'!F128</f>
        <v>0</v>
      </c>
    </row>
    <row r="341" spans="1:7" s="16" customFormat="1" x14ac:dyDescent="0.25">
      <c r="A341" s="28">
        <f>'[7]BP-Wom'!A129</f>
        <v>0</v>
      </c>
      <c r="B341" s="16">
        <f>'[7]BP-Wom'!B129</f>
        <v>0</v>
      </c>
      <c r="C341" s="16">
        <f>'[7]BP-Wom'!C129</f>
        <v>0</v>
      </c>
      <c r="D341" s="31" t="str">
        <f t="shared" si="8"/>
        <v>0</v>
      </c>
      <c r="E341" s="33">
        <f>'[7]BP-Wom'!D129</f>
        <v>0</v>
      </c>
      <c r="F341" s="17">
        <f>'[7]BP-Wom'!E129</f>
        <v>0</v>
      </c>
      <c r="G341" s="36">
        <f>'[7]BP-Wom'!F129</f>
        <v>0</v>
      </c>
    </row>
    <row r="342" spans="1:7" s="16" customFormat="1" x14ac:dyDescent="0.25">
      <c r="A342" s="28">
        <f>'[7]BP-Wom'!A130</f>
        <v>0</v>
      </c>
      <c r="B342" s="16">
        <f>'[7]BP-Wom'!B130</f>
        <v>0</v>
      </c>
      <c r="C342" s="16">
        <f>'[7]BP-Wom'!C130</f>
        <v>0</v>
      </c>
      <c r="D342" s="31" t="str">
        <f t="shared" si="8"/>
        <v>0</v>
      </c>
      <c r="E342" s="33">
        <f>'[7]BP-Wom'!D130</f>
        <v>0</v>
      </c>
      <c r="F342" s="17">
        <f>'[7]BP-Wom'!E130</f>
        <v>0</v>
      </c>
      <c r="G342" s="36">
        <f>'[7]BP-Wom'!F130</f>
        <v>0</v>
      </c>
    </row>
    <row r="343" spans="1:7" s="16" customFormat="1" x14ac:dyDescent="0.25">
      <c r="A343" s="28">
        <f>'[7]BP-Wom'!A131</f>
        <v>0</v>
      </c>
      <c r="B343" s="16">
        <f>'[7]BP-Wom'!B131</f>
        <v>0</v>
      </c>
      <c r="C343" s="16">
        <f>'[7]BP-Wom'!C131</f>
        <v>0</v>
      </c>
      <c r="D343" s="31" t="str">
        <f t="shared" si="8"/>
        <v>0</v>
      </c>
      <c r="E343" s="33">
        <f>'[7]BP-Wom'!D131</f>
        <v>0</v>
      </c>
      <c r="F343" s="17">
        <f>'[7]BP-Wom'!E131</f>
        <v>0</v>
      </c>
      <c r="G343" s="36">
        <f>'[7]BP-Wom'!F131</f>
        <v>0</v>
      </c>
    </row>
    <row r="344" spans="1:7" s="16" customFormat="1" x14ac:dyDescent="0.25">
      <c r="A344" s="28">
        <f>'[7]BP-Wom'!A132</f>
        <v>0</v>
      </c>
      <c r="B344" s="16">
        <f>'[7]BP-Wom'!B132</f>
        <v>0</v>
      </c>
      <c r="C344" s="16">
        <f>'[7]BP-Wom'!C132</f>
        <v>0</v>
      </c>
      <c r="D344" s="31" t="str">
        <f t="shared" si="8"/>
        <v>0</v>
      </c>
      <c r="E344" s="33">
        <f>'[7]BP-Wom'!D132</f>
        <v>0</v>
      </c>
      <c r="F344" s="17">
        <f>'[7]BP-Wom'!E132</f>
        <v>0</v>
      </c>
      <c r="G344" s="36">
        <f>'[7]BP-Wom'!F132</f>
        <v>0</v>
      </c>
    </row>
    <row r="345" spans="1:7" s="16" customFormat="1" x14ac:dyDescent="0.25">
      <c r="A345" s="28">
        <f>'[7]BP-Wom'!A133</f>
        <v>0</v>
      </c>
      <c r="B345" s="16">
        <f>'[7]BP-Wom'!B133</f>
        <v>0</v>
      </c>
      <c r="C345" s="16">
        <f>'[7]BP-Wom'!C133</f>
        <v>0</v>
      </c>
      <c r="D345" s="31" t="str">
        <f t="shared" si="8"/>
        <v>0</v>
      </c>
      <c r="E345" s="33">
        <f>'[7]BP-Wom'!D133</f>
        <v>0</v>
      </c>
      <c r="F345" s="17">
        <f>'[7]BP-Wom'!E133</f>
        <v>0</v>
      </c>
      <c r="G345" s="36">
        <f>'[7]BP-Wom'!F133</f>
        <v>0</v>
      </c>
    </row>
    <row r="346" spans="1:7" s="16" customFormat="1" x14ac:dyDescent="0.25">
      <c r="A346" s="28">
        <f>'[7]BP-Wom'!A134</f>
        <v>0</v>
      </c>
      <c r="B346" s="16">
        <f>'[7]BP-Wom'!B134</f>
        <v>0</v>
      </c>
      <c r="C346" s="16">
        <f>'[7]BP-Wom'!C134</f>
        <v>0</v>
      </c>
      <c r="D346" s="31" t="str">
        <f t="shared" ref="D346:D374" si="9">RIGHT(C346,2)</f>
        <v>0</v>
      </c>
      <c r="E346" s="33">
        <f>'[7]BP-Wom'!D134</f>
        <v>0</v>
      </c>
      <c r="F346" s="17">
        <f>'[7]BP-Wom'!E134</f>
        <v>0</v>
      </c>
      <c r="G346" s="36">
        <f>'[7]BP-Wom'!F134</f>
        <v>0</v>
      </c>
    </row>
    <row r="347" spans="1:7" s="16" customFormat="1" x14ac:dyDescent="0.25">
      <c r="A347" s="28">
        <f>'[7]BP-Wom'!A135</f>
        <v>0</v>
      </c>
      <c r="B347" s="16">
        <f>'[7]BP-Wom'!B135</f>
        <v>0</v>
      </c>
      <c r="C347" s="16">
        <f>'[7]BP-Wom'!C135</f>
        <v>0</v>
      </c>
      <c r="D347" s="31" t="str">
        <f t="shared" si="9"/>
        <v>0</v>
      </c>
      <c r="E347" s="33">
        <f>'[7]BP-Wom'!D135</f>
        <v>0</v>
      </c>
      <c r="F347" s="17">
        <f>'[7]BP-Wom'!E135</f>
        <v>0</v>
      </c>
      <c r="G347" s="36">
        <f>'[7]BP-Wom'!F135</f>
        <v>0</v>
      </c>
    </row>
    <row r="348" spans="1:7" s="16" customFormat="1" x14ac:dyDescent="0.25">
      <c r="A348" s="28">
        <f>'[7]BP-Wom'!A136</f>
        <v>0</v>
      </c>
      <c r="B348" s="16">
        <f>'[7]BP-Wom'!B136</f>
        <v>0</v>
      </c>
      <c r="C348" s="16">
        <f>'[7]BP-Wom'!C136</f>
        <v>0</v>
      </c>
      <c r="D348" s="31" t="str">
        <f t="shared" si="9"/>
        <v>0</v>
      </c>
      <c r="E348" s="33">
        <f>'[7]BP-Wom'!D136</f>
        <v>0</v>
      </c>
      <c r="F348" s="17">
        <f>'[7]BP-Wom'!E136</f>
        <v>0</v>
      </c>
      <c r="G348" s="36">
        <f>'[7]BP-Wom'!F136</f>
        <v>0</v>
      </c>
    </row>
    <row r="349" spans="1:7" s="16" customFormat="1" x14ac:dyDescent="0.25">
      <c r="A349" s="28">
        <f>'[7]BP-Wom'!A137</f>
        <v>0</v>
      </c>
      <c r="B349" s="16">
        <f>'[7]BP-Wom'!B137</f>
        <v>0</v>
      </c>
      <c r="C349" s="16">
        <f>'[7]BP-Wom'!C137</f>
        <v>0</v>
      </c>
      <c r="D349" s="31" t="str">
        <f t="shared" si="9"/>
        <v>0</v>
      </c>
      <c r="E349" s="33">
        <f>'[7]BP-Wom'!D137</f>
        <v>0</v>
      </c>
      <c r="F349" s="17">
        <f>'[7]BP-Wom'!E137</f>
        <v>0</v>
      </c>
      <c r="G349" s="36">
        <f>'[7]BP-Wom'!F137</f>
        <v>0</v>
      </c>
    </row>
    <row r="350" spans="1:7" s="16" customFormat="1" x14ac:dyDescent="0.25">
      <c r="A350" s="28">
        <f>'[7]BP-Wom'!A138</f>
        <v>0</v>
      </c>
      <c r="B350" s="16">
        <f>'[7]BP-Wom'!B138</f>
        <v>0</v>
      </c>
      <c r="C350" s="16">
        <f>'[7]BP-Wom'!C138</f>
        <v>0</v>
      </c>
      <c r="D350" s="31" t="str">
        <f t="shared" si="9"/>
        <v>0</v>
      </c>
      <c r="E350" s="33">
        <f>'[7]BP-Wom'!D138</f>
        <v>0</v>
      </c>
      <c r="F350" s="17">
        <f>'[7]BP-Wom'!E138</f>
        <v>0</v>
      </c>
      <c r="G350" s="36">
        <f>'[7]BP-Wom'!F138</f>
        <v>0</v>
      </c>
    </row>
    <row r="351" spans="1:7" s="16" customFormat="1" x14ac:dyDescent="0.25">
      <c r="A351" s="28">
        <f>'[7]BP-Wom'!A139</f>
        <v>0</v>
      </c>
      <c r="B351" s="16">
        <f>'[7]BP-Wom'!B139</f>
        <v>0</v>
      </c>
      <c r="C351" s="16">
        <f>'[7]BP-Wom'!C139</f>
        <v>0</v>
      </c>
      <c r="D351" s="31" t="str">
        <f t="shared" si="9"/>
        <v>0</v>
      </c>
      <c r="E351" s="33">
        <f>'[7]BP-Wom'!D139</f>
        <v>0</v>
      </c>
      <c r="F351" s="17">
        <f>'[7]BP-Wom'!E139</f>
        <v>0</v>
      </c>
      <c r="G351" s="36">
        <f>'[7]BP-Wom'!F139</f>
        <v>0</v>
      </c>
    </row>
    <row r="352" spans="1:7" s="16" customFormat="1" x14ac:dyDescent="0.25">
      <c r="A352" s="28">
        <f>'[7]BP-Wom'!A140</f>
        <v>0</v>
      </c>
      <c r="B352" s="16">
        <f>'[7]BP-Wom'!B140</f>
        <v>0</v>
      </c>
      <c r="C352" s="16">
        <f>'[7]BP-Wom'!C140</f>
        <v>0</v>
      </c>
      <c r="D352" s="31" t="str">
        <f t="shared" si="9"/>
        <v>0</v>
      </c>
      <c r="E352" s="33">
        <f>'[7]BP-Wom'!D140</f>
        <v>0</v>
      </c>
      <c r="F352" s="17">
        <f>'[7]BP-Wom'!E140</f>
        <v>0</v>
      </c>
      <c r="G352" s="36">
        <f>'[7]BP-Wom'!F140</f>
        <v>0</v>
      </c>
    </row>
    <row r="353" spans="1:7" s="16" customFormat="1" x14ac:dyDescent="0.25">
      <c r="A353" s="28">
        <f>'[7]BP-Wom'!A141</f>
        <v>0</v>
      </c>
      <c r="B353" s="16">
        <f>'[7]BP-Wom'!B141</f>
        <v>0</v>
      </c>
      <c r="C353" s="16">
        <f>'[7]BP-Wom'!C141</f>
        <v>0</v>
      </c>
      <c r="D353" s="31" t="str">
        <f t="shared" si="9"/>
        <v>0</v>
      </c>
      <c r="E353" s="33">
        <f>'[7]BP-Wom'!D141</f>
        <v>0</v>
      </c>
      <c r="F353" s="17">
        <f>'[7]BP-Wom'!E141</f>
        <v>0</v>
      </c>
      <c r="G353" s="36">
        <f>'[7]BP-Wom'!F141</f>
        <v>0</v>
      </c>
    </row>
    <row r="354" spans="1:7" s="16" customFormat="1" x14ac:dyDescent="0.25">
      <c r="A354" s="28">
        <f>'[7]BP-Wom'!A142</f>
        <v>0</v>
      </c>
      <c r="B354" s="16">
        <f>'[7]BP-Wom'!B142</f>
        <v>0</v>
      </c>
      <c r="C354" s="16">
        <f>'[7]BP-Wom'!C142</f>
        <v>0</v>
      </c>
      <c r="D354" s="31" t="str">
        <f t="shared" si="9"/>
        <v>0</v>
      </c>
      <c r="E354" s="33">
        <f>'[7]BP-Wom'!D142</f>
        <v>0</v>
      </c>
      <c r="F354" s="17">
        <f>'[7]BP-Wom'!E142</f>
        <v>0</v>
      </c>
      <c r="G354" s="36">
        <f>'[7]BP-Wom'!F142</f>
        <v>0</v>
      </c>
    </row>
    <row r="355" spans="1:7" s="16" customFormat="1" x14ac:dyDescent="0.25">
      <c r="A355" s="28">
        <f>'[7]BP-Wom'!A143</f>
        <v>0</v>
      </c>
      <c r="B355" s="16">
        <f>'[7]BP-Wom'!B143</f>
        <v>0</v>
      </c>
      <c r="C355" s="16">
        <f>'[7]BP-Wom'!C143</f>
        <v>0</v>
      </c>
      <c r="D355" s="31" t="str">
        <f t="shared" si="9"/>
        <v>0</v>
      </c>
      <c r="E355" s="33">
        <f>'[7]BP-Wom'!D143</f>
        <v>0</v>
      </c>
      <c r="F355" s="17">
        <f>'[7]BP-Wom'!E143</f>
        <v>0</v>
      </c>
      <c r="G355" s="36">
        <f>'[7]BP-Wom'!F143</f>
        <v>0</v>
      </c>
    </row>
    <row r="356" spans="1:7" s="16" customFormat="1" x14ac:dyDescent="0.25">
      <c r="A356" s="28">
        <f>'[7]BP-Wom'!A144</f>
        <v>0</v>
      </c>
      <c r="B356" s="16">
        <f>'[7]BP-Wom'!B144</f>
        <v>0</v>
      </c>
      <c r="C356" s="16">
        <f>'[7]BP-Wom'!C144</f>
        <v>0</v>
      </c>
      <c r="D356" s="31" t="str">
        <f t="shared" si="9"/>
        <v>0</v>
      </c>
      <c r="E356" s="33">
        <f>'[7]BP-Wom'!D144</f>
        <v>0</v>
      </c>
      <c r="F356" s="17">
        <f>'[7]BP-Wom'!E144</f>
        <v>0</v>
      </c>
      <c r="G356" s="36">
        <f>'[7]BP-Wom'!F144</f>
        <v>0</v>
      </c>
    </row>
    <row r="357" spans="1:7" s="16" customFormat="1" x14ac:dyDescent="0.25">
      <c r="A357" s="28">
        <f>'[7]BP-Wom'!A145</f>
        <v>0</v>
      </c>
      <c r="B357" s="16">
        <f>'[7]BP-Wom'!B145</f>
        <v>0</v>
      </c>
      <c r="C357" s="16">
        <f>'[7]BP-Wom'!C145</f>
        <v>0</v>
      </c>
      <c r="D357" s="31" t="str">
        <f t="shared" si="9"/>
        <v>0</v>
      </c>
      <c r="E357" s="33">
        <f>'[7]BP-Wom'!D145</f>
        <v>0</v>
      </c>
      <c r="F357" s="17">
        <f>'[7]BP-Wom'!E145</f>
        <v>0</v>
      </c>
      <c r="G357" s="36">
        <f>'[7]BP-Wom'!F145</f>
        <v>0</v>
      </c>
    </row>
    <row r="358" spans="1:7" s="16" customFormat="1" x14ac:dyDescent="0.25">
      <c r="A358" s="28">
        <f>'[7]BP-Wom'!A146</f>
        <v>0</v>
      </c>
      <c r="B358" s="16">
        <f>'[7]BP-Wom'!B146</f>
        <v>0</v>
      </c>
      <c r="C358" s="16">
        <f>'[7]BP-Wom'!C146</f>
        <v>0</v>
      </c>
      <c r="D358" s="31" t="str">
        <f t="shared" si="9"/>
        <v>0</v>
      </c>
      <c r="E358" s="33">
        <f>'[7]BP-Wom'!D146</f>
        <v>0</v>
      </c>
      <c r="F358" s="17">
        <f>'[7]BP-Wom'!E146</f>
        <v>0</v>
      </c>
      <c r="G358" s="36">
        <f>'[7]BP-Wom'!F146</f>
        <v>0</v>
      </c>
    </row>
    <row r="359" spans="1:7" s="16" customFormat="1" x14ac:dyDescent="0.25">
      <c r="A359" s="28">
        <f>'[7]BP-Wom'!A147</f>
        <v>0</v>
      </c>
      <c r="B359" s="16">
        <f>'[7]BP-Wom'!B147</f>
        <v>0</v>
      </c>
      <c r="C359" s="16">
        <f>'[7]BP-Wom'!C147</f>
        <v>0</v>
      </c>
      <c r="D359" s="31" t="str">
        <f t="shared" si="9"/>
        <v>0</v>
      </c>
      <c r="E359" s="33">
        <f>'[7]BP-Wom'!D147</f>
        <v>0</v>
      </c>
      <c r="F359" s="17">
        <f>'[7]BP-Wom'!E147</f>
        <v>0</v>
      </c>
      <c r="G359" s="36">
        <f>'[7]BP-Wom'!F147</f>
        <v>0</v>
      </c>
    </row>
    <row r="360" spans="1:7" s="16" customFormat="1" x14ac:dyDescent="0.25">
      <c r="A360" s="28">
        <f>'[7]BP-Wom'!A148</f>
        <v>0</v>
      </c>
      <c r="B360" s="16">
        <f>'[7]BP-Wom'!B148</f>
        <v>0</v>
      </c>
      <c r="C360" s="16">
        <f>'[7]BP-Wom'!C148</f>
        <v>0</v>
      </c>
      <c r="D360" s="31" t="str">
        <f t="shared" si="9"/>
        <v>0</v>
      </c>
      <c r="E360" s="33">
        <f>'[7]BP-Wom'!D148</f>
        <v>0</v>
      </c>
      <c r="F360" s="17">
        <f>'[7]BP-Wom'!E148</f>
        <v>0</v>
      </c>
      <c r="G360" s="36">
        <f>'[7]BP-Wom'!F148</f>
        <v>0</v>
      </c>
    </row>
    <row r="361" spans="1:7" s="16" customFormat="1" x14ac:dyDescent="0.25">
      <c r="A361" s="28">
        <f>'[7]BP-Wom'!A149</f>
        <v>0</v>
      </c>
      <c r="B361" s="16">
        <f>'[7]BP-Wom'!B149</f>
        <v>0</v>
      </c>
      <c r="C361" s="16">
        <f>'[7]BP-Wom'!C149</f>
        <v>0</v>
      </c>
      <c r="D361" s="31" t="str">
        <f t="shared" si="9"/>
        <v>0</v>
      </c>
      <c r="E361" s="33">
        <f>'[7]BP-Wom'!D149</f>
        <v>0</v>
      </c>
      <c r="F361" s="17">
        <f>'[7]BP-Wom'!E149</f>
        <v>0</v>
      </c>
      <c r="G361" s="36">
        <f>'[7]BP-Wom'!F149</f>
        <v>0</v>
      </c>
    </row>
    <row r="362" spans="1:7" s="16" customFormat="1" x14ac:dyDescent="0.25">
      <c r="A362" s="28">
        <f>'[7]BP-Wom'!A150</f>
        <v>0</v>
      </c>
      <c r="B362" s="16">
        <f>'[7]BP-Wom'!B150</f>
        <v>0</v>
      </c>
      <c r="C362" s="16">
        <f>'[7]BP-Wom'!C150</f>
        <v>0</v>
      </c>
      <c r="D362" s="31" t="str">
        <f t="shared" si="9"/>
        <v>0</v>
      </c>
      <c r="E362" s="33">
        <f>'[7]BP-Wom'!D150</f>
        <v>0</v>
      </c>
      <c r="F362" s="17">
        <f>'[7]BP-Wom'!E150</f>
        <v>0</v>
      </c>
      <c r="G362" s="36">
        <f>'[7]BP-Wom'!F150</f>
        <v>0</v>
      </c>
    </row>
    <row r="363" spans="1:7" s="16" customFormat="1" x14ac:dyDescent="0.25">
      <c r="A363" s="28">
        <f>'[7]BP-Wom'!A151</f>
        <v>0</v>
      </c>
      <c r="B363" s="16">
        <f>'[7]BP-Wom'!B151</f>
        <v>0</v>
      </c>
      <c r="C363" s="16">
        <f>'[7]BP-Wom'!C151</f>
        <v>0</v>
      </c>
      <c r="D363" s="31" t="str">
        <f t="shared" si="9"/>
        <v>0</v>
      </c>
      <c r="E363" s="33">
        <f>'[7]BP-Wom'!D151</f>
        <v>0</v>
      </c>
      <c r="F363" s="17">
        <f>'[7]BP-Wom'!E151</f>
        <v>0</v>
      </c>
      <c r="G363" s="36">
        <f>'[7]BP-Wom'!F151</f>
        <v>0</v>
      </c>
    </row>
    <row r="364" spans="1:7" s="16" customFormat="1" x14ac:dyDescent="0.25">
      <c r="A364" s="28">
        <f>'[7]BP-Wom'!A152</f>
        <v>0</v>
      </c>
      <c r="B364" s="16">
        <f>'[7]BP-Wom'!B152</f>
        <v>0</v>
      </c>
      <c r="C364" s="16">
        <f>'[7]BP-Wom'!C152</f>
        <v>0</v>
      </c>
      <c r="D364" s="31" t="str">
        <f t="shared" si="9"/>
        <v>0</v>
      </c>
      <c r="E364" s="33">
        <f>'[7]BP-Wom'!D152</f>
        <v>0</v>
      </c>
      <c r="F364" s="17">
        <f>'[7]BP-Wom'!E152</f>
        <v>0</v>
      </c>
      <c r="G364" s="36">
        <f>'[7]BP-Wom'!F152</f>
        <v>0</v>
      </c>
    </row>
    <row r="365" spans="1:7" s="16" customFormat="1" x14ac:dyDescent="0.25">
      <c r="A365" s="28">
        <f>'[7]BP-Wom'!A153</f>
        <v>0</v>
      </c>
      <c r="B365" s="16">
        <f>'[7]BP-Wom'!B153</f>
        <v>0</v>
      </c>
      <c r="C365" s="16">
        <f>'[7]BP-Wom'!C153</f>
        <v>0</v>
      </c>
      <c r="D365" s="31" t="str">
        <f t="shared" si="9"/>
        <v>0</v>
      </c>
      <c r="E365" s="33">
        <f>'[7]BP-Wom'!D153</f>
        <v>0</v>
      </c>
      <c r="F365" s="17">
        <f>'[7]BP-Wom'!E153</f>
        <v>0</v>
      </c>
      <c r="G365" s="36">
        <f>'[7]BP-Wom'!F153</f>
        <v>0</v>
      </c>
    </row>
    <row r="366" spans="1:7" s="16" customFormat="1" x14ac:dyDescent="0.25">
      <c r="A366" s="28">
        <f>'[7]BP-Wom'!A154</f>
        <v>0</v>
      </c>
      <c r="B366" s="16">
        <f>'[7]BP-Wom'!B154</f>
        <v>0</v>
      </c>
      <c r="C366" s="16">
        <f>'[7]BP-Wom'!C154</f>
        <v>0</v>
      </c>
      <c r="D366" s="31" t="str">
        <f t="shared" si="9"/>
        <v>0</v>
      </c>
      <c r="E366" s="33">
        <f>'[7]BP-Wom'!D154</f>
        <v>0</v>
      </c>
      <c r="F366" s="17">
        <f>'[7]BP-Wom'!E154</f>
        <v>0</v>
      </c>
      <c r="G366" s="36">
        <f>'[7]BP-Wom'!F154</f>
        <v>0</v>
      </c>
    </row>
    <row r="367" spans="1:7" s="16" customFormat="1" x14ac:dyDescent="0.25">
      <c r="A367" s="28">
        <f>'[7]BP-Wom'!A155</f>
        <v>0</v>
      </c>
      <c r="B367" s="16">
        <f>'[7]BP-Wom'!B155</f>
        <v>0</v>
      </c>
      <c r="C367" s="16">
        <f>'[7]BP-Wom'!C155</f>
        <v>0</v>
      </c>
      <c r="D367" s="31" t="str">
        <f t="shared" si="9"/>
        <v>0</v>
      </c>
      <c r="E367" s="33">
        <f>'[7]BP-Wom'!D155</f>
        <v>0</v>
      </c>
      <c r="F367" s="17">
        <f>'[7]BP-Wom'!E155</f>
        <v>0</v>
      </c>
      <c r="G367" s="36">
        <f>'[7]BP-Wom'!F155</f>
        <v>0</v>
      </c>
    </row>
    <row r="368" spans="1:7" s="16" customFormat="1" x14ac:dyDescent="0.25">
      <c r="A368" s="28">
        <f>'[7]BP-Wom'!A156</f>
        <v>0</v>
      </c>
      <c r="B368" s="16">
        <f>'[7]BP-Wom'!B156</f>
        <v>0</v>
      </c>
      <c r="C368" s="16">
        <f>'[7]BP-Wom'!C156</f>
        <v>0</v>
      </c>
      <c r="D368" s="31" t="str">
        <f t="shared" si="9"/>
        <v>0</v>
      </c>
      <c r="E368" s="33">
        <f>'[7]BP-Wom'!D156</f>
        <v>0</v>
      </c>
      <c r="F368" s="17">
        <f>'[7]BP-Wom'!E156</f>
        <v>0</v>
      </c>
      <c r="G368" s="36">
        <f>'[7]BP-Wom'!F156</f>
        <v>0</v>
      </c>
    </row>
    <row r="369" spans="1:7" s="16" customFormat="1" x14ac:dyDescent="0.25">
      <c r="A369" s="28">
        <f>'[7]BP-Wom'!A157</f>
        <v>0</v>
      </c>
      <c r="B369" s="16">
        <f>'[7]BP-Wom'!B157</f>
        <v>0</v>
      </c>
      <c r="C369" s="16">
        <f>'[7]BP-Wom'!C157</f>
        <v>0</v>
      </c>
      <c r="D369" s="31" t="str">
        <f t="shared" si="9"/>
        <v>0</v>
      </c>
      <c r="E369" s="33">
        <f>'[7]BP-Wom'!D157</f>
        <v>0</v>
      </c>
      <c r="F369" s="17">
        <f>'[7]BP-Wom'!E157</f>
        <v>0</v>
      </c>
      <c r="G369" s="36">
        <f>'[7]BP-Wom'!F157</f>
        <v>0</v>
      </c>
    </row>
    <row r="370" spans="1:7" s="16" customFormat="1" x14ac:dyDescent="0.25">
      <c r="A370" s="28">
        <f>'[7]BP-Wom'!A158</f>
        <v>0</v>
      </c>
      <c r="B370" s="16">
        <f>'[7]BP-Wom'!B158</f>
        <v>0</v>
      </c>
      <c r="C370" s="16">
        <f>'[7]BP-Wom'!C158</f>
        <v>0</v>
      </c>
      <c r="D370" s="31" t="str">
        <f t="shared" si="9"/>
        <v>0</v>
      </c>
      <c r="E370" s="33">
        <f>'[7]BP-Wom'!D158</f>
        <v>0</v>
      </c>
      <c r="F370" s="17">
        <f>'[7]BP-Wom'!E158</f>
        <v>0</v>
      </c>
      <c r="G370" s="36">
        <f>'[7]BP-Wom'!F158</f>
        <v>0</v>
      </c>
    </row>
    <row r="371" spans="1:7" s="16" customFormat="1" x14ac:dyDescent="0.25">
      <c r="A371" s="28">
        <f>'[7]BP-Wom'!A159</f>
        <v>0</v>
      </c>
      <c r="B371" s="16">
        <f>'[7]BP-Wom'!B159</f>
        <v>0</v>
      </c>
      <c r="C371" s="16">
        <f>'[7]BP-Wom'!C159</f>
        <v>0</v>
      </c>
      <c r="D371" s="31" t="str">
        <f t="shared" si="9"/>
        <v>0</v>
      </c>
      <c r="E371" s="33">
        <f>'[7]BP-Wom'!D159</f>
        <v>0</v>
      </c>
      <c r="F371" s="17">
        <f>'[7]BP-Wom'!E159</f>
        <v>0</v>
      </c>
      <c r="G371" s="36">
        <f>'[7]BP-Wom'!F159</f>
        <v>0</v>
      </c>
    </row>
    <row r="372" spans="1:7" s="16" customFormat="1" x14ac:dyDescent="0.25">
      <c r="A372" s="28">
        <f>'[7]BP-Wom'!A160</f>
        <v>0</v>
      </c>
      <c r="B372" s="16">
        <f>'[7]BP-Wom'!B160</f>
        <v>0</v>
      </c>
      <c r="C372" s="16">
        <f>'[7]BP-Wom'!C160</f>
        <v>0</v>
      </c>
      <c r="D372" s="31" t="str">
        <f t="shared" si="9"/>
        <v>0</v>
      </c>
      <c r="E372" s="33">
        <f>'[7]BP-Wom'!D160</f>
        <v>0</v>
      </c>
      <c r="F372" s="17">
        <f>'[7]BP-Wom'!E160</f>
        <v>0</v>
      </c>
      <c r="G372" s="36">
        <f>'[7]BP-Wom'!F160</f>
        <v>0</v>
      </c>
    </row>
    <row r="373" spans="1:7" s="16" customFormat="1" x14ac:dyDescent="0.25">
      <c r="A373" s="28">
        <f>'[7]BP-Wom'!A161</f>
        <v>0</v>
      </c>
      <c r="B373" s="16">
        <f>'[7]BP-Wom'!B161</f>
        <v>0</v>
      </c>
      <c r="C373" s="16">
        <f>'[7]BP-Wom'!C161</f>
        <v>0</v>
      </c>
      <c r="D373" s="31" t="str">
        <f t="shared" si="9"/>
        <v>0</v>
      </c>
      <c r="E373" s="33">
        <f>'[7]BP-Wom'!D161</f>
        <v>0</v>
      </c>
      <c r="F373" s="17">
        <f>'[7]BP-Wom'!E161</f>
        <v>0</v>
      </c>
      <c r="G373" s="36">
        <f>'[7]BP-Wom'!F161</f>
        <v>0</v>
      </c>
    </row>
    <row r="374" spans="1:7" s="16" customFormat="1" x14ac:dyDescent="0.25">
      <c r="A374" s="28">
        <f>'[7]BP-Wom'!A162</f>
        <v>0</v>
      </c>
      <c r="B374" s="16">
        <f>'[7]BP-Wom'!B162</f>
        <v>0</v>
      </c>
      <c r="C374" s="16">
        <f>'[7]BP-Wom'!C162</f>
        <v>0</v>
      </c>
      <c r="D374" s="31" t="str">
        <f t="shared" si="9"/>
        <v>0</v>
      </c>
      <c r="E374" s="33">
        <f>'[7]BP-Wom'!D162</f>
        <v>0</v>
      </c>
      <c r="F374" s="17">
        <f>'[7]BP-Wom'!E162</f>
        <v>0</v>
      </c>
      <c r="G374" s="36">
        <f>'[7]BP-Wom'!F162</f>
        <v>0</v>
      </c>
    </row>
    <row r="375" spans="1:7" s="16" customFormat="1" x14ac:dyDescent="0.25">
      <c r="A375" s="28"/>
      <c r="D375" s="31" t="str">
        <f t="shared" ref="D375:D405" si="10">RIGHT(C375,2)</f>
        <v/>
      </c>
      <c r="E375" s="33"/>
      <c r="F375" s="17"/>
      <c r="G375" s="36"/>
    </row>
    <row r="376" spans="1:7" s="16" customFormat="1" x14ac:dyDescent="0.25">
      <c r="A376" s="28"/>
      <c r="D376" s="31" t="str">
        <f t="shared" si="10"/>
        <v/>
      </c>
      <c r="E376" s="33"/>
      <c r="F376" s="17"/>
      <c r="G376" s="36"/>
    </row>
    <row r="377" spans="1:7" s="16" customFormat="1" x14ac:dyDescent="0.25">
      <c r="A377" s="28"/>
      <c r="D377" s="31" t="str">
        <f t="shared" si="10"/>
        <v/>
      </c>
      <c r="E377" s="33"/>
      <c r="F377" s="17"/>
      <c r="G377" s="36"/>
    </row>
    <row r="378" spans="1:7" s="16" customFormat="1" x14ac:dyDescent="0.25">
      <c r="A378" s="28"/>
      <c r="D378" s="31" t="str">
        <f t="shared" si="10"/>
        <v/>
      </c>
      <c r="E378" s="33"/>
      <c r="F378" s="17"/>
      <c r="G378" s="36"/>
    </row>
    <row r="379" spans="1:7" s="16" customFormat="1" x14ac:dyDescent="0.25">
      <c r="A379" s="28"/>
      <c r="D379" s="31" t="str">
        <f t="shared" si="10"/>
        <v/>
      </c>
      <c r="E379" s="33"/>
      <c r="F379" s="17"/>
      <c r="G379" s="36"/>
    </row>
    <row r="380" spans="1:7" s="16" customFormat="1" x14ac:dyDescent="0.25">
      <c r="A380" s="28"/>
      <c r="D380" s="31" t="str">
        <f t="shared" si="10"/>
        <v/>
      </c>
      <c r="E380" s="33"/>
      <c r="F380" s="17"/>
      <c r="G380" s="36"/>
    </row>
    <row r="381" spans="1:7" s="16" customFormat="1" x14ac:dyDescent="0.25">
      <c r="A381" s="28"/>
      <c r="D381" s="31" t="str">
        <f t="shared" si="10"/>
        <v/>
      </c>
      <c r="E381" s="33"/>
      <c r="F381" s="17"/>
      <c r="G381" s="36"/>
    </row>
    <row r="382" spans="1:7" s="16" customFormat="1" x14ac:dyDescent="0.25">
      <c r="A382" s="28"/>
      <c r="D382" s="31" t="str">
        <f t="shared" si="10"/>
        <v/>
      </c>
      <c r="E382" s="33"/>
      <c r="F382" s="17"/>
      <c r="G382" s="36"/>
    </row>
    <row r="383" spans="1:7" s="16" customFormat="1" x14ac:dyDescent="0.25">
      <c r="A383" s="28"/>
      <c r="D383" s="31" t="str">
        <f t="shared" si="10"/>
        <v/>
      </c>
      <c r="E383" s="33"/>
      <c r="F383" s="17"/>
      <c r="G383" s="36"/>
    </row>
    <row r="384" spans="1:7" s="16" customFormat="1" x14ac:dyDescent="0.25">
      <c r="A384" s="28" t="s">
        <v>2</v>
      </c>
      <c r="D384" s="31" t="str">
        <f t="shared" si="10"/>
        <v/>
      </c>
      <c r="E384" s="33"/>
      <c r="F384" s="17"/>
      <c r="G384" s="36"/>
    </row>
    <row r="385" spans="1:7" s="16" customFormat="1" x14ac:dyDescent="0.25">
      <c r="A385" s="28" t="s">
        <v>3</v>
      </c>
      <c r="D385" s="31" t="str">
        <f t="shared" si="10"/>
        <v/>
      </c>
      <c r="E385" s="33"/>
      <c r="F385" s="17"/>
      <c r="G385" s="36"/>
    </row>
    <row r="386" spans="1:7" s="16" customFormat="1" x14ac:dyDescent="0.25">
      <c r="A386" s="28"/>
      <c r="D386" s="31" t="str">
        <f t="shared" si="10"/>
        <v/>
      </c>
      <c r="E386" s="33"/>
      <c r="F386" s="17"/>
      <c r="G386" s="36"/>
    </row>
    <row r="387" spans="1:7" s="16" customFormat="1" x14ac:dyDescent="0.25">
      <c r="A387" s="28"/>
      <c r="D387" s="31" t="str">
        <f t="shared" si="10"/>
        <v/>
      </c>
      <c r="E387" s="33"/>
      <c r="F387" s="17"/>
      <c r="G387" s="36"/>
    </row>
    <row r="388" spans="1:7" s="16" customFormat="1" x14ac:dyDescent="0.25">
      <c r="A388" s="28"/>
      <c r="D388" s="31" t="str">
        <f t="shared" si="10"/>
        <v/>
      </c>
      <c r="E388" s="33"/>
      <c r="F388" s="17"/>
      <c r="G388" s="36"/>
    </row>
    <row r="389" spans="1:7" s="16" customFormat="1" x14ac:dyDescent="0.25">
      <c r="A389" s="28"/>
      <c r="D389" s="31" t="str">
        <f t="shared" si="10"/>
        <v/>
      </c>
      <c r="E389" s="33"/>
      <c r="F389" s="17"/>
      <c r="G389" s="36"/>
    </row>
    <row r="390" spans="1:7" s="16" customFormat="1" x14ac:dyDescent="0.25">
      <c r="A390" s="28"/>
      <c r="D390" s="31" t="str">
        <f t="shared" si="10"/>
        <v/>
      </c>
      <c r="E390" s="33"/>
      <c r="F390" s="17"/>
      <c r="G390" s="36"/>
    </row>
    <row r="391" spans="1:7" s="16" customFormat="1" x14ac:dyDescent="0.25">
      <c r="A391" s="28"/>
      <c r="D391" s="31" t="str">
        <f t="shared" si="10"/>
        <v/>
      </c>
      <c r="E391" s="33"/>
      <c r="F391" s="17"/>
      <c r="G391" s="36"/>
    </row>
    <row r="392" spans="1:7" s="16" customFormat="1" x14ac:dyDescent="0.25">
      <c r="A392" s="28"/>
      <c r="D392" s="31" t="str">
        <f t="shared" si="10"/>
        <v/>
      </c>
      <c r="E392" s="33"/>
      <c r="F392" s="17"/>
      <c r="G392" s="36"/>
    </row>
    <row r="393" spans="1:7" s="16" customFormat="1" x14ac:dyDescent="0.25">
      <c r="A393" s="28"/>
      <c r="D393" s="31" t="str">
        <f t="shared" si="10"/>
        <v/>
      </c>
      <c r="E393" s="33"/>
      <c r="F393" s="17"/>
      <c r="G393" s="36"/>
    </row>
    <row r="394" spans="1:7" s="16" customFormat="1" x14ac:dyDescent="0.25">
      <c r="A394" s="28"/>
      <c r="D394" s="31" t="str">
        <f t="shared" si="10"/>
        <v/>
      </c>
      <c r="E394" s="33"/>
      <c r="F394" s="17"/>
      <c r="G394" s="36"/>
    </row>
    <row r="395" spans="1:7" s="16" customFormat="1" x14ac:dyDescent="0.25">
      <c r="A395" s="28"/>
      <c r="D395" s="31" t="str">
        <f t="shared" si="10"/>
        <v/>
      </c>
      <c r="E395" s="33"/>
      <c r="F395" s="17"/>
      <c r="G395" s="36"/>
    </row>
    <row r="396" spans="1:7" s="16" customFormat="1" x14ac:dyDescent="0.25">
      <c r="A396" s="28"/>
      <c r="D396" s="31" t="str">
        <f t="shared" si="10"/>
        <v/>
      </c>
      <c r="E396" s="33"/>
      <c r="F396" s="17"/>
      <c r="G396" s="36"/>
    </row>
    <row r="397" spans="1:7" s="16" customFormat="1" x14ac:dyDescent="0.25">
      <c r="A397" s="28"/>
      <c r="D397" s="31" t="str">
        <f t="shared" si="10"/>
        <v/>
      </c>
      <c r="E397" s="33"/>
      <c r="F397" s="17"/>
      <c r="G397" s="36"/>
    </row>
    <row r="398" spans="1:7" s="16" customFormat="1" x14ac:dyDescent="0.25">
      <c r="A398" s="28"/>
      <c r="D398" s="31" t="str">
        <f t="shared" si="10"/>
        <v/>
      </c>
      <c r="E398" s="33"/>
      <c r="F398" s="17"/>
      <c r="G398" s="36"/>
    </row>
    <row r="399" spans="1:7" s="16" customFormat="1" x14ac:dyDescent="0.25">
      <c r="A399" s="28"/>
      <c r="D399" s="31" t="str">
        <f t="shared" si="10"/>
        <v/>
      </c>
      <c r="E399" s="33"/>
      <c r="F399" s="17"/>
      <c r="G399" s="36"/>
    </row>
    <row r="400" spans="1:7" s="16" customFormat="1" x14ac:dyDescent="0.25">
      <c r="A400" s="28"/>
      <c r="D400" s="31" t="str">
        <f t="shared" si="10"/>
        <v/>
      </c>
      <c r="E400" s="33"/>
      <c r="F400" s="17"/>
      <c r="G400" s="36"/>
    </row>
    <row r="401" spans="1:7" s="16" customFormat="1" x14ac:dyDescent="0.25">
      <c r="A401" s="28"/>
      <c r="D401" s="31" t="str">
        <f t="shared" si="10"/>
        <v/>
      </c>
      <c r="E401" s="33"/>
      <c r="F401" s="17"/>
      <c r="G401" s="36"/>
    </row>
    <row r="402" spans="1:7" s="16" customFormat="1" x14ac:dyDescent="0.25">
      <c r="A402" s="28"/>
      <c r="D402" s="31" t="str">
        <f t="shared" si="10"/>
        <v/>
      </c>
      <c r="E402" s="33"/>
      <c r="F402" s="17"/>
      <c r="G402" s="36"/>
    </row>
    <row r="403" spans="1:7" s="16" customFormat="1" x14ac:dyDescent="0.25">
      <c r="A403" s="28"/>
      <c r="D403" s="31" t="str">
        <f t="shared" si="10"/>
        <v/>
      </c>
      <c r="E403" s="33"/>
      <c r="F403" s="17"/>
      <c r="G403" s="36"/>
    </row>
    <row r="404" spans="1:7" s="16" customFormat="1" x14ac:dyDescent="0.25">
      <c r="A404" s="28"/>
      <c r="D404" s="31" t="str">
        <f t="shared" si="10"/>
        <v/>
      </c>
      <c r="E404" s="33"/>
      <c r="F404" s="17"/>
      <c r="G404" s="36"/>
    </row>
    <row r="405" spans="1:7" s="16" customFormat="1" x14ac:dyDescent="0.25">
      <c r="A405" s="28"/>
      <c r="D405" s="31" t="str">
        <f t="shared" si="10"/>
        <v/>
      </c>
      <c r="E405" s="33"/>
      <c r="F405" s="17"/>
      <c r="G405" s="36"/>
    </row>
    <row r="406" spans="1:7" s="16" customFormat="1" x14ac:dyDescent="0.25">
      <c r="A406" s="28"/>
      <c r="D406" s="31" t="str">
        <f t="shared" ref="D406:D449" si="11">RIGHT(C406,2)</f>
        <v/>
      </c>
      <c r="E406" s="33"/>
      <c r="F406" s="17"/>
      <c r="G406" s="36"/>
    </row>
    <row r="407" spans="1:7" s="16" customFormat="1" x14ac:dyDescent="0.25">
      <c r="A407" s="28"/>
      <c r="D407" s="31" t="str">
        <f t="shared" si="11"/>
        <v/>
      </c>
      <c r="E407" s="33"/>
      <c r="F407" s="17"/>
      <c r="G407" s="36"/>
    </row>
    <row r="408" spans="1:7" s="16" customFormat="1" x14ac:dyDescent="0.25">
      <c r="A408" s="28"/>
      <c r="D408" s="31" t="str">
        <f t="shared" si="11"/>
        <v/>
      </c>
      <c r="E408" s="33"/>
      <c r="F408" s="17"/>
      <c r="G408" s="36"/>
    </row>
    <row r="409" spans="1:7" x14ac:dyDescent="0.25">
      <c r="D409" s="14" t="str">
        <f t="shared" si="11"/>
        <v/>
      </c>
    </row>
    <row r="410" spans="1:7" x14ac:dyDescent="0.25">
      <c r="D410" s="14" t="str">
        <f t="shared" si="11"/>
        <v/>
      </c>
    </row>
    <row r="411" spans="1:7" x14ac:dyDescent="0.25">
      <c r="D411" s="14" t="str">
        <f t="shared" si="11"/>
        <v/>
      </c>
    </row>
    <row r="412" spans="1:7" x14ac:dyDescent="0.25">
      <c r="D412" s="14" t="str">
        <f t="shared" si="11"/>
        <v/>
      </c>
    </row>
    <row r="413" spans="1:7" x14ac:dyDescent="0.25">
      <c r="D413" s="14" t="str">
        <f t="shared" si="11"/>
        <v/>
      </c>
    </row>
    <row r="414" spans="1:7" x14ac:dyDescent="0.25">
      <c r="D414" s="14" t="str">
        <f t="shared" si="11"/>
        <v/>
      </c>
    </row>
    <row r="415" spans="1:7" x14ac:dyDescent="0.25">
      <c r="D415" s="14" t="str">
        <f t="shared" si="11"/>
        <v/>
      </c>
    </row>
    <row r="416" spans="1:7" x14ac:dyDescent="0.25">
      <c r="D416" s="14" t="str">
        <f t="shared" si="11"/>
        <v/>
      </c>
    </row>
    <row r="417" spans="4:4" x14ac:dyDescent="0.25">
      <c r="D417" s="14" t="str">
        <f t="shared" si="11"/>
        <v/>
      </c>
    </row>
    <row r="418" spans="4:4" x14ac:dyDescent="0.25">
      <c r="D418" s="14" t="str">
        <f t="shared" si="11"/>
        <v/>
      </c>
    </row>
    <row r="419" spans="4:4" x14ac:dyDescent="0.25">
      <c r="D419" s="14" t="str">
        <f t="shared" si="11"/>
        <v/>
      </c>
    </row>
    <row r="420" spans="4:4" x14ac:dyDescent="0.25">
      <c r="D420" s="14" t="str">
        <f t="shared" si="11"/>
        <v/>
      </c>
    </row>
    <row r="421" spans="4:4" x14ac:dyDescent="0.25">
      <c r="D421" s="14" t="str">
        <f t="shared" si="11"/>
        <v/>
      </c>
    </row>
    <row r="422" spans="4:4" x14ac:dyDescent="0.25">
      <c r="D422" s="14" t="str">
        <f t="shared" si="11"/>
        <v/>
      </c>
    </row>
    <row r="423" spans="4:4" x14ac:dyDescent="0.25">
      <c r="D423" s="14" t="str">
        <f t="shared" si="11"/>
        <v/>
      </c>
    </row>
    <row r="424" spans="4:4" x14ac:dyDescent="0.25">
      <c r="D424" s="14" t="str">
        <f t="shared" si="11"/>
        <v/>
      </c>
    </row>
    <row r="425" spans="4:4" x14ac:dyDescent="0.25">
      <c r="D425" s="14" t="str">
        <f t="shared" si="11"/>
        <v/>
      </c>
    </row>
    <row r="426" spans="4:4" x14ac:dyDescent="0.25">
      <c r="D426" s="14" t="str">
        <f t="shared" si="11"/>
        <v/>
      </c>
    </row>
    <row r="427" spans="4:4" x14ac:dyDescent="0.25">
      <c r="D427" s="14" t="str">
        <f t="shared" si="11"/>
        <v/>
      </c>
    </row>
    <row r="428" spans="4:4" x14ac:dyDescent="0.25">
      <c r="D428" s="14" t="str">
        <f t="shared" si="11"/>
        <v/>
      </c>
    </row>
    <row r="429" spans="4:4" x14ac:dyDescent="0.25">
      <c r="D429" s="14" t="str">
        <f t="shared" si="11"/>
        <v/>
      </c>
    </row>
    <row r="430" spans="4:4" x14ac:dyDescent="0.25">
      <c r="D430" s="14" t="str">
        <f t="shared" si="11"/>
        <v/>
      </c>
    </row>
    <row r="431" spans="4:4" x14ac:dyDescent="0.25">
      <c r="D431" s="14" t="str">
        <f t="shared" si="11"/>
        <v/>
      </c>
    </row>
    <row r="432" spans="4:4" x14ac:dyDescent="0.25">
      <c r="D432" s="14" t="str">
        <f t="shared" si="11"/>
        <v/>
      </c>
    </row>
    <row r="433" spans="4:4" x14ac:dyDescent="0.25">
      <c r="D433" s="14" t="str">
        <f t="shared" si="11"/>
        <v/>
      </c>
    </row>
    <row r="434" spans="4:4" x14ac:dyDescent="0.25">
      <c r="D434" s="14" t="str">
        <f t="shared" si="11"/>
        <v/>
      </c>
    </row>
    <row r="435" spans="4:4" x14ac:dyDescent="0.25">
      <c r="D435" s="14" t="str">
        <f t="shared" si="11"/>
        <v/>
      </c>
    </row>
    <row r="436" spans="4:4" x14ac:dyDescent="0.25">
      <c r="D436" s="14" t="str">
        <f t="shared" si="11"/>
        <v/>
      </c>
    </row>
    <row r="437" spans="4:4" x14ac:dyDescent="0.25">
      <c r="D437" s="14" t="str">
        <f t="shared" si="11"/>
        <v/>
      </c>
    </row>
    <row r="438" spans="4:4" x14ac:dyDescent="0.25">
      <c r="D438" s="14" t="str">
        <f t="shared" si="11"/>
        <v/>
      </c>
    </row>
    <row r="439" spans="4:4" x14ac:dyDescent="0.25">
      <c r="D439" s="14" t="str">
        <f t="shared" si="11"/>
        <v/>
      </c>
    </row>
    <row r="440" spans="4:4" x14ac:dyDescent="0.25">
      <c r="D440" s="14" t="str">
        <f t="shared" si="11"/>
        <v/>
      </c>
    </row>
    <row r="441" spans="4:4" x14ac:dyDescent="0.25">
      <c r="D441" s="14" t="str">
        <f t="shared" si="11"/>
        <v/>
      </c>
    </row>
    <row r="442" spans="4:4" x14ac:dyDescent="0.25">
      <c r="D442" s="14" t="str">
        <f t="shared" si="11"/>
        <v/>
      </c>
    </row>
    <row r="443" spans="4:4" x14ac:dyDescent="0.25">
      <c r="D443" s="14" t="str">
        <f t="shared" si="11"/>
        <v/>
      </c>
    </row>
    <row r="444" spans="4:4" x14ac:dyDescent="0.25">
      <c r="D444" s="14" t="str">
        <f t="shared" si="11"/>
        <v/>
      </c>
    </row>
    <row r="445" spans="4:4" x14ac:dyDescent="0.25">
      <c r="D445" s="14" t="str">
        <f t="shared" si="11"/>
        <v/>
      </c>
    </row>
    <row r="446" spans="4:4" x14ac:dyDescent="0.25">
      <c r="D446" s="14" t="str">
        <f t="shared" si="11"/>
        <v/>
      </c>
    </row>
    <row r="447" spans="4:4" x14ac:dyDescent="0.25">
      <c r="D447" s="14" t="str">
        <f t="shared" si="11"/>
        <v/>
      </c>
    </row>
    <row r="448" spans="4:4" x14ac:dyDescent="0.25">
      <c r="D448" s="14" t="str">
        <f t="shared" si="11"/>
        <v/>
      </c>
    </row>
    <row r="449" spans="4:4" x14ac:dyDescent="0.25">
      <c r="D449" s="14" t="str">
        <f t="shared" si="11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3"/>
  <sheetViews>
    <sheetView zoomScaleNormal="100" workbookViewId="0">
      <selection activeCell="E9" sqref="E9"/>
    </sheetView>
  </sheetViews>
  <sheetFormatPr defaultRowHeight="15" x14ac:dyDescent="0.25"/>
  <cols>
    <col min="1" max="1" width="9.140625" style="28"/>
    <col min="2" max="2" width="9.140625" style="16"/>
    <col min="3" max="3" width="33" style="16" customWidth="1"/>
    <col min="4" max="4" width="7.5703125" style="16" customWidth="1"/>
    <col min="5" max="5" width="16.85546875" style="16" customWidth="1"/>
    <col min="6" max="6" width="10.140625" style="17" bestFit="1" customWidth="1"/>
    <col min="7" max="7" width="15.5703125" style="16" bestFit="1" customWidth="1"/>
    <col min="8" max="16384" width="9.140625" style="16"/>
  </cols>
  <sheetData>
    <row r="1" spans="1:7" x14ac:dyDescent="0.25">
      <c r="B1" s="16">
        <v>4</v>
      </c>
    </row>
    <row r="2" spans="1:7" x14ac:dyDescent="0.25">
      <c r="A2" s="28">
        <v>4</v>
      </c>
    </row>
    <row r="6" spans="1:7" s="41" customFormat="1" ht="21" x14ac:dyDescent="0.35">
      <c r="A6" s="40"/>
      <c r="B6" s="41" t="str">
        <f>'[1]BP-Wom'!B1</f>
        <v>Рекорды  AWPC BP Raw - Россия</v>
      </c>
      <c r="F6" s="42"/>
    </row>
    <row r="7" spans="1:7" x14ac:dyDescent="0.25">
      <c r="C7" s="16">
        <f>'[1]BP-Wom'!C1</f>
        <v>0</v>
      </c>
      <c r="E7" s="16">
        <f>'[1]BP-Wom'!D1</f>
        <v>0</v>
      </c>
      <c r="F7" s="17">
        <f>'[1]BP-Wom'!E1</f>
        <v>0</v>
      </c>
      <c r="G7" s="16">
        <f>'[1]BP-Wom'!F1</f>
        <v>0</v>
      </c>
    </row>
    <row r="8" spans="1:7" s="11" customFormat="1" x14ac:dyDescent="0.25">
      <c r="A8" s="22" t="s">
        <v>0</v>
      </c>
      <c r="B8" s="11">
        <v>0</v>
      </c>
      <c r="C8" s="11">
        <v>13</v>
      </c>
      <c r="D8" s="11" t="str">
        <f>'[1]BP-Wom'!B2</f>
        <v>ДЕВУШКИ  (13 - 15)</v>
      </c>
      <c r="F8" s="13"/>
    </row>
    <row r="9" spans="1:7" x14ac:dyDescent="0.25">
      <c r="A9" s="28">
        <f>'[1]BP-Wom'!A3</f>
        <v>44</v>
      </c>
      <c r="B9" s="16">
        <f>'[1]BP-Wom'!B3</f>
        <v>62.5</v>
      </c>
      <c r="C9" s="16" t="str">
        <f>'[1]BP-Wom'!C3</f>
        <v>Длужневская Владислава/2000</v>
      </c>
      <c r="D9" s="16" t="str">
        <f>RIGHT(C9,2)</f>
        <v>00</v>
      </c>
      <c r="E9" s="16" t="str">
        <f>'[1]BP-Wom'!D3</f>
        <v>Вологда</v>
      </c>
      <c r="F9" s="17" t="str">
        <f>'[1]BP-Wom'!E3</f>
        <v>24.03.2012</v>
      </c>
      <c r="G9" s="16" t="str">
        <f>'[1]BP-Wom'!F3</f>
        <v>Вологда</v>
      </c>
    </row>
    <row r="10" spans="1:7" x14ac:dyDescent="0.25">
      <c r="A10" s="28">
        <f>'[1]BP-Wom'!A4</f>
        <v>48</v>
      </c>
      <c r="B10" s="16">
        <f>'[1]BP-Wom'!B4</f>
        <v>72.5</v>
      </c>
      <c r="C10" s="16" t="str">
        <f>'[1]BP-Wom'!C4</f>
        <v>Длужневская Владислава/2000</v>
      </c>
      <c r="D10" s="16" t="str">
        <f t="shared" ref="D10:D17" si="0">RIGHT(C10,2)</f>
        <v>00</v>
      </c>
      <c r="E10" s="16" t="str">
        <f>'[1]BP-Wom'!D4</f>
        <v>Вологда</v>
      </c>
      <c r="F10" s="17">
        <f>'[1]BP-Wom'!E4</f>
        <v>41342</v>
      </c>
      <c r="G10" s="16" t="str">
        <f>'[1]BP-Wom'!F4</f>
        <v>Вологда</v>
      </c>
    </row>
    <row r="11" spans="1:7" x14ac:dyDescent="0.25">
      <c r="A11" s="28">
        <f>'[1]BP-Wom'!A5</f>
        <v>52</v>
      </c>
      <c r="B11" s="16">
        <f>'[1]BP-Wom'!B5</f>
        <v>45</v>
      </c>
      <c r="C11" s="16" t="str">
        <f>'[1]BP-Wom'!C5</f>
        <v>Бенер Екатерина/97</v>
      </c>
      <c r="D11" s="16" t="str">
        <f t="shared" si="0"/>
        <v>97</v>
      </c>
      <c r="E11" s="16" t="str">
        <f>'[1]BP-Wom'!D5</f>
        <v>Тюмень</v>
      </c>
      <c r="F11" s="17">
        <f>'[1]BP-Wom'!E5</f>
        <v>40983</v>
      </c>
      <c r="G11" s="16" t="str">
        <f>'[1]BP-Wom'!F5</f>
        <v>Ростов</v>
      </c>
    </row>
    <row r="12" spans="1:7" x14ac:dyDescent="0.25">
      <c r="A12" s="28">
        <f>'[1]BP-Wom'!A6</f>
        <v>56</v>
      </c>
      <c r="B12" s="16">
        <f>'[1]BP-Wom'!B6</f>
        <v>60</v>
      </c>
      <c r="C12" s="16" t="str">
        <f>'[1]BP-Wom'!C6</f>
        <v>Максимова Анастасия/94</v>
      </c>
      <c r="D12" s="16" t="str">
        <f t="shared" si="0"/>
        <v>94</v>
      </c>
      <c r="E12" s="16" t="str">
        <f>'[1]BP-Wom'!D6</f>
        <v>Санкт-Петербург</v>
      </c>
      <c r="F12" s="17">
        <f>'[1]BP-Wom'!E6</f>
        <v>40257</v>
      </c>
      <c r="G12" s="16" t="str">
        <f>'[1]BP-Wom'!F6</f>
        <v>Курск</v>
      </c>
    </row>
    <row r="13" spans="1:7" x14ac:dyDescent="0.25">
      <c r="A13" s="28">
        <f>'[1]BP-Wom'!A7</f>
        <v>60</v>
      </c>
      <c r="B13" s="16">
        <f>'[1]BP-Wom'!B7</f>
        <v>60</v>
      </c>
      <c r="C13" s="16" t="str">
        <f>'[1]BP-Wom'!C7</f>
        <v>Шинкарева Елизавета/98</v>
      </c>
      <c r="D13" s="16" t="str">
        <f t="shared" si="0"/>
        <v>98</v>
      </c>
      <c r="E13" s="16" t="str">
        <f>'[1]BP-Wom'!D7</f>
        <v>Междуреченск</v>
      </c>
      <c r="F13" s="17">
        <f>'[1]BP-Wom'!E7</f>
        <v>41503</v>
      </c>
      <c r="G13" s="16" t="str">
        <f>'[1]BP-Wom'!F7</f>
        <v>Новосибирск</v>
      </c>
    </row>
    <row r="14" spans="1:7" x14ac:dyDescent="0.25">
      <c r="A14" s="28">
        <f>'[1]BP-Wom'!A8</f>
        <v>67.5</v>
      </c>
      <c r="B14" s="16">
        <f>'[1]BP-Wom'!B8</f>
        <v>60</v>
      </c>
      <c r="C14" s="16" t="str">
        <f>'[1]BP-Wom'!C8</f>
        <v>Шинкарева Елизавета/98</v>
      </c>
      <c r="D14" s="16" t="str">
        <f t="shared" si="0"/>
        <v>98</v>
      </c>
      <c r="E14" s="16" t="str">
        <f>'[1]BP-Wom'!D8</f>
        <v>Междуреченск</v>
      </c>
      <c r="F14" s="17">
        <f>'[1]BP-Wom'!E8</f>
        <v>41368</v>
      </c>
      <c r="G14" s="16" t="str">
        <f>'[1]BP-Wom'!F8</f>
        <v>Краснодар</v>
      </c>
    </row>
    <row r="15" spans="1:7" x14ac:dyDescent="0.25">
      <c r="A15" s="28">
        <f>'[1]BP-Wom'!A9</f>
        <v>75</v>
      </c>
      <c r="B15" s="16">
        <f>'[1]BP-Wom'!B9</f>
        <v>0</v>
      </c>
      <c r="C15" s="16">
        <f>'[1]BP-Wom'!C9</f>
        <v>0</v>
      </c>
      <c r="D15" s="16" t="str">
        <f t="shared" si="0"/>
        <v>0</v>
      </c>
      <c r="E15" s="16">
        <f>'[1]BP-Wom'!D9</f>
        <v>0</v>
      </c>
      <c r="F15" s="17">
        <f>'[1]BP-Wom'!E9</f>
        <v>0</v>
      </c>
      <c r="G15" s="16">
        <f>'[1]BP-Wom'!F9</f>
        <v>0</v>
      </c>
    </row>
    <row r="16" spans="1:7" x14ac:dyDescent="0.25">
      <c r="A16" s="28">
        <f>'[1]BP-Wom'!A10</f>
        <v>82.5</v>
      </c>
      <c r="B16" s="16">
        <f>'[1]BP-Wom'!B10</f>
        <v>35</v>
      </c>
      <c r="C16" s="16" t="str">
        <f>'[1]BP-Wom'!C10</f>
        <v>Адияк Екатерина/97</v>
      </c>
      <c r="D16" s="16" t="str">
        <f t="shared" si="0"/>
        <v>97</v>
      </c>
      <c r="E16" s="16">
        <f>'[1]BP-Wom'!D10</f>
        <v>0</v>
      </c>
      <c r="F16" s="17">
        <f>'[1]BP-Wom'!E10</f>
        <v>40814</v>
      </c>
      <c r="G16" s="16" t="str">
        <f>'[1]BP-Wom'!F10</f>
        <v>Екатеринбург</v>
      </c>
    </row>
    <row r="17" spans="1:7" x14ac:dyDescent="0.25">
      <c r="A17" s="28">
        <f>'[1]BP-Wom'!A11</f>
        <v>90</v>
      </c>
      <c r="B17" s="16">
        <f>'[1]BP-Wom'!B11</f>
        <v>0</v>
      </c>
      <c r="C17" s="16">
        <f>'[1]BP-Wom'!C11</f>
        <v>0</v>
      </c>
      <c r="D17" s="16" t="str">
        <f t="shared" si="0"/>
        <v>0</v>
      </c>
      <c r="E17" s="16">
        <f>'[1]BP-Wom'!D11</f>
        <v>0</v>
      </c>
      <c r="F17" s="17">
        <f>'[1]BP-Wom'!E11</f>
        <v>0</v>
      </c>
      <c r="G17" s="16">
        <f>'[1]BP-Wom'!F11</f>
        <v>0</v>
      </c>
    </row>
    <row r="18" spans="1:7" x14ac:dyDescent="0.25">
      <c r="A18" s="28" t="str">
        <f>'[1]BP-Wom'!A12</f>
        <v>90+</v>
      </c>
      <c r="B18" s="16">
        <f>'[1]BP-Wom'!B12</f>
        <v>42.5</v>
      </c>
      <c r="C18" s="16" t="str">
        <f>'[1]BP-Wom'!C12</f>
        <v>Антух Екатерина/2000</v>
      </c>
      <c r="D18" s="16" t="str">
        <f t="shared" ref="D18:D81" si="1">RIGHT(C18,2)</f>
        <v>00</v>
      </c>
      <c r="E18" s="16" t="str">
        <f>'[1]BP-Wom'!D12</f>
        <v>Томск</v>
      </c>
      <c r="F18" s="17" t="str">
        <f>'[1]BP-Wom'!E12</f>
        <v>03.07.2014</v>
      </c>
      <c r="G18" s="16" t="str">
        <f>'[1]BP-Wom'!F12</f>
        <v>Новосибирск</v>
      </c>
    </row>
    <row r="19" spans="1:7" x14ac:dyDescent="0.25">
      <c r="B19" s="16">
        <f>'[1]BP-Wom'!B13</f>
        <v>0</v>
      </c>
      <c r="C19" s="16">
        <f>'[1]BP-Wom'!C13</f>
        <v>0</v>
      </c>
      <c r="D19" s="16" t="str">
        <f t="shared" si="1"/>
        <v>0</v>
      </c>
      <c r="E19" s="16">
        <f>'[1]BP-Wom'!D13</f>
        <v>0</v>
      </c>
      <c r="F19" s="17">
        <f>'[1]BP-Wom'!E13</f>
        <v>0</v>
      </c>
      <c r="G19" s="16">
        <f>'[1]BP-Wom'!F13</f>
        <v>0</v>
      </c>
    </row>
    <row r="20" spans="1:7" s="11" customFormat="1" x14ac:dyDescent="0.25">
      <c r="A20" s="22" t="s">
        <v>0</v>
      </c>
      <c r="B20" s="11">
        <v>0</v>
      </c>
      <c r="C20" s="11">
        <v>16</v>
      </c>
      <c r="D20" s="11" t="str">
        <f>'[1]BP-Wom'!B14</f>
        <v>ДЕВУШКИ  (16 - 17)</v>
      </c>
      <c r="F20" s="13"/>
    </row>
    <row r="21" spans="1:7" x14ac:dyDescent="0.25">
      <c r="A21" s="28">
        <f>'[1]BP-Wom'!A15</f>
        <v>44</v>
      </c>
      <c r="B21" s="16">
        <f>'[1]BP-Wom'!B15</f>
        <v>0</v>
      </c>
      <c r="C21" s="16">
        <f>'[1]BP-Wom'!C15</f>
        <v>0</v>
      </c>
      <c r="D21" s="16" t="str">
        <f t="shared" si="1"/>
        <v>0</v>
      </c>
      <c r="E21" s="16">
        <f>'[1]BP-Wom'!D15</f>
        <v>0</v>
      </c>
      <c r="F21" s="17">
        <f>'[1]BP-Wom'!E15</f>
        <v>0</v>
      </c>
      <c r="G21" s="16">
        <f>'[1]BP-Wom'!F15</f>
        <v>0</v>
      </c>
    </row>
    <row r="22" spans="1:7" x14ac:dyDescent="0.25">
      <c r="A22" s="28">
        <f>'[1]BP-Wom'!A16</f>
        <v>48</v>
      </c>
      <c r="B22" s="16">
        <f>'[1]BP-Wom'!B16</f>
        <v>52.5</v>
      </c>
      <c r="C22" s="16" t="str">
        <f>'[1]BP-Wom'!C16</f>
        <v>Фатюхина Светлана/94</v>
      </c>
      <c r="D22" s="16" t="str">
        <f t="shared" si="1"/>
        <v>94</v>
      </c>
      <c r="E22" s="16" t="str">
        <f>'[1]BP-Wom'!D16</f>
        <v>Москва</v>
      </c>
      <c r="F22" s="17">
        <f>'[1]BP-Wom'!E16</f>
        <v>40769</v>
      </c>
      <c r="G22" s="16" t="str">
        <f>'[1]BP-Wom'!F16</f>
        <v>Курск</v>
      </c>
    </row>
    <row r="23" spans="1:7" x14ac:dyDescent="0.25">
      <c r="A23" s="28">
        <f>'[1]BP-Wom'!A17</f>
        <v>52</v>
      </c>
      <c r="B23" s="16">
        <f>'[1]BP-Wom'!B17</f>
        <v>57.5</v>
      </c>
      <c r="C23" s="16" t="str">
        <f>'[1]BP-Wom'!C17</f>
        <v>Исакова Ольга/94</v>
      </c>
      <c r="D23" s="16" t="str">
        <f t="shared" si="1"/>
        <v>94</v>
      </c>
      <c r="E23" s="16" t="str">
        <f>'[1]BP-Wom'!D17</f>
        <v>Екатеринбург</v>
      </c>
      <c r="F23" s="17">
        <f>'[1]BP-Wom'!E17</f>
        <v>40409</v>
      </c>
      <c r="G23" s="16" t="str">
        <f>'[1]BP-Wom'!F17</f>
        <v>Москва</v>
      </c>
    </row>
    <row r="24" spans="1:7" x14ac:dyDescent="0.25">
      <c r="A24" s="28">
        <f>'[1]BP-Wom'!A18</f>
        <v>56</v>
      </c>
      <c r="B24" s="16">
        <f>'[1]BP-Wom'!B18</f>
        <v>52.5</v>
      </c>
      <c r="C24" s="16" t="str">
        <f>'[1]BP-Wom'!C18</f>
        <v>Скопина Алиса/90</v>
      </c>
      <c r="D24" s="16" t="str">
        <f t="shared" si="1"/>
        <v>90</v>
      </c>
      <c r="E24" s="16" t="str">
        <f>'[1]BP-Wom'!D18</f>
        <v>Киров</v>
      </c>
      <c r="F24" s="17">
        <f>'[1]BP-Wom'!E18</f>
        <v>39528</v>
      </c>
      <c r="G24" s="16" t="str">
        <f>'[1]BP-Wom'!F18</f>
        <v>Ростов</v>
      </c>
    </row>
    <row r="25" spans="1:7" x14ac:dyDescent="0.25">
      <c r="A25" s="28">
        <f>'[1]BP-Wom'!A19</f>
        <v>60</v>
      </c>
      <c r="B25" s="16">
        <f>'[1]BP-Wom'!B19</f>
        <v>67.5</v>
      </c>
      <c r="C25" s="16" t="str">
        <f>'[1]BP-Wom'!C19</f>
        <v>Шинкарева Елизавета/98</v>
      </c>
      <c r="D25" s="16" t="str">
        <f t="shared" si="1"/>
        <v>98</v>
      </c>
      <c r="E25" s="16" t="str">
        <f>'[1]BP-Wom'!D19</f>
        <v>Междуреченск</v>
      </c>
      <c r="F25" s="17" t="str">
        <f>'[1]BP-Wom'!E19</f>
        <v>03.07.2014</v>
      </c>
      <c r="G25" s="16" t="str">
        <f>'[1]BP-Wom'!F19</f>
        <v>Новосибирск</v>
      </c>
    </row>
    <row r="26" spans="1:7" x14ac:dyDescent="0.25">
      <c r="A26" s="28">
        <f>'[1]BP-Wom'!A20</f>
        <v>67.5</v>
      </c>
      <c r="B26" s="16">
        <f>'[1]BP-Wom'!B20</f>
        <v>50</v>
      </c>
      <c r="C26" s="16" t="str">
        <f>'[1]BP-Wom'!C20</f>
        <v>Терясова Ольга/96</v>
      </c>
      <c r="D26" s="16" t="str">
        <f t="shared" si="1"/>
        <v>96</v>
      </c>
      <c r="E26" s="16" t="str">
        <f>'[1]BP-Wom'!D20</f>
        <v>Ессентуки</v>
      </c>
      <c r="F26" s="17" t="str">
        <f>'[1]BP-Wom'!E20</f>
        <v>19.04.2014</v>
      </c>
      <c r="G26" s="16" t="str">
        <f>'[1]BP-Wom'!F20</f>
        <v>Краснодар</v>
      </c>
    </row>
    <row r="27" spans="1:7" x14ac:dyDescent="0.25">
      <c r="A27" s="28">
        <f>'[1]BP-Wom'!A21</f>
        <v>75</v>
      </c>
      <c r="B27" s="16">
        <f>'[1]BP-Wom'!B21</f>
        <v>0</v>
      </c>
      <c r="C27" s="16">
        <f>'[1]BP-Wom'!C21</f>
        <v>0</v>
      </c>
      <c r="D27" s="16" t="str">
        <f t="shared" si="1"/>
        <v>0</v>
      </c>
      <c r="E27" s="16">
        <f>'[1]BP-Wom'!D21</f>
        <v>0</v>
      </c>
      <c r="F27" s="17">
        <f>'[1]BP-Wom'!E21</f>
        <v>0</v>
      </c>
      <c r="G27" s="16">
        <f>'[1]BP-Wom'!F21</f>
        <v>0</v>
      </c>
    </row>
    <row r="28" spans="1:7" x14ac:dyDescent="0.25">
      <c r="A28" s="28">
        <f>'[1]BP-Wom'!A22</f>
        <v>82.5</v>
      </c>
      <c r="B28" s="16">
        <f>'[1]BP-Wom'!B22</f>
        <v>52.5</v>
      </c>
      <c r="C28" s="16" t="str">
        <f>'[1]BP-Wom'!C22</f>
        <v>Симонова Алена/96</v>
      </c>
      <c r="D28" s="16" t="str">
        <f t="shared" si="1"/>
        <v>96</v>
      </c>
      <c r="E28" s="16" t="str">
        <f>'[1]BP-Wom'!D22</f>
        <v>Новосибирск</v>
      </c>
      <c r="F28" s="17">
        <f>'[1]BP-Wom'!E22</f>
        <v>41503</v>
      </c>
      <c r="G28" s="16" t="str">
        <f>'[1]BP-Wom'!F22</f>
        <v>Новосибирск</v>
      </c>
    </row>
    <row r="29" spans="1:7" x14ac:dyDescent="0.25">
      <c r="A29" s="28">
        <f>'[1]BP-Wom'!A23</f>
        <v>90</v>
      </c>
      <c r="B29" s="16">
        <f>'[1]BP-Wom'!B23</f>
        <v>0</v>
      </c>
      <c r="C29" s="16">
        <f>'[1]BP-Wom'!C23</f>
        <v>0</v>
      </c>
      <c r="D29" s="16" t="str">
        <f t="shared" si="1"/>
        <v>0</v>
      </c>
      <c r="E29" s="16">
        <f>'[1]BP-Wom'!D23</f>
        <v>0</v>
      </c>
      <c r="F29" s="17">
        <f>'[1]BP-Wom'!E23</f>
        <v>0</v>
      </c>
      <c r="G29" s="16">
        <f>'[1]BP-Wom'!F23</f>
        <v>0</v>
      </c>
    </row>
    <row r="30" spans="1:7" x14ac:dyDescent="0.25">
      <c r="A30" s="28" t="str">
        <f>'[1]BP-Wom'!A24</f>
        <v>90+</v>
      </c>
      <c r="B30" s="16">
        <f>'[1]BP-Wom'!B24</f>
        <v>0</v>
      </c>
      <c r="C30" s="16">
        <f>'[1]BP-Wom'!C24</f>
        <v>0</v>
      </c>
      <c r="D30" s="16" t="str">
        <f t="shared" si="1"/>
        <v>0</v>
      </c>
      <c r="E30" s="16">
        <f>'[1]BP-Wom'!D24</f>
        <v>0</v>
      </c>
      <c r="F30" s="17">
        <f>'[1]BP-Wom'!E24</f>
        <v>0</v>
      </c>
      <c r="G30" s="16">
        <f>'[1]BP-Wom'!F24</f>
        <v>0</v>
      </c>
    </row>
    <row r="31" spans="1:7" x14ac:dyDescent="0.25">
      <c r="B31" s="16">
        <f>'[1]BP-Wom'!B25</f>
        <v>0</v>
      </c>
      <c r="C31" s="16">
        <f>'[1]BP-Wom'!C25</f>
        <v>0</v>
      </c>
      <c r="D31" s="16" t="str">
        <f t="shared" si="1"/>
        <v>0</v>
      </c>
      <c r="E31" s="16">
        <f>'[1]BP-Wom'!D25</f>
        <v>0</v>
      </c>
      <c r="F31" s="17">
        <f>'[1]BP-Wom'!E25</f>
        <v>0</v>
      </c>
      <c r="G31" s="16">
        <f>'[1]BP-Wom'!F25</f>
        <v>0</v>
      </c>
    </row>
    <row r="32" spans="1:7" s="11" customFormat="1" x14ac:dyDescent="0.25">
      <c r="A32" s="22" t="s">
        <v>0</v>
      </c>
      <c r="B32" s="11">
        <v>0</v>
      </c>
      <c r="C32" s="11">
        <v>18</v>
      </c>
      <c r="D32" s="11" t="str">
        <f>'[1]BP-Wom'!B26</f>
        <v>ДЕВУШКИ  (18 - 19)</v>
      </c>
      <c r="F32" s="13"/>
    </row>
    <row r="33" spans="1:7" x14ac:dyDescent="0.25">
      <c r="A33" s="28">
        <f>'[1]BP-Wom'!A27</f>
        <v>44</v>
      </c>
      <c r="B33" s="16">
        <f>'[1]BP-Wom'!B27</f>
        <v>50</v>
      </c>
      <c r="C33" s="16" t="str">
        <f>'[1]BP-Wom'!C27</f>
        <v>Стратова Марина/90</v>
      </c>
      <c r="D33" s="16" t="str">
        <f t="shared" si="1"/>
        <v>90</v>
      </c>
      <c r="E33" s="16" t="str">
        <f>'[1]BP-Wom'!D27</f>
        <v>Южноуральск</v>
      </c>
      <c r="F33" s="17">
        <f>'[1]BP-Wom'!E27</f>
        <v>40088</v>
      </c>
      <c r="G33" s="16" t="str">
        <f>'[1]BP-Wom'!F27</f>
        <v>Ростов</v>
      </c>
    </row>
    <row r="34" spans="1:7" x14ac:dyDescent="0.25">
      <c r="A34" s="28">
        <f>'[1]BP-Wom'!A28</f>
        <v>48</v>
      </c>
      <c r="B34" s="16">
        <f>'[1]BP-Wom'!B28</f>
        <v>50</v>
      </c>
      <c r="C34" s="16" t="str">
        <f>'[1]BP-Wom'!C28</f>
        <v>Лапшова Мария/91</v>
      </c>
      <c r="D34" s="16" t="str">
        <f t="shared" si="1"/>
        <v>91</v>
      </c>
      <c r="E34" s="16" t="str">
        <f>'[1]BP-Wom'!D28</f>
        <v>Москва</v>
      </c>
      <c r="F34" s="17">
        <f>'[1]BP-Wom'!E28</f>
        <v>40522</v>
      </c>
      <c r="G34" s="16" t="str">
        <f>'[1]BP-Wom'!F28</f>
        <v>Курск</v>
      </c>
    </row>
    <row r="35" spans="1:7" x14ac:dyDescent="0.25">
      <c r="A35" s="28">
        <f>'[1]BP-Wom'!A29</f>
        <v>52</v>
      </c>
      <c r="B35" s="16">
        <f>'[1]BP-Wom'!B29</f>
        <v>85</v>
      </c>
      <c r="C35" s="16" t="str">
        <f>'[1]BP-Wom'!C29</f>
        <v>Кумуц Светлана/95</v>
      </c>
      <c r="D35" s="16" t="str">
        <f t="shared" si="1"/>
        <v>95</v>
      </c>
      <c r="E35" s="16" t="str">
        <f>'[1]BP-Wom'!D29</f>
        <v>Сатка</v>
      </c>
      <c r="F35" s="17">
        <f>'[1]BP-Wom'!E29</f>
        <v>41608</v>
      </c>
      <c r="G35" s="16" t="str">
        <f>'[1]BP-Wom'!F29</f>
        <v>Екатеринбург</v>
      </c>
    </row>
    <row r="36" spans="1:7" x14ac:dyDescent="0.25">
      <c r="A36" s="28">
        <f>'[1]BP-Wom'!A30</f>
        <v>56</v>
      </c>
      <c r="B36" s="16">
        <f>'[1]BP-Wom'!B30</f>
        <v>57.5</v>
      </c>
      <c r="C36" s="16" t="str">
        <f>'[1]BP-Wom'!C30</f>
        <v>Борисова Юлия/89</v>
      </c>
      <c r="D36" s="16" t="str">
        <f t="shared" si="1"/>
        <v>89</v>
      </c>
      <c r="E36" s="16">
        <f>'[1]BP-Wom'!D30</f>
        <v>0</v>
      </c>
      <c r="F36" s="17">
        <f>'[1]BP-Wom'!E30</f>
        <v>39431</v>
      </c>
      <c r="G36" s="16" t="str">
        <f>'[1]BP-Wom'!F30</f>
        <v>Пушкино</v>
      </c>
    </row>
    <row r="37" spans="1:7" x14ac:dyDescent="0.25">
      <c r="A37" s="28">
        <f>'[1]BP-Wom'!A31</f>
        <v>60</v>
      </c>
      <c r="B37" s="16">
        <f>'[1]BP-Wom'!B31</f>
        <v>62.5</v>
      </c>
      <c r="C37" s="16" t="str">
        <f>'[1]BP-Wom'!C31</f>
        <v>Храмцова Анастасия/96</v>
      </c>
      <c r="D37" s="16" t="str">
        <f t="shared" si="1"/>
        <v>96</v>
      </c>
      <c r="E37" s="16" t="str">
        <f>'[1]BP-Wom'!D31</f>
        <v>Екатеринбург</v>
      </c>
      <c r="F37" s="17" t="str">
        <f>'[1]BP-Wom'!E31</f>
        <v>09.08.2014</v>
      </c>
      <c r="G37" s="16" t="str">
        <f>'[1]BP-Wom'!F31</f>
        <v>Екатеринбург</v>
      </c>
    </row>
    <row r="38" spans="1:7" x14ac:dyDescent="0.25">
      <c r="A38" s="28">
        <f>'[1]BP-Wom'!A32</f>
        <v>67.5</v>
      </c>
      <c r="B38" s="16">
        <f>'[1]BP-Wom'!B32</f>
        <v>67.5</v>
      </c>
      <c r="C38" s="16" t="str">
        <f>'[1]BP-Wom'!C32</f>
        <v>Ковылина Светлана/91</v>
      </c>
      <c r="D38" s="16" t="str">
        <f t="shared" si="1"/>
        <v>91</v>
      </c>
      <c r="E38" s="16" t="str">
        <f>'[1]BP-Wom'!D32</f>
        <v>Москва</v>
      </c>
      <c r="F38" s="17">
        <f>'[1]BP-Wom'!E32</f>
        <v>40409</v>
      </c>
      <c r="G38" s="16" t="str">
        <f>'[1]BP-Wom'!F32</f>
        <v>Москва</v>
      </c>
    </row>
    <row r="39" spans="1:7" x14ac:dyDescent="0.25">
      <c r="A39" s="28">
        <f>'[1]BP-Wom'!A33</f>
        <v>75</v>
      </c>
      <c r="B39" s="16">
        <f>'[1]BP-Wom'!B33</f>
        <v>85</v>
      </c>
      <c r="C39" s="16" t="str">
        <f>'[1]BP-Wom'!C33</f>
        <v>Коврига Анастасия/93</v>
      </c>
      <c r="D39" s="16" t="str">
        <f t="shared" si="1"/>
        <v>93</v>
      </c>
      <c r="E39" s="16" t="str">
        <f>'[1]BP-Wom'!D33</f>
        <v>Москва</v>
      </c>
      <c r="F39" s="17">
        <f>'[1]BP-Wom'!E33</f>
        <v>41201</v>
      </c>
      <c r="G39" s="16" t="str">
        <f>'[1]BP-Wom'!F33</f>
        <v>Краснодар</v>
      </c>
    </row>
    <row r="40" spans="1:7" x14ac:dyDescent="0.25">
      <c r="A40" s="28">
        <f>'[1]BP-Wom'!A34</f>
        <v>82.5</v>
      </c>
      <c r="B40" s="16">
        <f>'[1]BP-Wom'!B34</f>
        <v>85</v>
      </c>
      <c r="C40" s="16" t="str">
        <f>'[1]BP-Wom'!C34</f>
        <v>Зимина Каролина/94</v>
      </c>
      <c r="D40" s="16" t="str">
        <f t="shared" si="1"/>
        <v>94</v>
      </c>
      <c r="E40" s="16" t="str">
        <f>'[1]BP-Wom'!D34</f>
        <v>Буй</v>
      </c>
      <c r="F40" s="17">
        <f>'[1]BP-Wom'!E34</f>
        <v>41342</v>
      </c>
      <c r="G40" s="16" t="str">
        <f>'[1]BP-Wom'!F34</f>
        <v>Вологда</v>
      </c>
    </row>
    <row r="41" spans="1:7" x14ac:dyDescent="0.25">
      <c r="A41" s="28">
        <f>'[1]BP-Wom'!A35</f>
        <v>90</v>
      </c>
      <c r="B41" s="16">
        <f>'[1]BP-Wom'!B35</f>
        <v>0</v>
      </c>
      <c r="C41" s="16">
        <f>'[1]BP-Wom'!C35</f>
        <v>0</v>
      </c>
      <c r="D41" s="16" t="str">
        <f t="shared" si="1"/>
        <v>0</v>
      </c>
      <c r="E41" s="16">
        <f>'[1]BP-Wom'!D35</f>
        <v>0</v>
      </c>
      <c r="F41" s="17">
        <f>'[1]BP-Wom'!E35</f>
        <v>0</v>
      </c>
      <c r="G41" s="16">
        <f>'[1]BP-Wom'!F35</f>
        <v>0</v>
      </c>
    </row>
    <row r="42" spans="1:7" x14ac:dyDescent="0.25">
      <c r="A42" s="28" t="str">
        <f>'[1]BP-Wom'!A36</f>
        <v>90+</v>
      </c>
      <c r="B42" s="16">
        <f>'[1]BP-Wom'!B36</f>
        <v>55</v>
      </c>
      <c r="C42" s="16" t="str">
        <f>'[1]BP-Wom'!C36</f>
        <v>Вольхина Полина/91</v>
      </c>
      <c r="D42" s="16" t="str">
        <f t="shared" si="1"/>
        <v>91</v>
      </c>
      <c r="E42" s="16" t="str">
        <f>'[1]BP-Wom'!D36</f>
        <v>Екатеринбург</v>
      </c>
      <c r="F42" s="17">
        <f>'[1]BP-Wom'!E36</f>
        <v>40640</v>
      </c>
      <c r="G42" s="16" t="str">
        <f>'[1]BP-Wom'!F36</f>
        <v>Челябинск</v>
      </c>
    </row>
    <row r="43" spans="1:7" x14ac:dyDescent="0.25">
      <c r="B43" s="16">
        <f>'[1]BP-Wom'!B37</f>
        <v>0</v>
      </c>
      <c r="C43" s="16">
        <f>'[1]BP-Wom'!C37</f>
        <v>0</v>
      </c>
      <c r="D43" s="16" t="str">
        <f t="shared" si="1"/>
        <v>0</v>
      </c>
      <c r="E43" s="16">
        <f>'[1]BP-Wom'!D37</f>
        <v>0</v>
      </c>
      <c r="F43" s="17">
        <f>'[1]BP-Wom'!E37</f>
        <v>0</v>
      </c>
      <c r="G43" s="16">
        <f>'[1]BP-Wom'!F37</f>
        <v>0</v>
      </c>
    </row>
    <row r="44" spans="1:7" s="11" customFormat="1" x14ac:dyDescent="0.25">
      <c r="A44" s="22" t="s">
        <v>0</v>
      </c>
      <c r="B44" s="11">
        <v>0</v>
      </c>
      <c r="C44" s="11">
        <v>20</v>
      </c>
      <c r="D44" s="11" t="str">
        <f>'[1]BP-Wom'!B38</f>
        <v>ЮНИОРКИ  (20 - 23)</v>
      </c>
      <c r="F44" s="13"/>
    </row>
    <row r="45" spans="1:7" x14ac:dyDescent="0.25">
      <c r="A45" s="28">
        <f>'[1]BP-Wom'!A39</f>
        <v>44</v>
      </c>
      <c r="B45" s="16">
        <f>'[1]BP-Wom'!B39</f>
        <v>52.5</v>
      </c>
      <c r="C45" s="16" t="str">
        <f>'[1]BP-Wom'!C39</f>
        <v>Образумова Екатерина/87</v>
      </c>
      <c r="D45" s="16" t="str">
        <f t="shared" si="1"/>
        <v>87</v>
      </c>
      <c r="E45" s="16" t="str">
        <f>'[1]BP-Wom'!D39</f>
        <v>Нижний Новгород</v>
      </c>
      <c r="F45" s="17">
        <f>'[1]BP-Wom'!E39</f>
        <v>40409</v>
      </c>
      <c r="G45" s="16" t="str">
        <f>'[1]BP-Wom'!F39</f>
        <v>Москва</v>
      </c>
    </row>
    <row r="46" spans="1:7" x14ac:dyDescent="0.25">
      <c r="A46" s="28">
        <f>'[1]BP-Wom'!A40</f>
        <v>48</v>
      </c>
      <c r="B46" s="16">
        <f>'[1]BP-Wom'!B40</f>
        <v>65</v>
      </c>
      <c r="C46" s="16" t="str">
        <f>'[1]BP-Wom'!C40</f>
        <v>Наренкова Евгения/85</v>
      </c>
      <c r="D46" s="16" t="str">
        <f t="shared" si="1"/>
        <v>85</v>
      </c>
      <c r="E46" s="16" t="str">
        <f>'[1]BP-Wom'!D40</f>
        <v>Ноябрьск</v>
      </c>
      <c r="F46" s="17">
        <f>'[1]BP-Wom'!E40</f>
        <v>39871</v>
      </c>
      <c r="G46" s="16" t="str">
        <f>'[1]BP-Wom'!F40</f>
        <v>Челябинск</v>
      </c>
    </row>
    <row r="47" spans="1:7" x14ac:dyDescent="0.25">
      <c r="A47" s="28">
        <f>'[1]BP-Wom'!A41</f>
        <v>52</v>
      </c>
      <c r="B47" s="16">
        <f>'[1]BP-Wom'!B41</f>
        <v>72.5</v>
      </c>
      <c r="C47" s="16" t="str">
        <f>'[1]BP-Wom'!C41</f>
        <v>Мымрина Анастасия/90</v>
      </c>
      <c r="D47" s="16" t="str">
        <f t="shared" si="1"/>
        <v>90</v>
      </c>
      <c r="E47" s="16" t="str">
        <f>'[1]BP-Wom'!D41</f>
        <v>Саратов</v>
      </c>
      <c r="F47" s="17">
        <f>'[1]BP-Wom'!E41</f>
        <v>40814</v>
      </c>
      <c r="G47" s="16" t="str">
        <f>'[1]BP-Wom'!F41</f>
        <v>Екатеринбург</v>
      </c>
    </row>
    <row r="48" spans="1:7" x14ac:dyDescent="0.25">
      <c r="A48" s="28">
        <f>'[1]BP-Wom'!A42</f>
        <v>56</v>
      </c>
      <c r="B48" s="16">
        <f>'[1]BP-Wom'!B42</f>
        <v>75</v>
      </c>
      <c r="C48" s="16" t="str">
        <f>'[1]BP-Wom'!C42</f>
        <v>Тельгова Ольга/86</v>
      </c>
      <c r="D48" s="16" t="str">
        <f t="shared" si="1"/>
        <v>86</v>
      </c>
      <c r="E48" s="16">
        <f>'[1]BP-Wom'!D42</f>
        <v>0</v>
      </c>
      <c r="F48" s="17">
        <f>'[1]BP-Wom'!E42</f>
        <v>40034</v>
      </c>
      <c r="G48" s="16" t="str">
        <f>'[1]BP-Wom'!F42</f>
        <v>Курск</v>
      </c>
    </row>
    <row r="49" spans="1:7" x14ac:dyDescent="0.25">
      <c r="A49" s="28">
        <f>'[1]BP-Wom'!A43</f>
        <v>60</v>
      </c>
      <c r="B49" s="16">
        <f>'[1]BP-Wom'!B43</f>
        <v>67.5</v>
      </c>
      <c r="C49" s="16" t="str">
        <f>'[1]BP-Wom'!C43</f>
        <v>Кочеткова Ирина/86</v>
      </c>
      <c r="D49" s="16" t="str">
        <f t="shared" si="1"/>
        <v>86</v>
      </c>
      <c r="E49" s="16" t="str">
        <f>'[1]BP-Wom'!D43</f>
        <v>Дзержинск</v>
      </c>
      <c r="F49" s="17">
        <f>'[1]BP-Wom'!E43</f>
        <v>39431</v>
      </c>
      <c r="G49" s="16" t="str">
        <f>'[1]BP-Wom'!F43</f>
        <v>Пушкино</v>
      </c>
    </row>
    <row r="50" spans="1:7" x14ac:dyDescent="0.25">
      <c r="A50" s="28">
        <f>'[1]BP-Wom'!A44</f>
        <v>67.5</v>
      </c>
      <c r="B50" s="16">
        <f>'[1]BP-Wom'!B44</f>
        <v>85</v>
      </c>
      <c r="C50" s="16" t="str">
        <f>'[1]BP-Wom'!C44</f>
        <v>Пахомова Елена/86</v>
      </c>
      <c r="D50" s="16" t="str">
        <f t="shared" si="1"/>
        <v>86</v>
      </c>
      <c r="E50" s="16">
        <f>'[1]BP-Wom'!D44</f>
        <v>0</v>
      </c>
      <c r="F50" s="17">
        <f>'[1]BP-Wom'!E44</f>
        <v>39431</v>
      </c>
      <c r="G50" s="16" t="str">
        <f>'[1]BP-Wom'!F44</f>
        <v>Пушкино</v>
      </c>
    </row>
    <row r="51" spans="1:7" x14ac:dyDescent="0.25">
      <c r="A51" s="28">
        <f>'[1]BP-Wom'!A45</f>
        <v>75</v>
      </c>
      <c r="B51" s="16">
        <f>'[1]BP-Wom'!B45</f>
        <v>77.5</v>
      </c>
      <c r="C51" s="16" t="str">
        <f>'[1]BP-Wom'!C45</f>
        <v>Селяева Дарья/88</v>
      </c>
      <c r="D51" s="16" t="str">
        <f t="shared" si="1"/>
        <v>88</v>
      </c>
      <c r="E51" s="16" t="str">
        <f>'[1]BP-Wom'!D45</f>
        <v>п.Литвиново</v>
      </c>
      <c r="F51" s="17">
        <f>'[1]BP-Wom'!E45</f>
        <v>40409</v>
      </c>
      <c r="G51" s="16" t="str">
        <f>'[1]BP-Wom'!F45</f>
        <v>Москва</v>
      </c>
    </row>
    <row r="52" spans="1:7" x14ac:dyDescent="0.25">
      <c r="A52" s="28">
        <f>'[1]BP-Wom'!A46</f>
        <v>82.5</v>
      </c>
      <c r="B52" s="16">
        <f>'[1]BP-Wom'!B46</f>
        <v>95</v>
      </c>
      <c r="C52" s="16" t="str">
        <f>'[1]BP-Wom'!C46</f>
        <v>Кодзаева Яна/93</v>
      </c>
      <c r="D52" s="16" t="str">
        <f t="shared" si="1"/>
        <v>93</v>
      </c>
      <c r="E52" s="16" t="str">
        <f>'[1]BP-Wom'!D46</f>
        <v>Владикавказ</v>
      </c>
      <c r="F52" s="17" t="str">
        <f>'[1]BP-Wom'!E46</f>
        <v>19.07.2014</v>
      </c>
      <c r="G52" s="16" t="str">
        <f>'[1]BP-Wom'!F46</f>
        <v>Краснодар</v>
      </c>
    </row>
    <row r="53" spans="1:7" x14ac:dyDescent="0.25">
      <c r="A53" s="28">
        <f>'[1]BP-Wom'!A47</f>
        <v>90</v>
      </c>
      <c r="B53" s="16">
        <f>'[1]BP-Wom'!B47</f>
        <v>0</v>
      </c>
      <c r="C53" s="16">
        <f>'[1]BP-Wom'!C47</f>
        <v>0</v>
      </c>
      <c r="D53" s="16" t="str">
        <f t="shared" si="1"/>
        <v>0</v>
      </c>
      <c r="E53" s="16">
        <f>'[1]BP-Wom'!D47</f>
        <v>0</v>
      </c>
      <c r="F53" s="17">
        <f>'[1]BP-Wom'!E47</f>
        <v>0</v>
      </c>
      <c r="G53" s="16">
        <f>'[1]BP-Wom'!F47</f>
        <v>0</v>
      </c>
    </row>
    <row r="54" spans="1:7" x14ac:dyDescent="0.25">
      <c r="A54" s="28" t="str">
        <f>'[1]BP-Wom'!A48</f>
        <v>90+</v>
      </c>
      <c r="B54" s="16">
        <f>'[1]BP-Wom'!B48</f>
        <v>80</v>
      </c>
      <c r="C54" s="16" t="str">
        <f>'[1]BP-Wom'!C48</f>
        <v>Царевская Екатерина/90</v>
      </c>
      <c r="D54" s="16" t="str">
        <f t="shared" si="1"/>
        <v>90</v>
      </c>
      <c r="E54" s="16" t="str">
        <f>'[1]BP-Wom'!D48</f>
        <v>Ростов</v>
      </c>
      <c r="F54" s="17">
        <f>'[1]BP-Wom'!E48</f>
        <v>41201</v>
      </c>
      <c r="G54" s="16" t="str">
        <f>'[1]BP-Wom'!F48</f>
        <v>Краснодар</v>
      </c>
    </row>
    <row r="55" spans="1:7" x14ac:dyDescent="0.25">
      <c r="B55" s="16">
        <f>'[1]BP-Wom'!B49</f>
        <v>0</v>
      </c>
      <c r="C55" s="16">
        <f>'[1]BP-Wom'!C49</f>
        <v>0</v>
      </c>
      <c r="D55" s="16" t="str">
        <f t="shared" si="1"/>
        <v>0</v>
      </c>
      <c r="E55" s="16">
        <f>'[1]BP-Wom'!D49</f>
        <v>0</v>
      </c>
      <c r="F55" s="17">
        <f>'[1]BP-Wom'!E49</f>
        <v>0</v>
      </c>
      <c r="G55" s="16">
        <f>'[1]BP-Wom'!F49</f>
        <v>0</v>
      </c>
    </row>
    <row r="56" spans="1:7" s="11" customFormat="1" x14ac:dyDescent="0.25">
      <c r="A56" s="22" t="s">
        <v>0</v>
      </c>
      <c r="B56" s="11">
        <v>0</v>
      </c>
      <c r="C56" s="11">
        <v>-2</v>
      </c>
      <c r="D56" s="11" t="str">
        <f>'[1]BP-Wom'!B50</f>
        <v>ЖЕНЩИНЫ</v>
      </c>
      <c r="F56" s="13"/>
    </row>
    <row r="57" spans="1:7" x14ac:dyDescent="0.25">
      <c r="A57" s="28">
        <f>'[1]BP-Wom'!A51</f>
        <v>44</v>
      </c>
      <c r="B57" s="16">
        <f>'[1]BP-Wom'!B51</f>
        <v>77.5</v>
      </c>
      <c r="C57" s="16" t="str">
        <f>'[1]BP-Wom'!C51</f>
        <v>Мурашева Юлия/70</v>
      </c>
      <c r="D57" s="16" t="str">
        <f t="shared" si="1"/>
        <v>70</v>
      </c>
      <c r="E57" s="16" t="str">
        <f>'[1]BP-Wom'!D51</f>
        <v>Шатура</v>
      </c>
      <c r="F57" s="17" t="str">
        <f>'[1]BP-Wom'!E51</f>
        <v>22.08.2014</v>
      </c>
      <c r="G57" s="16" t="str">
        <f>'[1]BP-Wom'!F51</f>
        <v>Москва</v>
      </c>
    </row>
    <row r="58" spans="1:7" x14ac:dyDescent="0.25">
      <c r="A58" s="28">
        <f>'[1]BP-Wom'!A52</f>
        <v>48</v>
      </c>
      <c r="B58" s="16">
        <f>'[1]BP-Wom'!B52</f>
        <v>80</v>
      </c>
      <c r="C58" s="16" t="str">
        <f>'[1]BP-Wom'!C52</f>
        <v>Бер Наталья/81</v>
      </c>
      <c r="D58" s="16" t="str">
        <f t="shared" si="1"/>
        <v>81</v>
      </c>
      <c r="E58" s="16" t="str">
        <f>'[1]BP-Wom'!D52</f>
        <v>Омск</v>
      </c>
      <c r="F58" s="17" t="str">
        <f>'[1]BP-Wom'!E52</f>
        <v>08.02.2014</v>
      </c>
      <c r="G58" s="16" t="str">
        <f>'[1]BP-Wom'!F52</f>
        <v>Екатеринбург</v>
      </c>
    </row>
    <row r="59" spans="1:7" x14ac:dyDescent="0.25">
      <c r="A59" s="28">
        <f>'[1]BP-Wom'!A53</f>
        <v>52</v>
      </c>
      <c r="B59" s="16">
        <f>'[1]BP-Wom'!B53</f>
        <v>85</v>
      </c>
      <c r="C59" s="16" t="str">
        <f>'[1]BP-Wom'!C53</f>
        <v>Кумуц Светлана/95</v>
      </c>
      <c r="D59" s="16" t="str">
        <f t="shared" si="1"/>
        <v>95</v>
      </c>
      <c r="E59" s="16" t="str">
        <f>'[1]BP-Wom'!D53</f>
        <v>Сатка</v>
      </c>
      <c r="F59" s="17">
        <f>'[1]BP-Wom'!E53</f>
        <v>41608</v>
      </c>
      <c r="G59" s="16" t="str">
        <f>'[1]BP-Wom'!F53</f>
        <v>Екатеринбург</v>
      </c>
    </row>
    <row r="60" spans="1:7" x14ac:dyDescent="0.25">
      <c r="A60" s="28">
        <f>'[1]BP-Wom'!A54</f>
        <v>56</v>
      </c>
      <c r="B60" s="16">
        <f>'[1]BP-Wom'!B54</f>
        <v>105</v>
      </c>
      <c r="C60" s="16" t="str">
        <f>'[1]BP-Wom'!C54</f>
        <v>Коновалова Наталья/74</v>
      </c>
      <c r="D60" s="16" t="str">
        <f t="shared" si="1"/>
        <v>74</v>
      </c>
      <c r="E60" s="16">
        <f>'[1]BP-Wom'!D54</f>
        <v>0</v>
      </c>
      <c r="F60" s="17">
        <f>'[1]BP-Wom'!E54</f>
        <v>40814</v>
      </c>
      <c r="G60" s="16" t="str">
        <f>'[1]BP-Wom'!F54</f>
        <v>Екатеринбург</v>
      </c>
    </row>
    <row r="61" spans="1:7" x14ac:dyDescent="0.25">
      <c r="A61" s="28">
        <f>'[1]BP-Wom'!A55</f>
        <v>60</v>
      </c>
      <c r="B61" s="16">
        <f>'[1]BP-Wom'!B55</f>
        <v>105</v>
      </c>
      <c r="C61" s="16" t="str">
        <f>'[1]BP-Wom'!C55</f>
        <v>Власова Надежда/82</v>
      </c>
      <c r="D61" s="16" t="str">
        <f t="shared" si="1"/>
        <v>82</v>
      </c>
      <c r="E61" s="16" t="str">
        <f>'[1]BP-Wom'!D55</f>
        <v>Лобня</v>
      </c>
      <c r="F61" s="17" t="str">
        <f>'[1]BP-Wom'!E55</f>
        <v>22.08.2014</v>
      </c>
      <c r="G61" s="16" t="str">
        <f>'[1]BP-Wom'!F55</f>
        <v>Москва</v>
      </c>
    </row>
    <row r="62" spans="1:7" x14ac:dyDescent="0.25">
      <c r="A62" s="28">
        <f>'[1]BP-Wom'!A56</f>
        <v>67.5</v>
      </c>
      <c r="B62" s="16">
        <f>'[1]BP-Wom'!B56</f>
        <v>97.5</v>
      </c>
      <c r="C62" s="16" t="str">
        <f>'[1]BP-Wom'!C56</f>
        <v>Ракчеева Анастасия/71</v>
      </c>
      <c r="D62" s="16" t="str">
        <f t="shared" si="1"/>
        <v>71</v>
      </c>
      <c r="E62" s="16" t="str">
        <f>'[1]BP-Wom'!D56</f>
        <v>Москва</v>
      </c>
      <c r="F62" s="17" t="str">
        <f>'[1]BP-Wom'!E56</f>
        <v>22.08.2014</v>
      </c>
      <c r="G62" s="16" t="str">
        <f>'[1]BP-Wom'!F56</f>
        <v>Москва</v>
      </c>
    </row>
    <row r="63" spans="1:7" x14ac:dyDescent="0.25">
      <c r="A63" s="28">
        <f>'[1]BP-Wom'!A57</f>
        <v>75</v>
      </c>
      <c r="B63" s="16">
        <f>'[1]BP-Wom'!B57</f>
        <v>112.5</v>
      </c>
      <c r="C63" s="16" t="str">
        <f>'[1]BP-Wom'!C57</f>
        <v>Воробьева Регина/80</v>
      </c>
      <c r="D63" s="16" t="str">
        <f t="shared" si="1"/>
        <v>80</v>
      </c>
      <c r="E63" s="16" t="str">
        <f>'[1]BP-Wom'!D57</f>
        <v>Волгоград</v>
      </c>
      <c r="F63" s="17">
        <f>'[1]BP-Wom'!E57</f>
        <v>41567</v>
      </c>
      <c r="G63" s="16" t="str">
        <f>'[1]BP-Wom'!F57</f>
        <v>Краснодар</v>
      </c>
    </row>
    <row r="64" spans="1:7" x14ac:dyDescent="0.25">
      <c r="A64" s="28">
        <f>'[1]BP-Wom'!A58</f>
        <v>82.5</v>
      </c>
      <c r="B64" s="16">
        <f>'[1]BP-Wom'!B58</f>
        <v>105</v>
      </c>
      <c r="C64" s="16" t="str">
        <f>'[1]BP-Wom'!C58</f>
        <v>Пуговкина Алла/75</v>
      </c>
      <c r="D64" s="16" t="str">
        <f t="shared" si="1"/>
        <v>75</v>
      </c>
      <c r="E64" s="16" t="str">
        <f>'[1]BP-Wom'!D58</f>
        <v>Москва</v>
      </c>
      <c r="F64" s="17" t="str">
        <f>'[1]BP-Wom'!E58</f>
        <v>22.08.2014</v>
      </c>
      <c r="G64" s="16" t="str">
        <f>'[1]BP-Wom'!F58</f>
        <v>Москва</v>
      </c>
    </row>
    <row r="65" spans="1:7" x14ac:dyDescent="0.25">
      <c r="A65" s="28">
        <f>'[1]BP-Wom'!A59</f>
        <v>90</v>
      </c>
      <c r="B65" s="16">
        <f>'[1]BP-Wom'!B59</f>
        <v>102.5</v>
      </c>
      <c r="C65" s="16" t="str">
        <f>'[1]BP-Wom'!C59</f>
        <v>Кибалина Татьяна/74</v>
      </c>
      <c r="D65" s="16" t="str">
        <f t="shared" si="1"/>
        <v>74</v>
      </c>
      <c r="E65" s="16" t="str">
        <f>'[1]BP-Wom'!D59</f>
        <v>Екатеринбург</v>
      </c>
      <c r="F65" s="17">
        <f>'[1]BP-Wom'!E59</f>
        <v>40814</v>
      </c>
      <c r="G65" s="16" t="str">
        <f>'[1]BP-Wom'!F59</f>
        <v>Екатеринбург</v>
      </c>
    </row>
    <row r="66" spans="1:7" x14ac:dyDescent="0.25">
      <c r="A66" s="28" t="str">
        <f>'[1]BP-Wom'!A60</f>
        <v>90+</v>
      </c>
      <c r="B66" s="16">
        <f>'[1]BP-Wom'!B60</f>
        <v>127.5</v>
      </c>
      <c r="C66" s="16" t="str">
        <f>'[1]BP-Wom'!C60</f>
        <v>Шель-Фетенгоф Эрин/83</v>
      </c>
      <c r="D66" s="16" t="str">
        <f t="shared" si="1"/>
        <v>83</v>
      </c>
      <c r="E66" s="16" t="str">
        <f>'[1]BP-Wom'!D60</f>
        <v>Москва</v>
      </c>
      <c r="F66" s="17" t="str">
        <f>'[1]BP-Wom'!E60</f>
        <v>22.08.2014</v>
      </c>
      <c r="G66" s="16" t="str">
        <f>'[1]BP-Wom'!F60</f>
        <v>Москва</v>
      </c>
    </row>
    <row r="67" spans="1:7" x14ac:dyDescent="0.25">
      <c r="B67" s="16">
        <f>'[1]BP-Wom'!B61</f>
        <v>0</v>
      </c>
      <c r="C67" s="16">
        <f>'[1]BP-Wom'!C61</f>
        <v>0</v>
      </c>
      <c r="D67" s="16" t="str">
        <f t="shared" si="1"/>
        <v>0</v>
      </c>
      <c r="E67" s="16">
        <f>'[1]BP-Wom'!D61</f>
        <v>0</v>
      </c>
      <c r="F67" s="17">
        <f>'[1]BP-Wom'!E61</f>
        <v>0</v>
      </c>
      <c r="G67" s="16">
        <f>'[1]BP-Wom'!F61</f>
        <v>0</v>
      </c>
    </row>
    <row r="68" spans="1:7" s="11" customFormat="1" x14ac:dyDescent="0.25">
      <c r="A68" s="22" t="s">
        <v>0</v>
      </c>
      <c r="B68" s="11">
        <v>0</v>
      </c>
      <c r="C68" s="11">
        <v>-4</v>
      </c>
      <c r="D68" s="11" t="str">
        <f>'[1]BP-Wom'!B62</f>
        <v>ЖЕНЩИНЫ - САБМАСТЕРС  (33 - 39)</v>
      </c>
      <c r="F68" s="13"/>
    </row>
    <row r="69" spans="1:7" x14ac:dyDescent="0.25">
      <c r="A69" s="28">
        <f>'[1]BP-Wom'!A63</f>
        <v>44</v>
      </c>
      <c r="B69" s="16">
        <f>'[1]BP-Wom'!B63</f>
        <v>65</v>
      </c>
      <c r="C69" s="16" t="str">
        <f>'[1]BP-Wom'!C63</f>
        <v>Покорная Ирина/77</v>
      </c>
      <c r="D69" s="16" t="str">
        <f t="shared" si="1"/>
        <v>77</v>
      </c>
      <c r="E69" s="16" t="str">
        <f>'[1]BP-Wom'!D63</f>
        <v>Саратов</v>
      </c>
      <c r="F69" s="17">
        <f>'[1]BP-Wom'!E63</f>
        <v>40690</v>
      </c>
      <c r="G69" s="16" t="str">
        <f>'[1]BP-Wom'!F63</f>
        <v xml:space="preserve">Хотьково </v>
      </c>
    </row>
    <row r="70" spans="1:7" x14ac:dyDescent="0.25">
      <c r="A70" s="28">
        <f>'[1]BP-Wom'!A64</f>
        <v>48</v>
      </c>
      <c r="B70" s="16">
        <f>'[1]BP-Wom'!B64</f>
        <v>67.5</v>
      </c>
      <c r="C70" s="16" t="str">
        <f>'[1]BP-Wom'!C64</f>
        <v>Дзина Маргарита/69</v>
      </c>
      <c r="D70" s="16" t="str">
        <f t="shared" si="1"/>
        <v>69</v>
      </c>
      <c r="E70" s="16" t="str">
        <f>'[1]BP-Wom'!D64</f>
        <v>Челябинск</v>
      </c>
      <c r="F70" s="17">
        <f>'[1]BP-Wom'!E64</f>
        <v>39871</v>
      </c>
      <c r="G70" s="16" t="str">
        <f>'[1]BP-Wom'!F64</f>
        <v>Челябинск</v>
      </c>
    </row>
    <row r="71" spans="1:7" x14ac:dyDescent="0.25">
      <c r="A71" s="28">
        <f>'[1]BP-Wom'!A65</f>
        <v>52</v>
      </c>
      <c r="B71" s="16">
        <f>'[1]BP-Wom'!B65</f>
        <v>72.5</v>
      </c>
      <c r="C71" s="16" t="str">
        <f>'[1]BP-Wom'!C65</f>
        <v>Тарасова Юлия/73</v>
      </c>
      <c r="D71" s="16" t="str">
        <f t="shared" si="1"/>
        <v>73</v>
      </c>
      <c r="E71" s="16" t="str">
        <f>'[1]BP-Wom'!D65</f>
        <v>Одинцово</v>
      </c>
      <c r="F71" s="17">
        <f>'[1]BP-Wom'!E65</f>
        <v>40409</v>
      </c>
      <c r="G71" s="16" t="str">
        <f>'[1]BP-Wom'!F65</f>
        <v>Москва</v>
      </c>
    </row>
    <row r="72" spans="1:7" x14ac:dyDescent="0.25">
      <c r="A72" s="28">
        <f>'[1]BP-Wom'!A66</f>
        <v>56</v>
      </c>
      <c r="B72" s="16">
        <f>'[1]BP-Wom'!B66</f>
        <v>105</v>
      </c>
      <c r="C72" s="16" t="str">
        <f>'[1]BP-Wom'!C66</f>
        <v>Коновалова Наталья/74</v>
      </c>
      <c r="D72" s="16" t="str">
        <f t="shared" si="1"/>
        <v>74</v>
      </c>
      <c r="E72" s="16">
        <f>'[1]BP-Wom'!D66</f>
        <v>0</v>
      </c>
      <c r="F72" s="17">
        <f>'[1]BP-Wom'!E66</f>
        <v>40814</v>
      </c>
      <c r="G72" s="16" t="str">
        <f>'[1]BP-Wom'!F66</f>
        <v>Екатеринбург</v>
      </c>
    </row>
    <row r="73" spans="1:7" x14ac:dyDescent="0.25">
      <c r="A73" s="28">
        <f>'[1]BP-Wom'!A67</f>
        <v>60</v>
      </c>
      <c r="B73" s="16">
        <f>'[1]BP-Wom'!B67</f>
        <v>92.5</v>
      </c>
      <c r="C73" s="16" t="str">
        <f>'[1]BP-Wom'!C67</f>
        <v>Ракчеева Анастасия/71</v>
      </c>
      <c r="D73" s="16" t="str">
        <f t="shared" si="1"/>
        <v>71</v>
      </c>
      <c r="E73" s="16" t="str">
        <f>'[1]BP-Wom'!D67</f>
        <v>Москва</v>
      </c>
      <c r="F73" s="17">
        <f>'[1]BP-Wom'!E67</f>
        <v>40088</v>
      </c>
      <c r="G73" s="16" t="str">
        <f>'[1]BP-Wom'!F67</f>
        <v>Ростов</v>
      </c>
    </row>
    <row r="74" spans="1:7" x14ac:dyDescent="0.25">
      <c r="A74" s="28">
        <f>'[1]BP-Wom'!A68</f>
        <v>67.5</v>
      </c>
      <c r="B74" s="16">
        <f>'[1]BP-Wom'!B68</f>
        <v>97.5</v>
      </c>
      <c r="C74" s="16" t="str">
        <f>'[1]BP-Wom'!C68</f>
        <v>Ракчеева Анастасия/71</v>
      </c>
      <c r="D74" s="16" t="str">
        <f t="shared" si="1"/>
        <v>71</v>
      </c>
      <c r="E74" s="16" t="str">
        <f>'[1]BP-Wom'!D68</f>
        <v>Москва</v>
      </c>
      <c r="F74" s="17" t="str">
        <f>'[1]BP-Wom'!E68</f>
        <v>22.08.2014</v>
      </c>
      <c r="G74" s="16" t="str">
        <f>'[1]BP-Wom'!F68</f>
        <v>Москва</v>
      </c>
    </row>
    <row r="75" spans="1:7" x14ac:dyDescent="0.25">
      <c r="A75" s="28">
        <f>'[1]BP-Wom'!A69</f>
        <v>75</v>
      </c>
      <c r="B75" s="16">
        <f>'[1]BP-Wom'!B69</f>
        <v>112.5</v>
      </c>
      <c r="C75" s="16" t="str">
        <f>'[1]BP-Wom'!C69</f>
        <v>Воробьева Регина/80</v>
      </c>
      <c r="D75" s="16" t="str">
        <f t="shared" si="1"/>
        <v>80</v>
      </c>
      <c r="E75" s="16" t="str">
        <f>'[1]BP-Wom'!D69</f>
        <v>Волгоград</v>
      </c>
      <c r="F75" s="17">
        <f>'[1]BP-Wom'!E69</f>
        <v>41567</v>
      </c>
      <c r="G75" s="16" t="str">
        <f>'[1]BP-Wom'!F69</f>
        <v>Краснодар</v>
      </c>
    </row>
    <row r="76" spans="1:7" x14ac:dyDescent="0.25">
      <c r="A76" s="28">
        <f>'[1]BP-Wom'!A70</f>
        <v>82.5</v>
      </c>
      <c r="B76" s="16">
        <f>'[1]BP-Wom'!B70</f>
        <v>105</v>
      </c>
      <c r="C76" s="16" t="str">
        <f>'[1]BP-Wom'!C70</f>
        <v>Пуговкина Алла/75</v>
      </c>
      <c r="D76" s="16" t="str">
        <f t="shared" si="1"/>
        <v>75</v>
      </c>
      <c r="E76" s="16" t="str">
        <f>'[1]BP-Wom'!D70</f>
        <v>Москва</v>
      </c>
      <c r="F76" s="17" t="str">
        <f>'[1]BP-Wom'!E70</f>
        <v>22.08.2014</v>
      </c>
      <c r="G76" s="16" t="str">
        <f>'[1]BP-Wom'!F70</f>
        <v>Москва</v>
      </c>
    </row>
    <row r="77" spans="1:7" x14ac:dyDescent="0.25">
      <c r="A77" s="28">
        <f>'[1]BP-Wom'!A71</f>
        <v>90</v>
      </c>
      <c r="B77" s="16">
        <f>'[1]BP-Wom'!B71</f>
        <v>102.5</v>
      </c>
      <c r="C77" s="16" t="str">
        <f>'[1]BP-Wom'!C71</f>
        <v>Кибалина Татьяна/74</v>
      </c>
      <c r="D77" s="16" t="str">
        <f t="shared" si="1"/>
        <v>74</v>
      </c>
      <c r="E77" s="16" t="str">
        <f>'[1]BP-Wom'!D71</f>
        <v>Екатеринбург</v>
      </c>
      <c r="F77" s="17">
        <f>'[1]BP-Wom'!E71</f>
        <v>40814</v>
      </c>
      <c r="G77" s="16" t="str">
        <f>'[1]BP-Wom'!F71</f>
        <v>Екатеринбург</v>
      </c>
    </row>
    <row r="78" spans="1:7" x14ac:dyDescent="0.25">
      <c r="A78" s="28" t="str">
        <f>'[1]BP-Wom'!A72</f>
        <v>90+</v>
      </c>
      <c r="B78" s="16">
        <f>'[1]BP-Wom'!B72</f>
        <v>90</v>
      </c>
      <c r="C78" s="16" t="str">
        <f>'[1]BP-Wom'!C72</f>
        <v>Скобелкина Елена/73</v>
      </c>
      <c r="D78" s="16" t="str">
        <f t="shared" si="1"/>
        <v>73</v>
      </c>
      <c r="E78" s="16" t="str">
        <f>'[1]BP-Wom'!D72</f>
        <v>Горный</v>
      </c>
      <c r="F78" s="17">
        <f>'[1]BP-Wom'!E72</f>
        <v>40872</v>
      </c>
      <c r="G78" s="16" t="str">
        <f>'[1]BP-Wom'!F72</f>
        <v>Новосибирск</v>
      </c>
    </row>
    <row r="79" spans="1:7" x14ac:dyDescent="0.25">
      <c r="B79" s="16">
        <f>'[1]BP-Wom'!B73</f>
        <v>0</v>
      </c>
      <c r="C79" s="16">
        <f>'[1]BP-Wom'!C73</f>
        <v>0</v>
      </c>
      <c r="D79" s="16" t="str">
        <f t="shared" si="1"/>
        <v>0</v>
      </c>
      <c r="E79" s="16">
        <f>'[1]BP-Wom'!D73</f>
        <v>0</v>
      </c>
      <c r="F79" s="17">
        <f>'[1]BP-Wom'!E73</f>
        <v>0</v>
      </c>
      <c r="G79" s="16">
        <f>'[1]BP-Wom'!F73</f>
        <v>0</v>
      </c>
    </row>
    <row r="80" spans="1:7" s="11" customFormat="1" x14ac:dyDescent="0.25">
      <c r="A80" s="22" t="s">
        <v>0</v>
      </c>
      <c r="B80" s="11">
        <v>0</v>
      </c>
      <c r="C80" s="11">
        <v>40</v>
      </c>
      <c r="D80" s="11" t="str">
        <f>'[1]BP-Wom'!B74</f>
        <v>МАСТЕРС - 1(40-44)</v>
      </c>
      <c r="F80" s="13"/>
    </row>
    <row r="81" spans="1:7" x14ac:dyDescent="0.25">
      <c r="A81" s="28">
        <f>'[1]BP-Wom'!A75</f>
        <v>44</v>
      </c>
      <c r="B81" s="16">
        <f>'[1]BP-Wom'!B75</f>
        <v>77.5</v>
      </c>
      <c r="C81" s="16" t="str">
        <f>'[1]BP-Wom'!C75</f>
        <v>Мурашева Юлия/70</v>
      </c>
      <c r="D81" s="16" t="str">
        <f t="shared" si="1"/>
        <v>70</v>
      </c>
      <c r="E81" s="16" t="str">
        <f>'[1]BP-Wom'!D75</f>
        <v>Шатура</v>
      </c>
      <c r="F81" s="17" t="str">
        <f>'[1]BP-Wom'!E75</f>
        <v>22.08.2014</v>
      </c>
      <c r="G81" s="16" t="str">
        <f>'[1]BP-Wom'!F75</f>
        <v>Москва</v>
      </c>
    </row>
    <row r="82" spans="1:7" x14ac:dyDescent="0.25">
      <c r="A82" s="28">
        <f>'[1]BP-Wom'!A76</f>
        <v>48</v>
      </c>
      <c r="B82" s="16">
        <f>'[1]BP-Wom'!B76</f>
        <v>52.5</v>
      </c>
      <c r="C82" s="16" t="str">
        <f>'[1]BP-Wom'!C76</f>
        <v>Мариева Наталья/68</v>
      </c>
      <c r="D82" s="16" t="str">
        <f t="shared" ref="D82:D149" si="2">RIGHT(C82,2)</f>
        <v>68</v>
      </c>
      <c r="E82" s="16" t="str">
        <f>'[1]BP-Wom'!D76</f>
        <v>Дмитров</v>
      </c>
      <c r="F82" s="17">
        <f>'[1]BP-Wom'!E76</f>
        <v>41068</v>
      </c>
      <c r="G82" s="16" t="str">
        <f>'[1]BP-Wom'!F76</f>
        <v>Moscow</v>
      </c>
    </row>
    <row r="83" spans="1:7" x14ac:dyDescent="0.25">
      <c r="A83" s="28">
        <f>'[1]BP-Wom'!A77</f>
        <v>52</v>
      </c>
      <c r="B83" s="16">
        <f>'[1]BP-Wom'!B77</f>
        <v>65</v>
      </c>
      <c r="C83" s="16" t="str">
        <f>'[1]BP-Wom'!C77</f>
        <v>Лазарева Елена/68</v>
      </c>
      <c r="D83" s="16" t="str">
        <f t="shared" si="2"/>
        <v>68</v>
      </c>
      <c r="E83" s="16" t="str">
        <f>'[1]BP-Wom'!D77</f>
        <v>Калуга</v>
      </c>
      <c r="F83" s="17">
        <f>'[1]BP-Wom'!E77</f>
        <v>40522</v>
      </c>
      <c r="G83" s="16" t="str">
        <f>'[1]BP-Wom'!F77</f>
        <v>Курск</v>
      </c>
    </row>
    <row r="84" spans="1:7" x14ac:dyDescent="0.25">
      <c r="A84" s="28">
        <f>'[1]BP-Wom'!A78</f>
        <v>56</v>
      </c>
      <c r="B84" s="16">
        <f>'[1]BP-Wom'!B78</f>
        <v>77.5</v>
      </c>
      <c r="C84" s="16" t="str">
        <f>'[1]BP-Wom'!C78</f>
        <v>Тарасова Юлия/73</v>
      </c>
      <c r="D84" s="16" t="str">
        <f t="shared" si="2"/>
        <v>73</v>
      </c>
      <c r="E84" s="16" t="str">
        <f>'[1]BP-Wom'!D78</f>
        <v>Одинцово</v>
      </c>
      <c r="F84" s="17" t="str">
        <f>'[1]BP-Wom'!E78</f>
        <v>22.08.2014</v>
      </c>
      <c r="G84" s="16" t="str">
        <f>'[1]BP-Wom'!F78</f>
        <v>Москва</v>
      </c>
    </row>
    <row r="85" spans="1:7" x14ac:dyDescent="0.25">
      <c r="A85" s="28">
        <f>'[1]BP-Wom'!A79</f>
        <v>60</v>
      </c>
      <c r="B85" s="16">
        <f>'[1]BP-Wom'!B79</f>
        <v>92.5</v>
      </c>
      <c r="C85" s="16" t="str">
        <f>'[1]BP-Wom'!C79</f>
        <v>Ракчеева Анастасия/71</v>
      </c>
      <c r="D85" s="16" t="str">
        <f t="shared" si="2"/>
        <v>71</v>
      </c>
      <c r="E85" s="16" t="str">
        <f>'[1]BP-Wom'!D79</f>
        <v>Химки</v>
      </c>
      <c r="F85" s="17">
        <f>'[1]BP-Wom'!E79</f>
        <v>41017</v>
      </c>
      <c r="G85" s="16" t="str">
        <f>'[1]BP-Wom'!F79</f>
        <v>Ростов</v>
      </c>
    </row>
    <row r="86" spans="1:7" x14ac:dyDescent="0.25">
      <c r="A86" s="28">
        <f>'[1]BP-Wom'!A80</f>
        <v>67.5</v>
      </c>
      <c r="B86" s="16">
        <f>'[1]BP-Wom'!B80</f>
        <v>97.5</v>
      </c>
      <c r="C86" s="16" t="str">
        <f>'[1]BP-Wom'!C80</f>
        <v>Ракчеева Анастасия/71</v>
      </c>
      <c r="D86" s="16" t="str">
        <f t="shared" si="2"/>
        <v>71</v>
      </c>
      <c r="E86" s="16" t="str">
        <f>'[1]BP-Wom'!D80</f>
        <v>Москва</v>
      </c>
      <c r="F86" s="17" t="str">
        <f>'[1]BP-Wom'!E80</f>
        <v>22.08.2014</v>
      </c>
      <c r="G86" s="16" t="str">
        <f>'[1]BP-Wom'!F80</f>
        <v>Москва</v>
      </c>
    </row>
    <row r="87" spans="1:7" x14ac:dyDescent="0.25">
      <c r="A87" s="28">
        <f>'[1]BP-Wom'!A81</f>
        <v>75</v>
      </c>
      <c r="B87" s="16">
        <f>'[1]BP-Wom'!B81</f>
        <v>105</v>
      </c>
      <c r="C87" s="16" t="str">
        <f>'[1]BP-Wom'!C81</f>
        <v>Синачева Светлана/66</v>
      </c>
      <c r="D87" s="16" t="str">
        <f t="shared" si="2"/>
        <v>66</v>
      </c>
      <c r="E87" s="16" t="str">
        <f>'[1]BP-Wom'!D81</f>
        <v>Трехгорный</v>
      </c>
      <c r="F87" s="17">
        <f>'[1]BP-Wom'!E81</f>
        <v>40814</v>
      </c>
      <c r="G87" s="16" t="str">
        <f>'[1]BP-Wom'!F81</f>
        <v>Екатеринбург</v>
      </c>
    </row>
    <row r="88" spans="1:7" x14ac:dyDescent="0.25">
      <c r="A88" s="28">
        <f>'[1]BP-Wom'!A82</f>
        <v>82.5</v>
      </c>
      <c r="B88" s="16">
        <f>'[1]BP-Wom'!B82</f>
        <v>97.5</v>
      </c>
      <c r="C88" s="16" t="str">
        <f>'[1]BP-Wom'!C82</f>
        <v>Синачева Светлана/66</v>
      </c>
      <c r="D88" s="16" t="str">
        <f t="shared" si="2"/>
        <v>66</v>
      </c>
      <c r="E88" s="16" t="str">
        <f>'[1]BP-Wom'!D82</f>
        <v>Трехгорный</v>
      </c>
      <c r="F88" s="17">
        <f>'[1]BP-Wom'!E82</f>
        <v>40257</v>
      </c>
      <c r="G88" s="16" t="str">
        <f>'[1]BP-Wom'!F82</f>
        <v>Курск</v>
      </c>
    </row>
    <row r="89" spans="1:7" x14ac:dyDescent="0.25">
      <c r="A89" s="28">
        <f>'[1]BP-Wom'!A83</f>
        <v>90</v>
      </c>
      <c r="B89" s="16">
        <f>'[1]BP-Wom'!B83</f>
        <v>0</v>
      </c>
      <c r="C89" s="16">
        <f>'[1]BP-Wom'!C83</f>
        <v>0</v>
      </c>
      <c r="D89" s="16" t="str">
        <f t="shared" si="2"/>
        <v>0</v>
      </c>
      <c r="E89" s="16">
        <f>'[1]BP-Wom'!D83</f>
        <v>0</v>
      </c>
      <c r="F89" s="17">
        <f>'[1]BP-Wom'!E83</f>
        <v>0</v>
      </c>
      <c r="G89" s="16">
        <f>'[1]BP-Wom'!F83</f>
        <v>0</v>
      </c>
    </row>
    <row r="90" spans="1:7" x14ac:dyDescent="0.25">
      <c r="A90" s="28" t="str">
        <f>'[1]BP-Wom'!A84</f>
        <v>90+</v>
      </c>
      <c r="B90" s="16">
        <f>'[1]BP-Wom'!B84</f>
        <v>85</v>
      </c>
      <c r="C90" s="16" t="str">
        <f>'[1]BP-Wom'!C84</f>
        <v>Синенко Нина/67</v>
      </c>
      <c r="D90" s="16" t="str">
        <f t="shared" si="2"/>
        <v>67</v>
      </c>
      <c r="E90" s="16" t="str">
        <f>'[1]BP-Wom'!D84</f>
        <v>Новосибирск</v>
      </c>
      <c r="F90" s="17">
        <f>'[1]BP-Wom'!E84</f>
        <v>40872</v>
      </c>
      <c r="G90" s="16" t="str">
        <f>'[1]BP-Wom'!F84</f>
        <v>Новосибирск</v>
      </c>
    </row>
    <row r="91" spans="1:7" x14ac:dyDescent="0.25">
      <c r="B91" s="16">
        <f>'[1]BP-Wom'!B85</f>
        <v>0</v>
      </c>
      <c r="C91" s="16">
        <f>'[1]BP-Wom'!C85</f>
        <v>0</v>
      </c>
      <c r="D91" s="16" t="str">
        <f t="shared" si="2"/>
        <v>0</v>
      </c>
      <c r="E91" s="16">
        <f>'[1]BP-Wom'!D85</f>
        <v>0</v>
      </c>
      <c r="F91" s="17">
        <f>'[1]BP-Wom'!E85</f>
        <v>0</v>
      </c>
      <c r="G91" s="16">
        <f>'[1]BP-Wom'!F85</f>
        <v>0</v>
      </c>
    </row>
    <row r="92" spans="1:7" s="11" customFormat="1" x14ac:dyDescent="0.25">
      <c r="A92" s="22" t="s">
        <v>0</v>
      </c>
      <c r="B92" s="11">
        <v>0</v>
      </c>
      <c r="C92" s="11">
        <v>45</v>
      </c>
      <c r="D92" s="11" t="str">
        <f>'[1]BP-Wom'!B86</f>
        <v>МАСТЕРС - 2(45-49)</v>
      </c>
      <c r="F92" s="13"/>
    </row>
    <row r="93" spans="1:7" x14ac:dyDescent="0.25">
      <c r="A93" s="28">
        <f>'[1]BP-Wom'!A87</f>
        <v>44</v>
      </c>
      <c r="B93" s="16">
        <f>'[1]BP-Wom'!B87</f>
        <v>35</v>
      </c>
      <c r="C93" s="16" t="str">
        <f>'[1]BP-Wom'!C87</f>
        <v>Казанцева Ольга/61</v>
      </c>
      <c r="D93" s="16" t="str">
        <f t="shared" si="2"/>
        <v>61</v>
      </c>
      <c r="E93" s="16" t="str">
        <f>'[1]BP-Wom'!D87</f>
        <v>Москва</v>
      </c>
      <c r="F93" s="17">
        <f>'[1]BP-Wom'!E87</f>
        <v>40690</v>
      </c>
      <c r="G93" s="16" t="str">
        <f>'[1]BP-Wom'!F87</f>
        <v xml:space="preserve">Хотьково </v>
      </c>
    </row>
    <row r="94" spans="1:7" x14ac:dyDescent="0.25">
      <c r="A94" s="28">
        <f>'[1]BP-Wom'!A88</f>
        <v>48</v>
      </c>
      <c r="B94" s="16">
        <f>'[1]BP-Wom'!B88</f>
        <v>55</v>
      </c>
      <c r="C94" s="16" t="str">
        <f>'[1]BP-Wom'!C88</f>
        <v>Мариева Наталья/68</v>
      </c>
      <c r="D94" s="16" t="str">
        <f t="shared" si="2"/>
        <v>68</v>
      </c>
      <c r="E94" s="16" t="str">
        <f>'[1]BP-Wom'!D88</f>
        <v>Дмитров</v>
      </c>
      <c r="F94" s="17" t="str">
        <f>'[1]BP-Wom'!E88</f>
        <v>30.05.2014</v>
      </c>
      <c r="G94" s="16" t="str">
        <f>'[1]BP-Wom'!F88</f>
        <v>Курск</v>
      </c>
    </row>
    <row r="95" spans="1:7" x14ac:dyDescent="0.25">
      <c r="A95" s="28">
        <f>'[1]BP-Wom'!A89</f>
        <v>52</v>
      </c>
      <c r="B95" s="16">
        <f>'[1]BP-Wom'!B89</f>
        <v>65</v>
      </c>
      <c r="C95" s="16" t="str">
        <f>'[1]BP-Wom'!C89</f>
        <v>Кушкова Елена/67</v>
      </c>
      <c r="D95" s="16" t="str">
        <f t="shared" si="2"/>
        <v>67</v>
      </c>
      <c r="E95" s="16" t="str">
        <f>'[1]BP-Wom'!D89</f>
        <v>Омск</v>
      </c>
      <c r="F95" s="17">
        <f>'[1]BP-Wom'!E89</f>
        <v>41608</v>
      </c>
      <c r="G95" s="16" t="str">
        <f>'[1]BP-Wom'!F89</f>
        <v>Екатеринбург</v>
      </c>
    </row>
    <row r="96" spans="1:7" x14ac:dyDescent="0.25">
      <c r="A96" s="28">
        <f>'[1]BP-Wom'!A90</f>
        <v>56</v>
      </c>
      <c r="B96" s="16">
        <f>'[1]BP-Wom'!B90</f>
        <v>65</v>
      </c>
      <c r="C96" s="16" t="str">
        <f>'[1]BP-Wom'!C90</f>
        <v>Куклина Оксана/69</v>
      </c>
      <c r="D96" s="16" t="str">
        <f t="shared" si="2"/>
        <v>69</v>
      </c>
      <c r="E96" s="16" t="str">
        <f>'[1]BP-Wom'!D90</f>
        <v>Туапсе</v>
      </c>
      <c r="F96" s="17" t="str">
        <f>'[1]BP-Wom'!E90</f>
        <v>19.07.2014</v>
      </c>
      <c r="G96" s="16" t="str">
        <f>'[1]BP-Wom'!F90</f>
        <v>Краснодар</v>
      </c>
    </row>
    <row r="97" spans="1:7" x14ac:dyDescent="0.25">
      <c r="A97" s="28">
        <f>'[1]BP-Wom'!A91</f>
        <v>60</v>
      </c>
      <c r="B97" s="16">
        <f>'[1]BP-Wom'!B91</f>
        <v>0</v>
      </c>
      <c r="C97" s="16">
        <f>'[1]BP-Wom'!C91</f>
        <v>0</v>
      </c>
      <c r="D97" s="16" t="str">
        <f t="shared" si="2"/>
        <v>0</v>
      </c>
      <c r="E97" s="16">
        <f>'[1]BP-Wom'!D91</f>
        <v>0</v>
      </c>
      <c r="F97" s="17">
        <f>'[1]BP-Wom'!E91</f>
        <v>0</v>
      </c>
      <c r="G97" s="16">
        <f>'[1]BP-Wom'!F91</f>
        <v>0</v>
      </c>
    </row>
    <row r="98" spans="1:7" x14ac:dyDescent="0.25">
      <c r="A98" s="28">
        <f>'[1]BP-Wom'!A92</f>
        <v>67.5</v>
      </c>
      <c r="B98" s="16">
        <f>'[1]BP-Wom'!B92</f>
        <v>52.5</v>
      </c>
      <c r="C98" s="16" t="str">
        <f>'[1]BP-Wom'!C92</f>
        <v>Сидорова Ольга/66</v>
      </c>
      <c r="D98" s="16" t="str">
        <f t="shared" si="2"/>
        <v>66</v>
      </c>
      <c r="E98" s="16" t="str">
        <f>'[1]BP-Wom'!D92</f>
        <v>Курск</v>
      </c>
      <c r="F98" s="17">
        <f>'[1]BP-Wom'!E92</f>
        <v>41497</v>
      </c>
      <c r="G98" s="16" t="str">
        <f>'[1]BP-Wom'!F92</f>
        <v>Курск</v>
      </c>
    </row>
    <row r="99" spans="1:7" x14ac:dyDescent="0.25">
      <c r="A99" s="28">
        <f>'[1]BP-Wom'!A93</f>
        <v>75</v>
      </c>
      <c r="B99" s="16">
        <f>'[1]BP-Wom'!B93</f>
        <v>105</v>
      </c>
      <c r="C99" s="16" t="str">
        <f>'[1]BP-Wom'!C93</f>
        <v>Синачева Светлана/66</v>
      </c>
      <c r="D99" s="16" t="str">
        <f t="shared" si="2"/>
        <v>66</v>
      </c>
      <c r="E99" s="16" t="str">
        <f>'[1]BP-Wom'!D93</f>
        <v>Трехгорный</v>
      </c>
      <c r="F99" s="17">
        <f>'[1]BP-Wom'!E93</f>
        <v>41017</v>
      </c>
      <c r="G99" s="16" t="str">
        <f>'[1]BP-Wom'!F93</f>
        <v>Ростов</v>
      </c>
    </row>
    <row r="100" spans="1:7" x14ac:dyDescent="0.25">
      <c r="A100" s="28">
        <f>'[1]BP-Wom'!A94</f>
        <v>82.5</v>
      </c>
      <c r="B100" s="16">
        <f>'[1]BP-Wom'!B94</f>
        <v>80</v>
      </c>
      <c r="C100" s="16" t="str">
        <f>'[1]BP-Wom'!C94</f>
        <v>Чаркова Лидия/68</v>
      </c>
      <c r="D100" s="16" t="str">
        <f t="shared" si="2"/>
        <v>68</v>
      </c>
      <c r="E100" s="16" t="str">
        <f>'[1]BP-Wom'!D94</f>
        <v>Санкт-Петербург</v>
      </c>
      <c r="F100" s="17" t="str">
        <f>'[1]BP-Wom'!E94</f>
        <v>22.08.2014</v>
      </c>
      <c r="G100" s="16" t="str">
        <f>'[1]BP-Wom'!F94</f>
        <v>Москва</v>
      </c>
    </row>
    <row r="101" spans="1:7" x14ac:dyDescent="0.25">
      <c r="A101" s="28">
        <f>'[1]BP-Wom'!A95</f>
        <v>90</v>
      </c>
      <c r="B101" s="16">
        <f>'[1]BP-Wom'!B95</f>
        <v>0</v>
      </c>
      <c r="C101" s="16">
        <f>'[1]BP-Wom'!C95</f>
        <v>0</v>
      </c>
      <c r="D101" s="16" t="str">
        <f t="shared" si="2"/>
        <v>0</v>
      </c>
      <c r="E101" s="16">
        <f>'[1]BP-Wom'!D95</f>
        <v>0</v>
      </c>
      <c r="F101" s="17">
        <f>'[1]BP-Wom'!E95</f>
        <v>0</v>
      </c>
      <c r="G101" s="16">
        <f>'[1]BP-Wom'!F95</f>
        <v>0</v>
      </c>
    </row>
    <row r="102" spans="1:7" x14ac:dyDescent="0.25">
      <c r="A102" s="28" t="str">
        <f>'[1]BP-Wom'!A96</f>
        <v>90+</v>
      </c>
      <c r="B102" s="16">
        <f>'[1]BP-Wom'!B96</f>
        <v>80</v>
      </c>
      <c r="C102" s="16" t="str">
        <f>'[1]BP-Wom'!C96</f>
        <v>Кабаева Светлана/65</v>
      </c>
      <c r="D102" s="16" t="str">
        <f t="shared" si="2"/>
        <v>65</v>
      </c>
      <c r="E102" s="16" t="str">
        <f>'[1]BP-Wom'!D96</f>
        <v>Челябинск</v>
      </c>
      <c r="F102" s="17">
        <f>'[1]BP-Wom'!E96</f>
        <v>40640</v>
      </c>
      <c r="G102" s="16" t="str">
        <f>'[1]BP-Wom'!F96</f>
        <v>Челябинск</v>
      </c>
    </row>
    <row r="104" spans="1:7" s="11" customFormat="1" x14ac:dyDescent="0.25">
      <c r="A104" s="22" t="s">
        <v>0</v>
      </c>
      <c r="B104" s="11">
        <v>0</v>
      </c>
      <c r="C104" s="11">
        <v>50</v>
      </c>
      <c r="D104" s="11" t="str">
        <f>'[1]BP-Wom'!B97</f>
        <v>МАСТЕРС - 3(50-54)</v>
      </c>
      <c r="F104" s="13"/>
    </row>
    <row r="105" spans="1:7" x14ac:dyDescent="0.25">
      <c r="A105" s="28">
        <f>'[1]BP-Wom'!A98</f>
        <v>44</v>
      </c>
      <c r="B105" s="16">
        <f>'[1]BP-Wom'!B98</f>
        <v>0</v>
      </c>
      <c r="C105" s="16">
        <f>'[1]BP-Wom'!C98</f>
        <v>0</v>
      </c>
      <c r="D105" s="16" t="str">
        <f t="shared" si="2"/>
        <v>0</v>
      </c>
      <c r="E105" s="16">
        <f>'[1]BP-Wom'!D98</f>
        <v>0</v>
      </c>
      <c r="F105" s="17">
        <f>'[1]BP-Wom'!E98</f>
        <v>0</v>
      </c>
      <c r="G105" s="16">
        <f>'[1]BP-Wom'!F98</f>
        <v>0</v>
      </c>
    </row>
    <row r="106" spans="1:7" x14ac:dyDescent="0.25">
      <c r="A106" s="28">
        <f>'[1]BP-Wom'!A99</f>
        <v>48</v>
      </c>
      <c r="B106" s="16">
        <f>'[1]BP-Wom'!B99</f>
        <v>0</v>
      </c>
      <c r="C106" s="16">
        <f>'[1]BP-Wom'!C99</f>
        <v>0</v>
      </c>
      <c r="D106" s="16" t="str">
        <f t="shared" si="2"/>
        <v>0</v>
      </c>
      <c r="E106" s="16">
        <f>'[1]BP-Wom'!D99</f>
        <v>0</v>
      </c>
      <c r="F106" s="17">
        <f>'[1]BP-Wom'!E99</f>
        <v>0</v>
      </c>
      <c r="G106" s="16">
        <f>'[1]BP-Wom'!F99</f>
        <v>0</v>
      </c>
    </row>
    <row r="107" spans="1:7" x14ac:dyDescent="0.25">
      <c r="A107" s="28">
        <f>'[1]BP-Wom'!A100</f>
        <v>52</v>
      </c>
      <c r="B107" s="16">
        <f>'[1]BP-Wom'!B100</f>
        <v>55</v>
      </c>
      <c r="C107" s="16" t="str">
        <f>'[1]BP-Wom'!C100</f>
        <v>Телегина Татьяна/61</v>
      </c>
      <c r="D107" s="16" t="str">
        <f t="shared" si="2"/>
        <v>61</v>
      </c>
      <c r="E107" s="16" t="str">
        <f>'[1]BP-Wom'!D100</f>
        <v>Улан-Уде</v>
      </c>
      <c r="F107" s="17">
        <f>'[1]BP-Wom'!E100</f>
        <v>41137</v>
      </c>
      <c r="G107" s="16" t="str">
        <f>'[1]BP-Wom'!F100</f>
        <v>Новосибирск</v>
      </c>
    </row>
    <row r="108" spans="1:7" x14ac:dyDescent="0.25">
      <c r="A108" s="28">
        <f>'[1]BP-Wom'!A101</f>
        <v>56</v>
      </c>
      <c r="B108" s="16">
        <f>'[1]BP-Wom'!B101</f>
        <v>0</v>
      </c>
      <c r="C108" s="16">
        <f>'[1]BP-Wom'!C101</f>
        <v>0</v>
      </c>
      <c r="D108" s="16" t="str">
        <f t="shared" si="2"/>
        <v>0</v>
      </c>
      <c r="E108" s="16">
        <f>'[1]BP-Wom'!D101</f>
        <v>0</v>
      </c>
      <c r="F108" s="17">
        <f>'[1]BP-Wom'!E101</f>
        <v>0</v>
      </c>
      <c r="G108" s="16">
        <f>'[1]BP-Wom'!F101</f>
        <v>0</v>
      </c>
    </row>
    <row r="109" spans="1:7" x14ac:dyDescent="0.25">
      <c r="A109" s="28">
        <f>'[1]BP-Wom'!A102</f>
        <v>60</v>
      </c>
      <c r="B109" s="16">
        <f>'[1]BP-Wom'!B102</f>
        <v>42.5</v>
      </c>
      <c r="C109" s="16" t="str">
        <f>'[1]BP-Wom'!C102</f>
        <v>Шарий Вера/57</v>
      </c>
      <c r="D109" s="16" t="str">
        <f t="shared" si="2"/>
        <v>57</v>
      </c>
      <c r="E109" s="16" t="str">
        <f>'[1]BP-Wom'!D102</f>
        <v>Тюмень</v>
      </c>
      <c r="F109" s="17">
        <f>'[1]BP-Wom'!E102</f>
        <v>39724</v>
      </c>
      <c r="G109" s="16" t="str">
        <f>'[1]BP-Wom'!F102</f>
        <v>Екатеринбург</v>
      </c>
    </row>
    <row r="110" spans="1:7" x14ac:dyDescent="0.25">
      <c r="A110" s="28">
        <f>'[1]BP-Wom'!A103</f>
        <v>67.5</v>
      </c>
      <c r="B110" s="16">
        <f>'[1]BP-Wom'!B103</f>
        <v>0</v>
      </c>
      <c r="C110" s="16">
        <f>'[1]BP-Wom'!C103</f>
        <v>0</v>
      </c>
      <c r="D110" s="16" t="str">
        <f t="shared" si="2"/>
        <v>0</v>
      </c>
      <c r="E110" s="16">
        <f>'[1]BP-Wom'!D103</f>
        <v>0</v>
      </c>
      <c r="F110" s="17">
        <f>'[1]BP-Wom'!E103</f>
        <v>0</v>
      </c>
      <c r="G110" s="16">
        <f>'[1]BP-Wom'!F103</f>
        <v>0</v>
      </c>
    </row>
    <row r="111" spans="1:7" x14ac:dyDescent="0.25">
      <c r="A111" s="28">
        <f>'[1]BP-Wom'!A104</f>
        <v>75</v>
      </c>
      <c r="B111" s="16">
        <f>'[1]BP-Wom'!B104</f>
        <v>55</v>
      </c>
      <c r="C111" s="16" t="str">
        <f>'[1]BP-Wom'!C104</f>
        <v>Сайфуллина Татьяна/58</v>
      </c>
      <c r="D111" s="16" t="str">
        <f t="shared" si="2"/>
        <v>58</v>
      </c>
      <c r="E111" s="16" t="str">
        <f>'[1]BP-Wom'!D104</f>
        <v>Ноябрьск</v>
      </c>
      <c r="F111" s="17">
        <f>'[1]BP-Wom'!E104</f>
        <v>41201</v>
      </c>
      <c r="G111" s="16" t="str">
        <f>'[1]BP-Wom'!F104</f>
        <v>Краснодар</v>
      </c>
    </row>
    <row r="112" spans="1:7" x14ac:dyDescent="0.25">
      <c r="A112" s="28">
        <f>'[1]BP-Wom'!A105</f>
        <v>82.5</v>
      </c>
      <c r="B112" s="16">
        <f>'[1]BP-Wom'!B105</f>
        <v>50</v>
      </c>
      <c r="C112" s="16" t="str">
        <f>'[1]BP-Wom'!C105</f>
        <v>Сайфуллина Татьяна/58</v>
      </c>
      <c r="D112" s="16" t="str">
        <f t="shared" si="2"/>
        <v>58</v>
      </c>
      <c r="E112" s="16" t="str">
        <f>'[1]BP-Wom'!D105</f>
        <v>Ноябрьск</v>
      </c>
      <c r="F112" s="17">
        <f>'[1]BP-Wom'!E105</f>
        <v>41017</v>
      </c>
      <c r="G112" s="16" t="str">
        <f>'[1]BP-Wom'!F105</f>
        <v>Ростов</v>
      </c>
    </row>
    <row r="113" spans="1:7" x14ac:dyDescent="0.25">
      <c r="A113" s="28">
        <f>'[1]BP-Wom'!A106</f>
        <v>90</v>
      </c>
      <c r="B113" s="16">
        <f>'[1]BP-Wom'!B106</f>
        <v>52.5</v>
      </c>
      <c r="C113" s="16" t="str">
        <f>'[1]BP-Wom'!C106</f>
        <v>Гаврилова Ольга/60</v>
      </c>
      <c r="D113" s="16" t="str">
        <f t="shared" si="2"/>
        <v>60</v>
      </c>
      <c r="E113" s="16" t="str">
        <f>'[1]BP-Wom'!D106</f>
        <v>Москва</v>
      </c>
      <c r="F113" s="17">
        <f>'[1]BP-Wom'!E106</f>
        <v>41619</v>
      </c>
      <c r="G113" s="16" t="str">
        <f>'[1]BP-Wom'!F106</f>
        <v>Курск</v>
      </c>
    </row>
    <row r="114" spans="1:7" x14ac:dyDescent="0.25">
      <c r="A114" s="28" t="str">
        <f>'[1]BP-Wom'!A107</f>
        <v>90+</v>
      </c>
      <c r="B114" s="16">
        <f>'[1]BP-Wom'!B107</f>
        <v>0</v>
      </c>
      <c r="C114" s="16">
        <f>'[1]BP-Wom'!C107</f>
        <v>0</v>
      </c>
      <c r="D114" s="16" t="str">
        <f t="shared" si="2"/>
        <v>0</v>
      </c>
      <c r="E114" s="16">
        <f>'[1]BP-Wom'!D107</f>
        <v>0</v>
      </c>
      <c r="F114" s="17">
        <f>'[1]BP-Wom'!E107</f>
        <v>0</v>
      </c>
      <c r="G114" s="16">
        <f>'[1]BP-Wom'!F107</f>
        <v>0</v>
      </c>
    </row>
    <row r="116" spans="1:7" s="11" customFormat="1" x14ac:dyDescent="0.25">
      <c r="A116" s="22" t="s">
        <v>0</v>
      </c>
      <c r="B116" s="11">
        <v>0</v>
      </c>
      <c r="C116" s="11">
        <v>60</v>
      </c>
      <c r="D116" s="11" t="str">
        <f>'[1]BP-Wom'!B108</f>
        <v>МАСТЕРС - 5(60-64)</v>
      </c>
      <c r="F116" s="13"/>
    </row>
    <row r="117" spans="1:7" x14ac:dyDescent="0.25">
      <c r="A117" s="28">
        <f>'[1]BP-Wom'!A109</f>
        <v>44</v>
      </c>
      <c r="B117" s="16">
        <f>'[1]BP-Wom'!B109</f>
        <v>0</v>
      </c>
      <c r="C117" s="16">
        <f>'[1]BP-Wom'!C109</f>
        <v>0</v>
      </c>
      <c r="D117" s="16" t="str">
        <f t="shared" si="2"/>
        <v>0</v>
      </c>
      <c r="E117" s="16">
        <f>'[1]BP-Wom'!D109</f>
        <v>0</v>
      </c>
      <c r="F117" s="17">
        <f>'[1]BP-Wom'!E109</f>
        <v>0</v>
      </c>
      <c r="G117" s="16">
        <f>'[1]BP-Wom'!F109</f>
        <v>0</v>
      </c>
    </row>
    <row r="118" spans="1:7" x14ac:dyDescent="0.25">
      <c r="A118" s="28">
        <f>'[1]BP-Wom'!A110</f>
        <v>48</v>
      </c>
      <c r="B118" s="16">
        <f>'[1]BP-Wom'!B110</f>
        <v>0</v>
      </c>
      <c r="C118" s="16">
        <f>'[1]BP-Wom'!C110</f>
        <v>0</v>
      </c>
      <c r="D118" s="16" t="str">
        <f t="shared" si="2"/>
        <v>0</v>
      </c>
      <c r="E118" s="16">
        <f>'[1]BP-Wom'!D110</f>
        <v>0</v>
      </c>
      <c r="F118" s="17">
        <f>'[1]BP-Wom'!E110</f>
        <v>0</v>
      </c>
      <c r="G118" s="16">
        <f>'[1]BP-Wom'!F110</f>
        <v>0</v>
      </c>
    </row>
    <row r="119" spans="1:7" x14ac:dyDescent="0.25">
      <c r="A119" s="28">
        <f>'[1]BP-Wom'!A111</f>
        <v>52</v>
      </c>
      <c r="B119" s="16">
        <f>'[1]BP-Wom'!B111</f>
        <v>0</v>
      </c>
      <c r="C119" s="16">
        <f>'[1]BP-Wom'!C111</f>
        <v>0</v>
      </c>
      <c r="D119" s="16" t="str">
        <f t="shared" si="2"/>
        <v>0</v>
      </c>
      <c r="E119" s="16">
        <f>'[1]BP-Wom'!D111</f>
        <v>0</v>
      </c>
      <c r="F119" s="17">
        <f>'[1]BP-Wom'!E111</f>
        <v>0</v>
      </c>
      <c r="G119" s="16">
        <f>'[1]BP-Wom'!F111</f>
        <v>0</v>
      </c>
    </row>
    <row r="120" spans="1:7" x14ac:dyDescent="0.25">
      <c r="A120" s="28">
        <f>'[1]BP-Wom'!A112</f>
        <v>56</v>
      </c>
      <c r="B120" s="16">
        <f>'[1]BP-Wom'!B112</f>
        <v>0</v>
      </c>
      <c r="C120" s="16">
        <f>'[1]BP-Wom'!C112</f>
        <v>0</v>
      </c>
      <c r="D120" s="16" t="str">
        <f t="shared" si="2"/>
        <v>0</v>
      </c>
      <c r="E120" s="16">
        <f>'[1]BP-Wom'!D112</f>
        <v>0</v>
      </c>
      <c r="F120" s="17">
        <f>'[1]BP-Wom'!E112</f>
        <v>0</v>
      </c>
      <c r="G120" s="16">
        <f>'[1]BP-Wom'!F112</f>
        <v>0</v>
      </c>
    </row>
    <row r="121" spans="1:7" x14ac:dyDescent="0.25">
      <c r="A121" s="28">
        <f>'[1]BP-Wom'!A113</f>
        <v>60</v>
      </c>
      <c r="B121" s="16">
        <f>'[1]BP-Wom'!B113</f>
        <v>47.5</v>
      </c>
      <c r="C121" s="16" t="str">
        <f>'[1]BP-Wom'!C113</f>
        <v>Кондратьева Галина/52</v>
      </c>
      <c r="D121" s="16" t="str">
        <f t="shared" si="2"/>
        <v>52</v>
      </c>
      <c r="E121" s="16" t="str">
        <f>'[1]BP-Wom'!D113</f>
        <v>Москва</v>
      </c>
      <c r="F121" s="17" t="str">
        <f>'[1]BP-Wom'!E113</f>
        <v>22.08.2014</v>
      </c>
      <c r="G121" s="16" t="str">
        <f>'[1]BP-Wom'!F113</f>
        <v>Москва</v>
      </c>
    </row>
    <row r="122" spans="1:7" x14ac:dyDescent="0.25">
      <c r="A122" s="28">
        <f>'[1]BP-Wom'!A114</f>
        <v>67.5</v>
      </c>
      <c r="B122" s="16">
        <f>'[1]BP-Wom'!B114</f>
        <v>0</v>
      </c>
      <c r="C122" s="16">
        <f>'[1]BP-Wom'!C114</f>
        <v>0</v>
      </c>
      <c r="D122" s="16" t="str">
        <f t="shared" si="2"/>
        <v>0</v>
      </c>
      <c r="E122" s="16">
        <f>'[1]BP-Wom'!D114</f>
        <v>0</v>
      </c>
      <c r="F122" s="17">
        <f>'[1]BP-Wom'!E114</f>
        <v>0</v>
      </c>
      <c r="G122" s="16">
        <f>'[1]BP-Wom'!F114</f>
        <v>0</v>
      </c>
    </row>
    <row r="123" spans="1:7" x14ac:dyDescent="0.25">
      <c r="A123" s="28">
        <f>'[1]BP-Wom'!A115</f>
        <v>75</v>
      </c>
      <c r="B123" s="16">
        <f>'[1]BP-Wom'!B115</f>
        <v>0</v>
      </c>
      <c r="C123" s="16">
        <f>'[1]BP-Wom'!C115</f>
        <v>0</v>
      </c>
      <c r="D123" s="16" t="str">
        <f t="shared" si="2"/>
        <v>0</v>
      </c>
      <c r="E123" s="16">
        <f>'[1]BP-Wom'!D115</f>
        <v>0</v>
      </c>
      <c r="F123" s="17">
        <f>'[1]BP-Wom'!E115</f>
        <v>0</v>
      </c>
      <c r="G123" s="16">
        <f>'[1]BP-Wom'!F115</f>
        <v>0</v>
      </c>
    </row>
    <row r="124" spans="1:7" x14ac:dyDescent="0.25">
      <c r="A124" s="28">
        <f>'[1]BP-Wom'!A116</f>
        <v>82.5</v>
      </c>
      <c r="B124" s="16">
        <f>'[1]BP-Wom'!B116</f>
        <v>0</v>
      </c>
      <c r="C124" s="16">
        <f>'[1]BP-Wom'!C116</f>
        <v>0</v>
      </c>
      <c r="D124" s="16" t="str">
        <f t="shared" si="2"/>
        <v>0</v>
      </c>
      <c r="E124" s="16">
        <f>'[1]BP-Wom'!D116</f>
        <v>0</v>
      </c>
      <c r="F124" s="17">
        <f>'[1]BP-Wom'!E116</f>
        <v>0</v>
      </c>
      <c r="G124" s="16">
        <f>'[1]BP-Wom'!F116</f>
        <v>0</v>
      </c>
    </row>
    <row r="125" spans="1:7" x14ac:dyDescent="0.25">
      <c r="A125" s="28">
        <f>'[1]BP-Wom'!A117</f>
        <v>90</v>
      </c>
      <c r="B125" s="16">
        <f>'[1]BP-Wom'!B117</f>
        <v>0</v>
      </c>
      <c r="C125" s="16">
        <f>'[1]BP-Wom'!C117</f>
        <v>0</v>
      </c>
      <c r="D125" s="16" t="str">
        <f t="shared" si="2"/>
        <v>0</v>
      </c>
      <c r="E125" s="16">
        <f>'[1]BP-Wom'!D117</f>
        <v>0</v>
      </c>
      <c r="F125" s="17">
        <f>'[1]BP-Wom'!E117</f>
        <v>0</v>
      </c>
      <c r="G125" s="16">
        <f>'[1]BP-Wom'!F117</f>
        <v>0</v>
      </c>
    </row>
    <row r="126" spans="1:7" x14ac:dyDescent="0.25">
      <c r="A126" s="28" t="str">
        <f>'[1]BP-Wom'!A118</f>
        <v>90+</v>
      </c>
      <c r="B126" s="16">
        <f>'[1]BP-Wom'!B118</f>
        <v>0</v>
      </c>
      <c r="C126" s="16">
        <f>'[1]BP-Wom'!C118</f>
        <v>0</v>
      </c>
      <c r="D126" s="16" t="str">
        <f t="shared" si="2"/>
        <v>0</v>
      </c>
      <c r="E126" s="16">
        <f>'[1]BP-Wom'!D118</f>
        <v>0</v>
      </c>
      <c r="F126" s="17">
        <f>'[1]BP-Wom'!E118</f>
        <v>0</v>
      </c>
      <c r="G126" s="16">
        <f>'[1]BP-Wom'!F118</f>
        <v>0</v>
      </c>
    </row>
    <row r="128" spans="1:7" s="11" customFormat="1" x14ac:dyDescent="0.25">
      <c r="A128" s="22" t="s">
        <v>0</v>
      </c>
      <c r="B128" s="11">
        <v>0</v>
      </c>
      <c r="C128" s="11">
        <v>75</v>
      </c>
      <c r="D128" s="11" t="str">
        <f>'[1]BP-Wom'!B119</f>
        <v>МАСТЕРС-8(75-79)</v>
      </c>
      <c r="F128" s="13"/>
    </row>
    <row r="129" spans="1:7" x14ac:dyDescent="0.25">
      <c r="A129" s="28">
        <f>'[1]BP-Wom'!A120</f>
        <v>44</v>
      </c>
      <c r="B129" s="16">
        <f>'[1]BP-Wom'!B120</f>
        <v>0</v>
      </c>
      <c r="C129" s="16">
        <f>'[1]BP-Wom'!C120</f>
        <v>0</v>
      </c>
      <c r="D129" s="16" t="str">
        <f t="shared" si="2"/>
        <v>0</v>
      </c>
      <c r="E129" s="16">
        <f>'[1]BP-Wom'!D120</f>
        <v>0</v>
      </c>
      <c r="F129" s="17">
        <f>'[1]BP-Wom'!E120</f>
        <v>0</v>
      </c>
      <c r="G129" s="16">
        <f>'[1]BP-Wom'!F120</f>
        <v>0</v>
      </c>
    </row>
    <row r="130" spans="1:7" x14ac:dyDescent="0.25">
      <c r="A130" s="28">
        <f>'[1]BP-Wom'!A121</f>
        <v>48</v>
      </c>
      <c r="B130" s="16">
        <f>'[1]BP-Wom'!B121</f>
        <v>0</v>
      </c>
      <c r="C130" s="16">
        <f>'[1]BP-Wom'!C121</f>
        <v>0</v>
      </c>
      <c r="D130" s="16" t="str">
        <f t="shared" si="2"/>
        <v>0</v>
      </c>
      <c r="E130" s="16">
        <f>'[1]BP-Wom'!D121</f>
        <v>0</v>
      </c>
      <c r="F130" s="17">
        <f>'[1]BP-Wom'!E121</f>
        <v>0</v>
      </c>
      <c r="G130" s="16">
        <f>'[1]BP-Wom'!F121</f>
        <v>0</v>
      </c>
    </row>
    <row r="131" spans="1:7" x14ac:dyDescent="0.25">
      <c r="A131" s="28">
        <f>'[1]BP-Wom'!A122</f>
        <v>52</v>
      </c>
      <c r="B131" s="16">
        <f>'[1]BP-Wom'!B122</f>
        <v>0</v>
      </c>
      <c r="C131" s="16">
        <f>'[1]BP-Wom'!C122</f>
        <v>0</v>
      </c>
      <c r="D131" s="16" t="str">
        <f t="shared" si="2"/>
        <v>0</v>
      </c>
      <c r="E131" s="16">
        <f>'[1]BP-Wom'!D122</f>
        <v>0</v>
      </c>
      <c r="F131" s="17">
        <f>'[1]BP-Wom'!E122</f>
        <v>0</v>
      </c>
      <c r="G131" s="16">
        <f>'[1]BP-Wom'!F122</f>
        <v>0</v>
      </c>
    </row>
    <row r="132" spans="1:7" x14ac:dyDescent="0.25">
      <c r="A132" s="28">
        <f>'[1]BP-Wom'!A123</f>
        <v>56</v>
      </c>
      <c r="B132" s="16">
        <f>'[1]BP-Wom'!B123</f>
        <v>0</v>
      </c>
      <c r="C132" s="16">
        <f>'[1]BP-Wom'!C123</f>
        <v>0</v>
      </c>
      <c r="D132" s="16" t="str">
        <f t="shared" si="2"/>
        <v>0</v>
      </c>
      <c r="E132" s="16">
        <f>'[1]BP-Wom'!D123</f>
        <v>0</v>
      </c>
      <c r="F132" s="17">
        <f>'[1]BP-Wom'!E123</f>
        <v>0</v>
      </c>
      <c r="G132" s="16">
        <f>'[1]BP-Wom'!F123</f>
        <v>0</v>
      </c>
    </row>
    <row r="133" spans="1:7" x14ac:dyDescent="0.25">
      <c r="A133" s="28">
        <f>'[1]BP-Wom'!A124</f>
        <v>60</v>
      </c>
      <c r="B133" s="16">
        <f>'[1]BP-Wom'!B124</f>
        <v>0</v>
      </c>
      <c r="C133" s="16">
        <f>'[1]BP-Wom'!C124</f>
        <v>0</v>
      </c>
      <c r="D133" s="16" t="str">
        <f t="shared" si="2"/>
        <v>0</v>
      </c>
      <c r="E133" s="16">
        <f>'[1]BP-Wom'!D124</f>
        <v>0</v>
      </c>
      <c r="F133" s="17">
        <f>'[1]BP-Wom'!E124</f>
        <v>0</v>
      </c>
      <c r="G133" s="16">
        <f>'[1]BP-Wom'!F124</f>
        <v>0</v>
      </c>
    </row>
    <row r="134" spans="1:7" x14ac:dyDescent="0.25">
      <c r="A134" s="28">
        <f>'[1]BP-Wom'!A125</f>
        <v>67.5</v>
      </c>
      <c r="B134" s="16">
        <f>'[1]BP-Wom'!B125</f>
        <v>0</v>
      </c>
      <c r="C134" s="16">
        <f>'[1]BP-Wom'!C125</f>
        <v>0</v>
      </c>
      <c r="D134" s="16" t="str">
        <f t="shared" si="2"/>
        <v>0</v>
      </c>
      <c r="E134" s="16">
        <f>'[1]BP-Wom'!D125</f>
        <v>0</v>
      </c>
      <c r="F134" s="17">
        <f>'[1]BP-Wom'!E125</f>
        <v>0</v>
      </c>
      <c r="G134" s="16">
        <f>'[1]BP-Wom'!F125</f>
        <v>0</v>
      </c>
    </row>
    <row r="135" spans="1:7" x14ac:dyDescent="0.25">
      <c r="A135" s="28">
        <f>'[1]BP-Wom'!A126</f>
        <v>75</v>
      </c>
      <c r="B135" s="16">
        <f>'[1]BP-Wom'!B126</f>
        <v>46</v>
      </c>
      <c r="C135" s="16" t="str">
        <f>'[1]BP-Wom'!C126</f>
        <v>Цверова Галина/31</v>
      </c>
      <c r="D135" s="16" t="str">
        <f t="shared" si="2"/>
        <v>31</v>
      </c>
      <c r="E135" s="16" t="str">
        <f>'[1]BP-Wom'!D126</f>
        <v>Сочи</v>
      </c>
      <c r="F135" s="17">
        <f>'[1]BP-Wom'!E126</f>
        <v>40088</v>
      </c>
      <c r="G135" s="16" t="str">
        <f>'[1]BP-Wom'!F126</f>
        <v>Ростов</v>
      </c>
    </row>
    <row r="136" spans="1:7" x14ac:dyDescent="0.25">
      <c r="A136" s="28">
        <f>'[1]BP-Wom'!A127</f>
        <v>82.5</v>
      </c>
      <c r="B136" s="16">
        <f>'[1]BP-Wom'!B127</f>
        <v>0</v>
      </c>
      <c r="C136" s="16">
        <f>'[1]BP-Wom'!C127</f>
        <v>0</v>
      </c>
      <c r="D136" s="16" t="str">
        <f t="shared" si="2"/>
        <v>0</v>
      </c>
      <c r="E136" s="16">
        <f>'[1]BP-Wom'!D127</f>
        <v>0</v>
      </c>
      <c r="F136" s="17">
        <f>'[1]BP-Wom'!E127</f>
        <v>0</v>
      </c>
      <c r="G136" s="16">
        <f>'[1]BP-Wom'!F127</f>
        <v>0</v>
      </c>
    </row>
    <row r="137" spans="1:7" x14ac:dyDescent="0.25">
      <c r="A137" s="28">
        <f>'[1]BP-Wom'!A128</f>
        <v>90</v>
      </c>
      <c r="B137" s="16">
        <f>'[1]BP-Wom'!B128</f>
        <v>0</v>
      </c>
      <c r="C137" s="16">
        <f>'[1]BP-Wom'!C128</f>
        <v>0</v>
      </c>
      <c r="D137" s="16" t="str">
        <f t="shared" si="2"/>
        <v>0</v>
      </c>
      <c r="E137" s="16">
        <f>'[1]BP-Wom'!D128</f>
        <v>0</v>
      </c>
      <c r="F137" s="17">
        <f>'[1]BP-Wom'!E128</f>
        <v>0</v>
      </c>
      <c r="G137" s="16">
        <f>'[1]BP-Wom'!F128</f>
        <v>0</v>
      </c>
    </row>
    <row r="138" spans="1:7" x14ac:dyDescent="0.25">
      <c r="A138" s="28" t="str">
        <f>'[1]BP-Wom'!A129</f>
        <v>90+</v>
      </c>
      <c r="B138" s="16">
        <f>'[1]BP-Wom'!B129</f>
        <v>0</v>
      </c>
      <c r="C138" s="16">
        <f>'[1]BP-Wom'!C129</f>
        <v>0</v>
      </c>
      <c r="D138" s="16" t="str">
        <f t="shared" si="2"/>
        <v>0</v>
      </c>
      <c r="E138" s="16">
        <f>'[1]BP-Wom'!D129</f>
        <v>0</v>
      </c>
      <c r="F138" s="17">
        <f>'[1]BP-Wom'!E129</f>
        <v>0</v>
      </c>
      <c r="G138" s="16">
        <f>'[1]BP-Wom'!F129</f>
        <v>0</v>
      </c>
    </row>
    <row r="140" spans="1:7" s="11" customFormat="1" x14ac:dyDescent="0.25">
      <c r="A140" s="22" t="s">
        <v>0</v>
      </c>
      <c r="B140" s="11">
        <v>0</v>
      </c>
      <c r="C140" s="11">
        <v>80</v>
      </c>
      <c r="D140" s="11" t="str">
        <f>'[1]BP-Wom'!B130</f>
        <v>МАСТЕРС-9(80-84)</v>
      </c>
      <c r="F140" s="13"/>
    </row>
    <row r="141" spans="1:7" x14ac:dyDescent="0.25">
      <c r="A141" s="28">
        <f>'[1]BP-Wom'!A131</f>
        <v>44</v>
      </c>
      <c r="B141" s="16">
        <f>'[1]BP-Wom'!B131</f>
        <v>0</v>
      </c>
      <c r="C141" s="16">
        <f>'[1]BP-Wom'!C131</f>
        <v>0</v>
      </c>
      <c r="D141" s="16" t="str">
        <f t="shared" si="2"/>
        <v>0</v>
      </c>
      <c r="E141" s="16">
        <f>'[1]BP-Wom'!D131</f>
        <v>0</v>
      </c>
      <c r="F141" s="17">
        <f>'[1]BP-Wom'!E131</f>
        <v>0</v>
      </c>
      <c r="G141" s="16">
        <f>'[1]BP-Wom'!F131</f>
        <v>0</v>
      </c>
    </row>
    <row r="142" spans="1:7" x14ac:dyDescent="0.25">
      <c r="A142" s="28">
        <f>'[1]BP-Wom'!A132</f>
        <v>48</v>
      </c>
      <c r="B142" s="16">
        <f>'[1]BP-Wom'!B132</f>
        <v>0</v>
      </c>
      <c r="C142" s="16">
        <f>'[1]BP-Wom'!C132</f>
        <v>0</v>
      </c>
      <c r="D142" s="16" t="str">
        <f t="shared" si="2"/>
        <v>0</v>
      </c>
      <c r="E142" s="16">
        <f>'[1]BP-Wom'!D132</f>
        <v>0</v>
      </c>
      <c r="F142" s="17">
        <f>'[1]BP-Wom'!E132</f>
        <v>0</v>
      </c>
      <c r="G142" s="16">
        <f>'[1]BP-Wom'!F132</f>
        <v>0</v>
      </c>
    </row>
    <row r="143" spans="1:7" x14ac:dyDescent="0.25">
      <c r="A143" s="28">
        <f>'[1]BP-Wom'!A133</f>
        <v>52</v>
      </c>
      <c r="B143" s="16">
        <f>'[1]BP-Wom'!B133</f>
        <v>0</v>
      </c>
      <c r="C143" s="16">
        <f>'[1]BP-Wom'!C133</f>
        <v>0</v>
      </c>
      <c r="D143" s="16" t="str">
        <f t="shared" si="2"/>
        <v>0</v>
      </c>
      <c r="E143" s="16">
        <f>'[1]BP-Wom'!D133</f>
        <v>0</v>
      </c>
      <c r="F143" s="17">
        <f>'[1]BP-Wom'!E133</f>
        <v>0</v>
      </c>
      <c r="G143" s="16">
        <f>'[1]BP-Wom'!F133</f>
        <v>0</v>
      </c>
    </row>
    <row r="144" spans="1:7" x14ac:dyDescent="0.25">
      <c r="A144" s="28">
        <f>'[1]BP-Wom'!A134</f>
        <v>56</v>
      </c>
      <c r="B144" s="16">
        <f>'[1]BP-Wom'!B134</f>
        <v>0</v>
      </c>
      <c r="C144" s="16">
        <f>'[1]BP-Wom'!C134</f>
        <v>0</v>
      </c>
      <c r="D144" s="16" t="str">
        <f t="shared" si="2"/>
        <v>0</v>
      </c>
      <c r="E144" s="16">
        <f>'[1]BP-Wom'!D134</f>
        <v>0</v>
      </c>
      <c r="F144" s="17">
        <f>'[1]BP-Wom'!E134</f>
        <v>0</v>
      </c>
      <c r="G144" s="16">
        <f>'[1]BP-Wom'!F134</f>
        <v>0</v>
      </c>
    </row>
    <row r="145" spans="1:7" x14ac:dyDescent="0.25">
      <c r="A145" s="28">
        <f>'[1]BP-Wom'!A135</f>
        <v>60</v>
      </c>
      <c r="B145" s="16">
        <f>'[1]BP-Wom'!B135</f>
        <v>0</v>
      </c>
      <c r="C145" s="16">
        <f>'[1]BP-Wom'!C135</f>
        <v>0</v>
      </c>
      <c r="D145" s="16" t="str">
        <f t="shared" si="2"/>
        <v>0</v>
      </c>
      <c r="E145" s="16">
        <f>'[1]BP-Wom'!D135</f>
        <v>0</v>
      </c>
      <c r="F145" s="17">
        <f>'[1]BP-Wom'!E135</f>
        <v>0</v>
      </c>
      <c r="G145" s="16">
        <f>'[1]BP-Wom'!F135</f>
        <v>0</v>
      </c>
    </row>
    <row r="146" spans="1:7" x14ac:dyDescent="0.25">
      <c r="A146" s="28">
        <f>'[1]BP-Wom'!A136</f>
        <v>67.5</v>
      </c>
      <c r="B146" s="16">
        <f>'[1]BP-Wom'!B136</f>
        <v>0</v>
      </c>
      <c r="C146" s="16">
        <f>'[1]BP-Wom'!C136</f>
        <v>0</v>
      </c>
      <c r="D146" s="16" t="str">
        <f t="shared" si="2"/>
        <v>0</v>
      </c>
      <c r="E146" s="16">
        <f>'[1]BP-Wom'!D136</f>
        <v>0</v>
      </c>
      <c r="F146" s="17">
        <f>'[1]BP-Wom'!E136</f>
        <v>0</v>
      </c>
      <c r="G146" s="16">
        <f>'[1]BP-Wom'!F136</f>
        <v>0</v>
      </c>
    </row>
    <row r="147" spans="1:7" x14ac:dyDescent="0.25">
      <c r="A147" s="28">
        <f>'[1]BP-Wom'!A137</f>
        <v>75</v>
      </c>
      <c r="B147" s="16">
        <f>'[1]BP-Wom'!B137</f>
        <v>50</v>
      </c>
      <c r="C147" s="16" t="str">
        <f>'[1]BP-Wom'!C137</f>
        <v>Цверова Галина/31</v>
      </c>
      <c r="D147" s="16" t="str">
        <f t="shared" si="2"/>
        <v>31</v>
      </c>
      <c r="E147" s="16" t="str">
        <f>'[1]BP-Wom'!D137</f>
        <v>Сочи</v>
      </c>
      <c r="F147" s="17">
        <f>'[1]BP-Wom'!E137</f>
        <v>41201</v>
      </c>
      <c r="G147" s="16" t="str">
        <f>'[1]BP-Wom'!F137</f>
        <v>Краснодар</v>
      </c>
    </row>
    <row r="148" spans="1:7" x14ac:dyDescent="0.25">
      <c r="A148" s="28">
        <f>'[1]BP-Wom'!A138</f>
        <v>82.5</v>
      </c>
      <c r="B148" s="16">
        <f>'[1]BP-Wom'!B138</f>
        <v>0</v>
      </c>
      <c r="C148" s="16">
        <f>'[1]BP-Wom'!C138</f>
        <v>0</v>
      </c>
      <c r="D148" s="16" t="str">
        <f t="shared" si="2"/>
        <v>0</v>
      </c>
      <c r="E148" s="16">
        <f>'[1]BP-Wom'!D138</f>
        <v>0</v>
      </c>
      <c r="F148" s="17">
        <f>'[1]BP-Wom'!E138</f>
        <v>0</v>
      </c>
      <c r="G148" s="16">
        <f>'[1]BP-Wom'!F138</f>
        <v>0</v>
      </c>
    </row>
    <row r="149" spans="1:7" x14ac:dyDescent="0.25">
      <c r="A149" s="28">
        <f>'[1]BP-Wom'!A139</f>
        <v>90</v>
      </c>
      <c r="B149" s="16">
        <f>'[1]BP-Wom'!B139</f>
        <v>0</v>
      </c>
      <c r="C149" s="16">
        <f>'[1]BP-Wom'!C139</f>
        <v>0</v>
      </c>
      <c r="D149" s="16" t="str">
        <f t="shared" si="2"/>
        <v>0</v>
      </c>
      <c r="E149" s="16">
        <f>'[1]BP-Wom'!D139</f>
        <v>0</v>
      </c>
      <c r="F149" s="17">
        <f>'[1]BP-Wom'!E139</f>
        <v>0</v>
      </c>
      <c r="G149" s="16">
        <f>'[1]BP-Wom'!F139</f>
        <v>0</v>
      </c>
    </row>
    <row r="150" spans="1:7" x14ac:dyDescent="0.25">
      <c r="A150" s="28" t="str">
        <f>'[1]BP-Wom'!A140</f>
        <v>90+</v>
      </c>
      <c r="B150" s="16">
        <f>'[1]BP-Wom'!B140</f>
        <v>0</v>
      </c>
      <c r="C150" s="16">
        <f>'[1]BP-Wom'!C140</f>
        <v>0</v>
      </c>
      <c r="D150" s="16" t="str">
        <f t="shared" ref="D150:D163" si="3">RIGHT(C150,2)</f>
        <v>0</v>
      </c>
      <c r="E150" s="16">
        <f>'[1]BP-Wom'!D140</f>
        <v>0</v>
      </c>
      <c r="F150" s="17">
        <f>'[1]BP-Wom'!E140</f>
        <v>0</v>
      </c>
      <c r="G150" s="16">
        <f>'[1]BP-Wom'!F140</f>
        <v>0</v>
      </c>
    </row>
    <row r="151" spans="1:7" x14ac:dyDescent="0.25">
      <c r="A151" s="28">
        <f>'[1]BP-Wom'!A141</f>
        <v>0</v>
      </c>
      <c r="B151" s="16">
        <f>'[1]BP-Wom'!B141</f>
        <v>0</v>
      </c>
      <c r="C151" s="16">
        <f>'[1]BP-Wom'!C141</f>
        <v>0</v>
      </c>
      <c r="D151" s="16" t="str">
        <f t="shared" si="3"/>
        <v>0</v>
      </c>
      <c r="E151" s="16">
        <f>'[1]BP-Wom'!D141</f>
        <v>0</v>
      </c>
      <c r="F151" s="17">
        <f>'[1]BP-Wom'!E141</f>
        <v>0</v>
      </c>
      <c r="G151" s="16">
        <f>'[1]BP-Wom'!F141</f>
        <v>0</v>
      </c>
    </row>
    <row r="152" spans="1:7" x14ac:dyDescent="0.25">
      <c r="A152" s="28">
        <f>'[1]BP-Wom'!A142</f>
        <v>0</v>
      </c>
      <c r="B152" s="16">
        <f>'[1]BP-Wom'!B142</f>
        <v>0</v>
      </c>
      <c r="C152" s="16">
        <f>'[1]BP-Wom'!C142</f>
        <v>0</v>
      </c>
      <c r="D152" s="16" t="str">
        <f t="shared" si="3"/>
        <v>0</v>
      </c>
      <c r="E152" s="16">
        <f>'[1]BP-Wom'!D142</f>
        <v>0</v>
      </c>
      <c r="F152" s="17">
        <f>'[1]BP-Wom'!E142</f>
        <v>0</v>
      </c>
      <c r="G152" s="16">
        <f>'[1]BP-Wom'!F142</f>
        <v>0</v>
      </c>
    </row>
    <row r="153" spans="1:7" x14ac:dyDescent="0.25">
      <c r="A153" s="28">
        <f>'[1]BP-Wom'!A143</f>
        <v>0</v>
      </c>
      <c r="B153" s="16">
        <f>'[1]BP-Wom'!B143</f>
        <v>0</v>
      </c>
      <c r="C153" s="16">
        <f>'[1]BP-Wom'!C143</f>
        <v>0</v>
      </c>
      <c r="D153" s="16" t="str">
        <f t="shared" si="3"/>
        <v>0</v>
      </c>
      <c r="E153" s="16">
        <f>'[1]BP-Wom'!D143</f>
        <v>0</v>
      </c>
      <c r="F153" s="17">
        <f>'[1]BP-Wom'!E143</f>
        <v>0</v>
      </c>
      <c r="G153" s="16">
        <f>'[1]BP-Wom'!F143</f>
        <v>0</v>
      </c>
    </row>
    <row r="154" spans="1:7" x14ac:dyDescent="0.25">
      <c r="A154" s="28">
        <f>'[1]BP-Wom'!A144</f>
        <v>0</v>
      </c>
      <c r="B154" s="16">
        <f>'[1]BP-Wom'!B144</f>
        <v>0</v>
      </c>
      <c r="C154" s="16">
        <f>'[1]BP-Wom'!C144</f>
        <v>0</v>
      </c>
      <c r="D154" s="16" t="str">
        <f t="shared" si="3"/>
        <v>0</v>
      </c>
      <c r="E154" s="16">
        <f>'[1]BP-Wom'!D144</f>
        <v>0</v>
      </c>
      <c r="F154" s="17">
        <f>'[1]BP-Wom'!E144</f>
        <v>0</v>
      </c>
      <c r="G154" s="16">
        <f>'[1]BP-Wom'!F144</f>
        <v>0</v>
      </c>
    </row>
    <row r="155" spans="1:7" x14ac:dyDescent="0.25">
      <c r="A155" s="28">
        <f>'[1]BP-Wom'!A145</f>
        <v>0</v>
      </c>
      <c r="B155" s="16">
        <f>'[1]BP-Wom'!B145</f>
        <v>0</v>
      </c>
      <c r="C155" s="16">
        <f>'[1]BP-Wom'!C145</f>
        <v>0</v>
      </c>
      <c r="D155" s="16" t="str">
        <f t="shared" si="3"/>
        <v>0</v>
      </c>
      <c r="E155" s="16">
        <f>'[1]BP-Wom'!D145</f>
        <v>0</v>
      </c>
      <c r="F155" s="17">
        <f>'[1]BP-Wom'!E145</f>
        <v>0</v>
      </c>
      <c r="G155" s="16">
        <f>'[1]BP-Wom'!F145</f>
        <v>0</v>
      </c>
    </row>
    <row r="156" spans="1:7" x14ac:dyDescent="0.25">
      <c r="A156" s="28">
        <f>'[1]BP-Wom'!A146</f>
        <v>0</v>
      </c>
      <c r="B156" s="16">
        <f>'[1]BP-Wom'!B146</f>
        <v>0</v>
      </c>
      <c r="C156" s="16">
        <f>'[1]BP-Wom'!C146</f>
        <v>0</v>
      </c>
      <c r="D156" s="16" t="str">
        <f t="shared" si="3"/>
        <v>0</v>
      </c>
      <c r="E156" s="16">
        <f>'[1]BP-Wom'!D146</f>
        <v>0</v>
      </c>
      <c r="F156" s="17">
        <f>'[1]BP-Wom'!E146</f>
        <v>0</v>
      </c>
      <c r="G156" s="16">
        <f>'[1]BP-Wom'!F146</f>
        <v>0</v>
      </c>
    </row>
    <row r="157" spans="1:7" x14ac:dyDescent="0.25">
      <c r="A157" s="28">
        <f>'[1]BP-Wom'!A147</f>
        <v>0</v>
      </c>
      <c r="B157" s="16">
        <f>'[1]BP-Wom'!B147</f>
        <v>0</v>
      </c>
      <c r="C157" s="16">
        <f>'[1]BP-Wom'!C147</f>
        <v>0</v>
      </c>
      <c r="D157" s="16" t="str">
        <f t="shared" si="3"/>
        <v>0</v>
      </c>
      <c r="E157" s="16">
        <f>'[1]BP-Wom'!D147</f>
        <v>0</v>
      </c>
      <c r="F157" s="17">
        <f>'[1]BP-Wom'!E147</f>
        <v>0</v>
      </c>
      <c r="G157" s="16">
        <f>'[1]BP-Wom'!F147</f>
        <v>0</v>
      </c>
    </row>
    <row r="158" spans="1:7" x14ac:dyDescent="0.25">
      <c r="A158" s="28">
        <f>'[1]BP-Wom'!A148</f>
        <v>0</v>
      </c>
      <c r="B158" s="16">
        <f>'[1]BP-Wom'!B148</f>
        <v>0</v>
      </c>
      <c r="C158" s="16">
        <f>'[1]BP-Wom'!C148</f>
        <v>0</v>
      </c>
      <c r="D158" s="16" t="str">
        <f t="shared" si="3"/>
        <v>0</v>
      </c>
      <c r="E158" s="16">
        <f>'[1]BP-Wom'!D148</f>
        <v>0</v>
      </c>
      <c r="F158" s="17">
        <f>'[1]BP-Wom'!E148</f>
        <v>0</v>
      </c>
      <c r="G158" s="16">
        <f>'[1]BP-Wom'!F148</f>
        <v>0</v>
      </c>
    </row>
    <row r="159" spans="1:7" x14ac:dyDescent="0.25">
      <c r="A159" s="28">
        <f>'[1]BP-Wom'!A149</f>
        <v>0</v>
      </c>
      <c r="B159" s="16">
        <f>'[1]BP-Wom'!B149</f>
        <v>0</v>
      </c>
      <c r="C159" s="16">
        <f>'[1]BP-Wom'!C149</f>
        <v>0</v>
      </c>
      <c r="D159" s="16" t="str">
        <f t="shared" si="3"/>
        <v>0</v>
      </c>
      <c r="E159" s="16">
        <f>'[1]BP-Wom'!D149</f>
        <v>0</v>
      </c>
      <c r="F159" s="17">
        <f>'[1]BP-Wom'!E149</f>
        <v>0</v>
      </c>
      <c r="G159" s="16">
        <f>'[1]BP-Wom'!F149</f>
        <v>0</v>
      </c>
    </row>
    <row r="160" spans="1:7" x14ac:dyDescent="0.25">
      <c r="A160" s="28">
        <f>'[1]BP-Wom'!A150</f>
        <v>0</v>
      </c>
      <c r="B160" s="16">
        <f>'[1]BP-Wom'!B150</f>
        <v>0</v>
      </c>
      <c r="C160" s="16">
        <f>'[1]BP-Wom'!C150</f>
        <v>0</v>
      </c>
      <c r="D160" s="16" t="str">
        <f t="shared" si="3"/>
        <v>0</v>
      </c>
      <c r="E160" s="16">
        <f>'[1]BP-Wom'!D150</f>
        <v>0</v>
      </c>
      <c r="F160" s="17">
        <f>'[1]BP-Wom'!E150</f>
        <v>0</v>
      </c>
      <c r="G160" s="16">
        <f>'[1]BP-Wom'!F150</f>
        <v>0</v>
      </c>
    </row>
    <row r="161" spans="1:7" x14ac:dyDescent="0.25">
      <c r="A161" s="28">
        <f>'[1]BP-Wom'!A151</f>
        <v>0</v>
      </c>
      <c r="B161" s="16">
        <f>'[1]BP-Wom'!B151</f>
        <v>0</v>
      </c>
      <c r="C161" s="16">
        <f>'[1]BP-Wom'!C151</f>
        <v>0</v>
      </c>
      <c r="D161" s="16" t="str">
        <f t="shared" si="3"/>
        <v>0</v>
      </c>
      <c r="E161" s="16">
        <f>'[1]BP-Wom'!D151</f>
        <v>0</v>
      </c>
      <c r="F161" s="17">
        <f>'[1]BP-Wom'!E151</f>
        <v>0</v>
      </c>
      <c r="G161" s="16">
        <f>'[1]BP-Wom'!F151</f>
        <v>0</v>
      </c>
    </row>
    <row r="162" spans="1:7" x14ac:dyDescent="0.25">
      <c r="A162" s="28">
        <f>'[1]BP-Wom'!A152</f>
        <v>0</v>
      </c>
      <c r="B162" s="16">
        <f>'[1]BP-Wom'!B152</f>
        <v>0</v>
      </c>
      <c r="C162" s="16">
        <f>'[1]BP-Wom'!C152</f>
        <v>0</v>
      </c>
      <c r="D162" s="16" t="str">
        <f t="shared" si="3"/>
        <v>0</v>
      </c>
      <c r="E162" s="16">
        <f>'[1]BP-Wom'!D152</f>
        <v>0</v>
      </c>
      <c r="F162" s="17">
        <f>'[1]BP-Wom'!E152</f>
        <v>0</v>
      </c>
      <c r="G162" s="16">
        <f>'[1]BP-Wom'!F152</f>
        <v>0</v>
      </c>
    </row>
    <row r="163" spans="1:7" x14ac:dyDescent="0.25">
      <c r="A163" s="28">
        <f>'[1]BP-Wom'!A153</f>
        <v>0</v>
      </c>
      <c r="B163" s="16">
        <f>'[1]BP-Wom'!B153</f>
        <v>0</v>
      </c>
      <c r="C163" s="16">
        <f>'[1]BP-Wom'!C153</f>
        <v>0</v>
      </c>
      <c r="D163" s="16" t="str">
        <f t="shared" si="3"/>
        <v>0</v>
      </c>
      <c r="E163" s="16">
        <f>'[1]BP-Wom'!D153</f>
        <v>0</v>
      </c>
      <c r="F163" s="17">
        <f>'[1]BP-Wom'!E153</f>
        <v>0</v>
      </c>
      <c r="G163" s="16">
        <f>'[1]BP-Wom'!F153</f>
        <v>0</v>
      </c>
    </row>
    <row r="166" spans="1:7" x14ac:dyDescent="0.25">
      <c r="B166" s="16" t="str">
        <f>'[1]BP-Men'!B1</f>
        <v>Рекорды  AWPC BP Raw - Россия</v>
      </c>
      <c r="C166" s="16">
        <f>'[1]BP-Men'!C1</f>
        <v>0</v>
      </c>
      <c r="D166" s="16" t="str">
        <f t="shared" ref="D166:D194" si="4">RIGHT(C166,2)</f>
        <v>0</v>
      </c>
      <c r="E166" s="16">
        <f>'[1]BP-Men'!D1</f>
        <v>0</v>
      </c>
      <c r="F166" s="17">
        <f>'[1]BP-Men'!E1</f>
        <v>0</v>
      </c>
      <c r="G166" s="16">
        <f>'[1]BP-Men'!F1</f>
        <v>0</v>
      </c>
    </row>
    <row r="167" spans="1:7" s="11" customFormat="1" x14ac:dyDescent="0.25">
      <c r="A167" s="22" t="s">
        <v>0</v>
      </c>
      <c r="B167" s="11">
        <v>1</v>
      </c>
      <c r="C167" s="11">
        <v>13</v>
      </c>
      <c r="D167" s="11" t="str">
        <f>'[1]BP-Men'!B2</f>
        <v>ЮНОШИ  (13 - 15)</v>
      </c>
      <c r="F167" s="13"/>
    </row>
    <row r="168" spans="1:7" x14ac:dyDescent="0.25">
      <c r="A168" s="28">
        <f>'[1]BP-Men'!A3</f>
        <v>52</v>
      </c>
      <c r="B168" s="16">
        <f>'[1]BP-Men'!B3</f>
        <v>82.5</v>
      </c>
      <c r="C168" s="16" t="str">
        <f>'[1]BP-Men'!C3</f>
        <v>Старилов Виталий/94</v>
      </c>
      <c r="D168" s="16" t="str">
        <f t="shared" si="4"/>
        <v>94</v>
      </c>
      <c r="E168" s="16" t="str">
        <f>'[1]BP-Men'!D3</f>
        <v>Воронеж</v>
      </c>
      <c r="F168" s="17">
        <f>'[1]BP-Men'!E3</f>
        <v>40257</v>
      </c>
      <c r="G168" s="16" t="str">
        <f>'[1]BP-Men'!F3</f>
        <v>Курск</v>
      </c>
    </row>
    <row r="169" spans="1:7" x14ac:dyDescent="0.25">
      <c r="A169" s="28">
        <f>'[1]BP-Men'!A4</f>
        <v>56</v>
      </c>
      <c r="B169" s="16">
        <f>'[1]BP-Men'!B4</f>
        <v>92.5</v>
      </c>
      <c r="C169" s="16" t="str">
        <f>'[1]BP-Men'!C4</f>
        <v>Кудрявцев Иван/93</v>
      </c>
      <c r="D169" s="16" t="str">
        <f t="shared" si="4"/>
        <v>93</v>
      </c>
      <c r="E169" s="16" t="str">
        <f>'[1]BP-Men'!D4</f>
        <v>Курган</v>
      </c>
      <c r="F169" s="17">
        <f>'[1]BP-Men'!E4</f>
        <v>39871</v>
      </c>
      <c r="G169" s="16" t="str">
        <f>'[1]BP-Men'!F4</f>
        <v>Челябинск</v>
      </c>
    </row>
    <row r="170" spans="1:7" x14ac:dyDescent="0.25">
      <c r="A170" s="28">
        <f>'[1]BP-Men'!A5</f>
        <v>60</v>
      </c>
      <c r="B170" s="16">
        <f>'[1]BP-Men'!B5</f>
        <v>105</v>
      </c>
      <c r="C170" s="16" t="str">
        <f>'[1]BP-Men'!C5</f>
        <v>Язовских Ярослав/97</v>
      </c>
      <c r="D170" s="16" t="str">
        <f t="shared" si="4"/>
        <v>97</v>
      </c>
      <c r="E170" s="16" t="str">
        <f>'[1]BP-Men'!D5</f>
        <v>Екатеринбург</v>
      </c>
      <c r="F170" s="17">
        <f>'[1]BP-Men'!E5</f>
        <v>40814</v>
      </c>
      <c r="G170" s="16" t="str">
        <f>'[1]BP-Men'!F5</f>
        <v>Екатеринбург</v>
      </c>
    </row>
    <row r="171" spans="1:7" x14ac:dyDescent="0.25">
      <c r="A171" s="28" t="str">
        <f>'[1]BP-Men'!A6</f>
        <v>67.5</v>
      </c>
      <c r="B171" s="16">
        <f>'[1]BP-Men'!B6</f>
        <v>112.5</v>
      </c>
      <c r="C171" s="16" t="str">
        <f>'[1]BP-Men'!C6</f>
        <v>Юнг Александр/98</v>
      </c>
      <c r="D171" s="16" t="str">
        <f t="shared" si="4"/>
        <v>98</v>
      </c>
      <c r="E171" s="16" t="str">
        <f>'[1]BP-Men'!D6</f>
        <v>Усть-Тарка</v>
      </c>
      <c r="F171" s="17">
        <f>'[1]BP-Men'!E6</f>
        <v>41503</v>
      </c>
      <c r="G171" s="16" t="str">
        <f>'[1]BP-Men'!F6</f>
        <v>Новосибирск</v>
      </c>
    </row>
    <row r="172" spans="1:7" x14ac:dyDescent="0.25">
      <c r="A172" s="28">
        <f>'[1]BP-Men'!A7</f>
        <v>75</v>
      </c>
      <c r="B172" s="16">
        <f>'[1]BP-Men'!B7</f>
        <v>117.5</v>
      </c>
      <c r="C172" s="16" t="str">
        <f>'[1]BP-Men'!C7</f>
        <v>Тяпкин Сергей/95</v>
      </c>
      <c r="D172" s="16" t="str">
        <f t="shared" si="4"/>
        <v>95</v>
      </c>
      <c r="E172" s="16" t="str">
        <f>'[1]BP-Men'!D7</f>
        <v>Березовский</v>
      </c>
      <c r="F172" s="17">
        <f>'[1]BP-Men'!E7</f>
        <v>40453</v>
      </c>
      <c r="G172" s="16" t="str">
        <f>'[1]BP-Men'!F7</f>
        <v>Екатеринбург</v>
      </c>
    </row>
    <row r="173" spans="1:7" x14ac:dyDescent="0.25">
      <c r="A173" s="28">
        <f>'[1]BP-Men'!A8</f>
        <v>82.5</v>
      </c>
      <c r="B173" s="16">
        <f>'[1]BP-Men'!B8</f>
        <v>115</v>
      </c>
      <c r="C173" s="16" t="str">
        <f>'[1]BP-Men'!C8</f>
        <v>Жуков Игорь/93</v>
      </c>
      <c r="D173" s="16" t="str">
        <f t="shared" si="4"/>
        <v>93</v>
      </c>
      <c r="E173" s="16" t="str">
        <f>'[1]BP-Men'!D8</f>
        <v>Екатеринбург</v>
      </c>
      <c r="F173" s="17">
        <f>'[1]BP-Men'!E8</f>
        <v>39871</v>
      </c>
      <c r="G173" s="16" t="str">
        <f>'[1]BP-Men'!F8</f>
        <v>Челябинск</v>
      </c>
    </row>
    <row r="174" spans="1:7" x14ac:dyDescent="0.25">
      <c r="A174" s="28">
        <f>'[1]BP-Men'!A9</f>
        <v>90</v>
      </c>
      <c r="B174" s="16">
        <f>'[1]BP-Men'!B9</f>
        <v>130</v>
      </c>
      <c r="C174" s="16" t="str">
        <f>'[1]BP-Men'!C9</f>
        <v>Бухарин Александр/99</v>
      </c>
      <c r="D174" s="16" t="str">
        <f t="shared" si="4"/>
        <v>99</v>
      </c>
      <c r="E174" s="16" t="str">
        <f>'[1]BP-Men'!D9</f>
        <v>Москва</v>
      </c>
      <c r="F174" s="17">
        <f>'[1]BP-Men'!E9</f>
        <v>41497</v>
      </c>
      <c r="G174" s="16" t="str">
        <f>'[1]BP-Men'!F9</f>
        <v>Курск</v>
      </c>
    </row>
    <row r="175" spans="1:7" x14ac:dyDescent="0.25">
      <c r="A175" s="28">
        <f>'[1]BP-Men'!A10</f>
        <v>100</v>
      </c>
      <c r="B175" s="16">
        <f>'[1]BP-Men'!B10</f>
        <v>145</v>
      </c>
      <c r="C175" s="16" t="str">
        <f>'[1]BP-Men'!C10</f>
        <v>Бухарин Александр/99</v>
      </c>
      <c r="D175" s="16" t="str">
        <f t="shared" si="4"/>
        <v>99</v>
      </c>
      <c r="E175" s="16" t="str">
        <f>'[1]BP-Men'!D10</f>
        <v>Москва</v>
      </c>
      <c r="F175" s="17" t="str">
        <f>'[1]BP-Men'!E10</f>
        <v>22.08.2014</v>
      </c>
      <c r="G175" s="16" t="str">
        <f>'[1]BP-Men'!F10</f>
        <v>Москва</v>
      </c>
    </row>
    <row r="176" spans="1:7" x14ac:dyDescent="0.25">
      <c r="A176" s="28">
        <f>'[1]BP-Men'!A11</f>
        <v>110</v>
      </c>
      <c r="B176" s="16">
        <f>'[1]BP-Men'!B11</f>
        <v>80</v>
      </c>
      <c r="C176" s="16" t="str">
        <f>'[1]BP-Men'!C11</f>
        <v>Телепов Иван/97</v>
      </c>
      <c r="D176" s="16" t="str">
        <f t="shared" si="4"/>
        <v>97</v>
      </c>
      <c r="E176" s="16" t="str">
        <f>'[1]BP-Men'!D11</f>
        <v>Екатеринбург</v>
      </c>
      <c r="F176" s="17">
        <f>'[1]BP-Men'!E11</f>
        <v>41321</v>
      </c>
      <c r="G176" s="16" t="str">
        <f>'[1]BP-Men'!F11</f>
        <v>Екатеринбург</v>
      </c>
    </row>
    <row r="177" spans="1:7" x14ac:dyDescent="0.25">
      <c r="A177" s="28">
        <f>'[1]BP-Men'!A12</f>
        <v>125</v>
      </c>
      <c r="B177" s="16">
        <f>'[1]BP-Men'!B12</f>
        <v>0</v>
      </c>
      <c r="C177" s="16">
        <f>'[1]BP-Men'!C12</f>
        <v>0</v>
      </c>
      <c r="D177" s="16" t="str">
        <f t="shared" si="4"/>
        <v>0</v>
      </c>
      <c r="E177" s="16">
        <f>'[1]BP-Men'!D12</f>
        <v>0</v>
      </c>
      <c r="F177" s="17">
        <f>'[1]BP-Men'!E12</f>
        <v>0</v>
      </c>
      <c r="G177" s="16">
        <f>'[1]BP-Men'!F12</f>
        <v>0</v>
      </c>
    </row>
    <row r="178" spans="1:7" x14ac:dyDescent="0.25">
      <c r="A178" s="28">
        <f>'[1]BP-Men'!A13</f>
        <v>140</v>
      </c>
      <c r="B178" s="16">
        <f>'[1]BP-Men'!B13</f>
        <v>0</v>
      </c>
      <c r="C178" s="16">
        <f>'[1]BP-Men'!C13</f>
        <v>0</v>
      </c>
      <c r="D178" s="16" t="str">
        <f t="shared" si="4"/>
        <v>0</v>
      </c>
      <c r="E178" s="16">
        <f>'[1]BP-Men'!D13</f>
        <v>0</v>
      </c>
      <c r="F178" s="17">
        <f>'[1]BP-Men'!E13</f>
        <v>0</v>
      </c>
      <c r="G178" s="16">
        <f>'[1]BP-Men'!F13</f>
        <v>0</v>
      </c>
    </row>
    <row r="179" spans="1:7" x14ac:dyDescent="0.25">
      <c r="A179" s="28" t="str">
        <f>'[1]BP-Men'!A14</f>
        <v>140+</v>
      </c>
      <c r="B179" s="16">
        <f>'[1]BP-Men'!B14</f>
        <v>0</v>
      </c>
      <c r="C179" s="16">
        <f>'[1]BP-Men'!C14</f>
        <v>0</v>
      </c>
      <c r="D179" s="16" t="str">
        <f t="shared" si="4"/>
        <v>0</v>
      </c>
      <c r="E179" s="16">
        <f>'[1]BP-Men'!D14</f>
        <v>0</v>
      </c>
      <c r="F179" s="17">
        <f>'[1]BP-Men'!E14</f>
        <v>0</v>
      </c>
      <c r="G179" s="16">
        <f>'[1]BP-Men'!F14</f>
        <v>0</v>
      </c>
    </row>
    <row r="180" spans="1:7" x14ac:dyDescent="0.25">
      <c r="B180" s="16">
        <f>'[1]BP-Men'!B15</f>
        <v>0</v>
      </c>
      <c r="C180" s="16">
        <f>'[1]BP-Men'!C15</f>
        <v>0</v>
      </c>
      <c r="D180" s="16" t="str">
        <f t="shared" si="4"/>
        <v>0</v>
      </c>
      <c r="E180" s="16">
        <f>'[1]BP-Men'!D15</f>
        <v>0</v>
      </c>
      <c r="F180" s="17">
        <f>'[1]BP-Men'!E15</f>
        <v>0</v>
      </c>
      <c r="G180" s="16">
        <f>'[1]BP-Men'!F15</f>
        <v>0</v>
      </c>
    </row>
    <row r="181" spans="1:7" s="11" customFormat="1" x14ac:dyDescent="0.25">
      <c r="A181" s="22" t="s">
        <v>0</v>
      </c>
      <c r="B181" s="11">
        <v>1</v>
      </c>
      <c r="C181" s="11">
        <v>16</v>
      </c>
      <c r="D181" s="11" t="str">
        <f>'[1]BP-Men'!B16</f>
        <v>ЮНОШИ  (16 - 17)</v>
      </c>
      <c r="F181" s="13"/>
    </row>
    <row r="182" spans="1:7" x14ac:dyDescent="0.25">
      <c r="A182" s="28">
        <f>'[1]BP-Men'!A17</f>
        <v>52</v>
      </c>
      <c r="B182" s="16">
        <f>'[1]BP-Men'!B17</f>
        <v>95</v>
      </c>
      <c r="C182" s="16" t="str">
        <f>'[1]BP-Men'!C17</f>
        <v>Трубин Владислав/93</v>
      </c>
      <c r="D182" s="16" t="str">
        <f t="shared" si="4"/>
        <v>93</v>
      </c>
      <c r="E182" s="16" t="str">
        <f>'[1]BP-Men'!D17</f>
        <v>Курган</v>
      </c>
      <c r="F182" s="17">
        <f>'[1]BP-Men'!E17</f>
        <v>40453</v>
      </c>
      <c r="G182" s="16" t="str">
        <f>'[1]BP-Men'!F17</f>
        <v>Екатеринбург</v>
      </c>
    </row>
    <row r="183" spans="1:7" x14ac:dyDescent="0.25">
      <c r="A183" s="28">
        <f>'[1]BP-Men'!A18</f>
        <v>56</v>
      </c>
      <c r="B183" s="16">
        <f>'[1]BP-Men'!B18</f>
        <v>110</v>
      </c>
      <c r="C183" s="16" t="str">
        <f>'[1]BP-Men'!C18</f>
        <v>Истомин Алексей/96</v>
      </c>
      <c r="D183" s="16" t="str">
        <f t="shared" si="4"/>
        <v>96</v>
      </c>
      <c r="E183" s="16" t="str">
        <f>'[1]BP-Men'!D18</f>
        <v>Архангельск</v>
      </c>
      <c r="F183" s="17">
        <f>'[1]BP-Men'!E18</f>
        <v>41720</v>
      </c>
      <c r="G183" s="16" t="str">
        <f>'[1]BP-Men'!F18</f>
        <v>Вологда</v>
      </c>
    </row>
    <row r="184" spans="1:7" x14ac:dyDescent="0.25">
      <c r="A184" s="28">
        <f>'[1]BP-Men'!A19</f>
        <v>60</v>
      </c>
      <c r="B184" s="16">
        <f>'[1]BP-Men'!B19</f>
        <v>125.5</v>
      </c>
      <c r="C184" s="16" t="str">
        <f>'[1]BP-Men'!C19</f>
        <v>Набиев Яшар/90</v>
      </c>
      <c r="D184" s="16" t="str">
        <f t="shared" si="4"/>
        <v>90</v>
      </c>
      <c r="E184" s="16" t="str">
        <f>'[1]BP-Men'!D19</f>
        <v>Новокубанск</v>
      </c>
      <c r="F184" s="17">
        <f>'[1]BP-Men'!E19</f>
        <v>39528</v>
      </c>
      <c r="G184" s="16" t="str">
        <f>'[1]BP-Men'!F19</f>
        <v>Ростов</v>
      </c>
    </row>
    <row r="185" spans="1:7" x14ac:dyDescent="0.25">
      <c r="A185" s="28" t="str">
        <f>'[1]BP-Men'!A20</f>
        <v>67.5</v>
      </c>
      <c r="B185" s="16">
        <f>'[1]BP-Men'!B20</f>
        <v>145</v>
      </c>
      <c r="C185" s="16" t="str">
        <f>'[1]BP-Men'!C20</f>
        <v>Назаренко Алексей/89</v>
      </c>
      <c r="D185" s="16" t="str">
        <f t="shared" si="4"/>
        <v>89</v>
      </c>
      <c r="E185" s="16" t="str">
        <f>'[1]BP-Men'!D20</f>
        <v>Саратов</v>
      </c>
      <c r="F185" s="17">
        <f>'[1]BP-Men'!E20</f>
        <v>39123</v>
      </c>
      <c r="G185" s="16" t="str">
        <f>'[1]BP-Men'!F20</f>
        <v>Челябинск</v>
      </c>
    </row>
    <row r="186" spans="1:7" x14ac:dyDescent="0.25">
      <c r="A186" s="28">
        <f>'[1]BP-Men'!A21</f>
        <v>75</v>
      </c>
      <c r="B186" s="16">
        <f>'[1]BP-Men'!B21</f>
        <v>150</v>
      </c>
      <c r="C186" s="16" t="str">
        <f>'[1]BP-Men'!C21</f>
        <v>Язовских Ярослав/97</v>
      </c>
      <c r="D186" s="16" t="str">
        <f t="shared" si="4"/>
        <v>97</v>
      </c>
      <c r="E186" s="16" t="str">
        <f>'[1]BP-Men'!D21</f>
        <v>Екатеринбург</v>
      </c>
      <c r="F186" s="17">
        <f>'[1]BP-Men'!E21</f>
        <v>41608</v>
      </c>
      <c r="G186" s="16" t="str">
        <f>'[1]BP-Men'!F21</f>
        <v>Екатеринбург</v>
      </c>
    </row>
    <row r="187" spans="1:7" x14ac:dyDescent="0.25">
      <c r="A187" s="28" t="str">
        <f>'[1]BP-Men'!A22</f>
        <v>82.5</v>
      </c>
      <c r="B187" s="16">
        <f>'[1]BP-Men'!B22</f>
        <v>160</v>
      </c>
      <c r="C187" s="16" t="str">
        <f>'[1]BP-Men'!C22</f>
        <v>Григорян Арман/94</v>
      </c>
      <c r="D187" s="16" t="str">
        <f t="shared" si="4"/>
        <v>94</v>
      </c>
      <c r="E187" s="16" t="str">
        <f>'[1]BP-Men'!D22</f>
        <v>Белгород</v>
      </c>
      <c r="F187" s="17">
        <f>'[1]BP-Men'!E22</f>
        <v>40769</v>
      </c>
      <c r="G187" s="16" t="str">
        <f>'[1]BP-Men'!F22</f>
        <v>Курск</v>
      </c>
    </row>
    <row r="188" spans="1:7" x14ac:dyDescent="0.25">
      <c r="A188" s="28">
        <f>'[1]BP-Men'!A23</f>
        <v>90</v>
      </c>
      <c r="B188" s="16">
        <f>'[1]BP-Men'!B23</f>
        <v>155</v>
      </c>
      <c r="C188" s="16" t="str">
        <f>'[1]BP-Men'!C23</f>
        <v>Заборовский Георгий/92</v>
      </c>
      <c r="D188" s="16" t="str">
        <f t="shared" si="4"/>
        <v>92</v>
      </c>
      <c r="E188" s="16" t="str">
        <f>'[1]BP-Men'!D23</f>
        <v>Москва</v>
      </c>
      <c r="F188" s="17">
        <f>'[1]BP-Men'!E23</f>
        <v>40088</v>
      </c>
      <c r="G188" s="16" t="str">
        <f>'[1]BP-Men'!F23</f>
        <v>Ростов</v>
      </c>
    </row>
    <row r="189" spans="1:7" x14ac:dyDescent="0.25">
      <c r="A189" s="28">
        <f>'[1]BP-Men'!A24</f>
        <v>100</v>
      </c>
      <c r="B189" s="16">
        <f>'[1]BP-Men'!B24</f>
        <v>170</v>
      </c>
      <c r="C189" s="16" t="str">
        <f>'[1]BP-Men'!C24</f>
        <v>Москаленко Станислав/92</v>
      </c>
      <c r="D189" s="16" t="str">
        <f t="shared" si="4"/>
        <v>92</v>
      </c>
      <c r="E189" s="16" t="str">
        <f>'[1]BP-Men'!D24</f>
        <v>Орск</v>
      </c>
      <c r="F189" s="17">
        <f>'[1]BP-Men'!E24</f>
        <v>40088</v>
      </c>
      <c r="G189" s="16" t="str">
        <f>'[1]BP-Men'!F24</f>
        <v>Ростов</v>
      </c>
    </row>
    <row r="190" spans="1:7" x14ac:dyDescent="0.25">
      <c r="A190" s="28">
        <f>'[1]BP-Men'!A25</f>
        <v>110</v>
      </c>
      <c r="B190" s="16">
        <f>'[1]BP-Men'!B25</f>
        <v>155</v>
      </c>
      <c r="C190" s="16" t="str">
        <f>'[1]BP-Men'!C25</f>
        <v>Петров Евгений/96</v>
      </c>
      <c r="D190" s="16" t="str">
        <f t="shared" si="4"/>
        <v>96</v>
      </c>
      <c r="E190" s="16" t="str">
        <f>'[1]BP-Men'!D25</f>
        <v>Москва</v>
      </c>
      <c r="F190" s="17" t="str">
        <f>'[1]BP-Men'!E25</f>
        <v>22.08.2014</v>
      </c>
      <c r="G190" s="16" t="str">
        <f>'[1]BP-Men'!F25</f>
        <v>Москва</v>
      </c>
    </row>
    <row r="191" spans="1:7" x14ac:dyDescent="0.25">
      <c r="A191" s="28">
        <f>'[1]BP-Men'!A26</f>
        <v>125</v>
      </c>
      <c r="B191" s="16">
        <f>'[1]BP-Men'!B26</f>
        <v>150</v>
      </c>
      <c r="C191" s="16" t="str">
        <f>'[1]BP-Men'!C26</f>
        <v>Юматов Александр/89</v>
      </c>
      <c r="D191" s="16" t="str">
        <f t="shared" si="4"/>
        <v>89</v>
      </c>
      <c r="E191" s="16" t="str">
        <f>'[1]BP-Men'!D26</f>
        <v>Ростов</v>
      </c>
      <c r="F191" s="17">
        <f>'[1]BP-Men'!E26</f>
        <v>39312</v>
      </c>
      <c r="G191" s="16" t="str">
        <f>'[1]BP-Men'!F26</f>
        <v>Курск</v>
      </c>
    </row>
    <row r="192" spans="1:7" x14ac:dyDescent="0.25">
      <c r="A192" s="28">
        <f>'[1]BP-Men'!A27</f>
        <v>140</v>
      </c>
      <c r="B192" s="16">
        <f>'[1]BP-Men'!B27</f>
        <v>0</v>
      </c>
      <c r="C192" s="16">
        <f>'[1]BP-Men'!C27</f>
        <v>0</v>
      </c>
      <c r="D192" s="16" t="str">
        <f t="shared" si="4"/>
        <v>0</v>
      </c>
      <c r="E192" s="16">
        <f>'[1]BP-Men'!D27</f>
        <v>0</v>
      </c>
      <c r="F192" s="17">
        <f>'[1]BP-Men'!E27</f>
        <v>0</v>
      </c>
      <c r="G192" s="16">
        <f>'[1]BP-Men'!F27</f>
        <v>0</v>
      </c>
    </row>
    <row r="193" spans="1:7" x14ac:dyDescent="0.25">
      <c r="A193" s="28" t="str">
        <f>'[1]BP-Men'!A28</f>
        <v>140+</v>
      </c>
      <c r="B193" s="16">
        <f>'[1]BP-Men'!B28</f>
        <v>107.5</v>
      </c>
      <c r="C193" s="16" t="str">
        <f>'[1]BP-Men'!C28</f>
        <v>Савенков Кирилл/95</v>
      </c>
      <c r="D193" s="16" t="str">
        <f t="shared" si="4"/>
        <v>95</v>
      </c>
      <c r="E193" s="16" t="str">
        <f>'[1]BP-Men'!D28</f>
        <v>Новосибирск</v>
      </c>
      <c r="F193" s="17">
        <f>'[1]BP-Men'!E28</f>
        <v>41137</v>
      </c>
      <c r="G193" s="16" t="str">
        <f>'[1]BP-Men'!F28</f>
        <v>Новосибирск</v>
      </c>
    </row>
    <row r="194" spans="1:7" x14ac:dyDescent="0.25">
      <c r="B194" s="16">
        <f>'[1]BP-Men'!B29</f>
        <v>0</v>
      </c>
      <c r="C194" s="16">
        <f>'[1]BP-Men'!C29</f>
        <v>0</v>
      </c>
      <c r="D194" s="16" t="str">
        <f t="shared" si="4"/>
        <v>0</v>
      </c>
      <c r="E194" s="16">
        <f>'[1]BP-Men'!D29</f>
        <v>0</v>
      </c>
      <c r="F194" s="17">
        <f>'[1]BP-Men'!E29</f>
        <v>0</v>
      </c>
      <c r="G194" s="16">
        <f>'[1]BP-Men'!F29</f>
        <v>0</v>
      </c>
    </row>
    <row r="195" spans="1:7" s="11" customFormat="1" x14ac:dyDescent="0.25">
      <c r="A195" s="22" t="s">
        <v>0</v>
      </c>
      <c r="B195" s="11">
        <v>1</v>
      </c>
      <c r="C195" s="11">
        <v>18</v>
      </c>
      <c r="D195" s="11" t="str">
        <f>'[1]BP-Men'!B30</f>
        <v>ЮНОШИ  (18 - 19)</v>
      </c>
      <c r="F195" s="13"/>
    </row>
    <row r="196" spans="1:7" x14ac:dyDescent="0.25">
      <c r="A196" s="28">
        <f>'[1]BP-Men'!A31</f>
        <v>52</v>
      </c>
      <c r="B196" s="16">
        <f>'[1]BP-Men'!B31</f>
        <v>105</v>
      </c>
      <c r="C196" s="16" t="str">
        <f>'[1]BP-Men'!C31</f>
        <v>Сергеев Сергей/90</v>
      </c>
      <c r="D196" s="16" t="str">
        <f t="shared" ref="D196:D259" si="5">RIGHT(C196,2)</f>
        <v>90</v>
      </c>
      <c r="E196" s="16" t="str">
        <f>'[1]BP-Men'!D31</f>
        <v>Москва</v>
      </c>
      <c r="F196" s="17">
        <f>'[1]BP-Men'!E31</f>
        <v>39528</v>
      </c>
      <c r="G196" s="16" t="str">
        <f>'[1]BP-Men'!F31</f>
        <v>Ростов</v>
      </c>
    </row>
    <row r="197" spans="1:7" x14ac:dyDescent="0.25">
      <c r="A197" s="28">
        <f>'[1]BP-Men'!A32</f>
        <v>56</v>
      </c>
      <c r="B197" s="16">
        <f>'[1]BP-Men'!B32</f>
        <v>122.5</v>
      </c>
      <c r="C197" s="16" t="str">
        <f>'[1]BP-Men'!C32</f>
        <v>Малышев Андрей/94</v>
      </c>
      <c r="D197" s="16" t="str">
        <f t="shared" si="5"/>
        <v>94</v>
      </c>
      <c r="E197" s="16" t="str">
        <f>'[1]BP-Men'!D32</f>
        <v>Александров</v>
      </c>
      <c r="F197" s="17">
        <f>'[1]BP-Men'!E32</f>
        <v>41586</v>
      </c>
      <c r="G197" s="16" t="str">
        <f>'[1]BP-Men'!F32</f>
        <v>Вологда</v>
      </c>
    </row>
    <row r="198" spans="1:7" x14ac:dyDescent="0.25">
      <c r="A198" s="28">
        <f>'[1]BP-Men'!A33</f>
        <v>60</v>
      </c>
      <c r="B198" s="16">
        <f>'[1]BP-Men'!B33</f>
        <v>115</v>
      </c>
      <c r="C198" s="16" t="str">
        <f>'[1]BP-Men'!C33</f>
        <v>Фатеев Михаил/89</v>
      </c>
      <c r="D198" s="16" t="str">
        <f t="shared" si="5"/>
        <v>89</v>
      </c>
      <c r="E198" s="16" t="str">
        <f>'[1]BP-Men'!D33</f>
        <v>Екатеринбург</v>
      </c>
      <c r="F198" s="17">
        <f>'[1]BP-Men'!E33</f>
        <v>39871</v>
      </c>
      <c r="G198" s="16" t="str">
        <f>'[1]BP-Men'!F33</f>
        <v>Челябинск</v>
      </c>
    </row>
    <row r="199" spans="1:7" x14ac:dyDescent="0.25">
      <c r="A199" s="28" t="str">
        <f>'[1]BP-Men'!A34</f>
        <v>67.5</v>
      </c>
      <c r="B199" s="16">
        <f>'[1]BP-Men'!B34</f>
        <v>150</v>
      </c>
      <c r="C199" s="16" t="str">
        <f>'[1]BP-Men'!C34</f>
        <v>Назаренко Алексей/89</v>
      </c>
      <c r="D199" s="16" t="str">
        <f t="shared" si="5"/>
        <v>89</v>
      </c>
      <c r="E199" s="16" t="str">
        <f>'[1]BP-Men'!D34</f>
        <v>п.Светлый</v>
      </c>
      <c r="F199" s="17">
        <f>'[1]BP-Men'!E34</f>
        <v>39312</v>
      </c>
      <c r="G199" s="16" t="str">
        <f>'[1]BP-Men'!F34</f>
        <v>Курск</v>
      </c>
    </row>
    <row r="200" spans="1:7" x14ac:dyDescent="0.25">
      <c r="A200" s="28">
        <f>'[1]BP-Men'!A35</f>
        <v>75</v>
      </c>
      <c r="B200" s="16">
        <f>'[1]BP-Men'!B35</f>
        <v>160</v>
      </c>
      <c r="C200" s="16" t="str">
        <f>'[1]BP-Men'!C35</f>
        <v>Хадзиев Ваха/94</v>
      </c>
      <c r="D200" s="16" t="str">
        <f t="shared" si="5"/>
        <v>94</v>
      </c>
      <c r="E200" s="16" t="str">
        <f>'[1]BP-Men'!D35</f>
        <v>Карабулак</v>
      </c>
      <c r="F200" s="17" t="str">
        <f>'[1]BP-Men'!E35</f>
        <v>22.08.2014</v>
      </c>
      <c r="G200" s="16" t="str">
        <f>'[1]BP-Men'!F35</f>
        <v>Москва</v>
      </c>
    </row>
    <row r="201" spans="1:7" x14ac:dyDescent="0.25">
      <c r="A201" s="28" t="str">
        <f>'[1]BP-Men'!A36</f>
        <v>82.5</v>
      </c>
      <c r="B201" s="16">
        <f>'[1]BP-Men'!B36</f>
        <v>175</v>
      </c>
      <c r="C201" s="16" t="str">
        <f>'[1]BP-Men'!C36</f>
        <v>Дронов Богдан/94</v>
      </c>
      <c r="D201" s="16" t="str">
        <f t="shared" si="5"/>
        <v>94</v>
      </c>
      <c r="E201" s="16" t="str">
        <f>'[1]BP-Men'!D36</f>
        <v xml:space="preserve">Ростов </v>
      </c>
      <c r="F201" s="17">
        <f>'[1]BP-Men'!E36</f>
        <v>41439</v>
      </c>
      <c r="G201" s="16" t="str">
        <f>'[1]BP-Men'!F36</f>
        <v>Москва</v>
      </c>
    </row>
    <row r="202" spans="1:7" x14ac:dyDescent="0.25">
      <c r="A202" s="28">
        <f>'[1]BP-Men'!A37</f>
        <v>90</v>
      </c>
      <c r="B202" s="16">
        <f>'[1]BP-Men'!B37</f>
        <v>187.5</v>
      </c>
      <c r="C202" s="16" t="str">
        <f>'[1]BP-Men'!C37</f>
        <v>Григорян Арман/94</v>
      </c>
      <c r="D202" s="16" t="str">
        <f t="shared" si="5"/>
        <v>94</v>
      </c>
      <c r="E202" s="16" t="str">
        <f>'[1]BP-Men'!D37</f>
        <v>Белгород</v>
      </c>
      <c r="F202" s="17">
        <f>'[1]BP-Men'!E37</f>
        <v>41128</v>
      </c>
      <c r="G202" s="16" t="str">
        <f>'[1]BP-Men'!F37</f>
        <v>Кривой Рог</v>
      </c>
    </row>
    <row r="203" spans="1:7" x14ac:dyDescent="0.25">
      <c r="A203" s="28">
        <f>'[1]BP-Men'!A38</f>
        <v>100</v>
      </c>
      <c r="B203" s="16">
        <f>'[1]BP-Men'!B38</f>
        <v>160</v>
      </c>
      <c r="C203" s="16" t="str">
        <f>'[1]BP-Men'!C38</f>
        <v>Богатченко Андрей/94</v>
      </c>
      <c r="D203" s="16" t="str">
        <f t="shared" si="5"/>
        <v>94</v>
      </c>
      <c r="E203" s="16" t="str">
        <f>'[1]BP-Men'!D38</f>
        <v>Белгород</v>
      </c>
      <c r="F203" s="17">
        <f>'[1]BP-Men'!E38</f>
        <v>41497</v>
      </c>
      <c r="G203" s="16" t="str">
        <f>'[1]BP-Men'!F38</f>
        <v>Курск</v>
      </c>
    </row>
    <row r="204" spans="1:7" x14ac:dyDescent="0.25">
      <c r="A204" s="28">
        <f>'[1]BP-Men'!A39</f>
        <v>110</v>
      </c>
      <c r="B204" s="16">
        <f>'[1]BP-Men'!B39</f>
        <v>180</v>
      </c>
      <c r="C204" s="16" t="str">
        <f>'[1]BP-Men'!C39</f>
        <v>Блюм Илья/95</v>
      </c>
      <c r="D204" s="16" t="str">
        <f t="shared" si="5"/>
        <v>95</v>
      </c>
      <c r="E204" s="16" t="str">
        <f>'[1]BP-Men'!D39</f>
        <v>Череповец</v>
      </c>
      <c r="F204" s="17">
        <f>'[1]BP-Men'!E39</f>
        <v>41342</v>
      </c>
      <c r="G204" s="16" t="str">
        <f>'[1]BP-Men'!F39</f>
        <v>Вологда</v>
      </c>
    </row>
    <row r="205" spans="1:7" x14ac:dyDescent="0.25">
      <c r="A205" s="28">
        <f>'[1]BP-Men'!A40</f>
        <v>125</v>
      </c>
      <c r="B205" s="16">
        <f>'[1]BP-Men'!B40</f>
        <v>202.5</v>
      </c>
      <c r="C205" s="16" t="str">
        <f>'[1]BP-Men'!C40</f>
        <v>Шереметьев Максим/94</v>
      </c>
      <c r="D205" s="16" t="str">
        <f t="shared" si="5"/>
        <v>94</v>
      </c>
      <c r="E205" s="16" t="str">
        <f>'[1]BP-Men'!D40</f>
        <v>Химки</v>
      </c>
      <c r="F205" s="17" t="str">
        <f>'[1]BP-Men'!E40</f>
        <v>22.08.2014</v>
      </c>
      <c r="G205" s="16" t="str">
        <f>'[1]BP-Men'!F40</f>
        <v>Москва</v>
      </c>
    </row>
    <row r="206" spans="1:7" x14ac:dyDescent="0.25">
      <c r="A206" s="28">
        <f>'[1]BP-Men'!A41</f>
        <v>140</v>
      </c>
      <c r="B206" s="16">
        <f>'[1]BP-Men'!B41</f>
        <v>0</v>
      </c>
      <c r="C206" s="16">
        <f>'[1]BP-Men'!C41</f>
        <v>0</v>
      </c>
      <c r="D206" s="16" t="str">
        <f t="shared" si="5"/>
        <v>0</v>
      </c>
      <c r="E206" s="16">
        <f>'[1]BP-Men'!D41</f>
        <v>0</v>
      </c>
      <c r="F206" s="17">
        <f>'[1]BP-Men'!E41</f>
        <v>0</v>
      </c>
      <c r="G206" s="16">
        <f>'[1]BP-Men'!F41</f>
        <v>0</v>
      </c>
    </row>
    <row r="207" spans="1:7" x14ac:dyDescent="0.25">
      <c r="A207" s="28" t="str">
        <f>'[1]BP-Men'!A42</f>
        <v>140+</v>
      </c>
      <c r="B207" s="16">
        <f>'[1]BP-Men'!B42</f>
        <v>0</v>
      </c>
      <c r="C207" s="16">
        <f>'[1]BP-Men'!C42</f>
        <v>0</v>
      </c>
      <c r="D207" s="16" t="str">
        <f t="shared" si="5"/>
        <v>0</v>
      </c>
      <c r="E207" s="16">
        <f>'[1]BP-Men'!D42</f>
        <v>0</v>
      </c>
      <c r="F207" s="17">
        <f>'[1]BP-Men'!E42</f>
        <v>0</v>
      </c>
      <c r="G207" s="16">
        <f>'[1]BP-Men'!F42</f>
        <v>0</v>
      </c>
    </row>
    <row r="208" spans="1:7" x14ac:dyDescent="0.25">
      <c r="B208" s="16">
        <f>'[1]BP-Men'!B43</f>
        <v>0</v>
      </c>
      <c r="C208" s="16">
        <f>'[1]BP-Men'!C43</f>
        <v>0</v>
      </c>
      <c r="D208" s="16" t="str">
        <f t="shared" si="5"/>
        <v>0</v>
      </c>
      <c r="E208" s="16">
        <f>'[1]BP-Men'!D43</f>
        <v>0</v>
      </c>
      <c r="F208" s="17">
        <f>'[1]BP-Men'!E43</f>
        <v>0</v>
      </c>
      <c r="G208" s="16">
        <f>'[1]BP-Men'!F43</f>
        <v>0</v>
      </c>
    </row>
    <row r="209" spans="1:7" s="11" customFormat="1" x14ac:dyDescent="0.25">
      <c r="A209" s="22" t="s">
        <v>0</v>
      </c>
      <c r="B209" s="11">
        <v>1</v>
      </c>
      <c r="C209" s="11">
        <v>20</v>
      </c>
      <c r="D209" s="11" t="str">
        <f>'[1]BP-Men'!B44</f>
        <v>ЮНИОРЫ (20 - 23)</v>
      </c>
      <c r="F209" s="13"/>
    </row>
    <row r="210" spans="1:7" x14ac:dyDescent="0.25">
      <c r="A210" s="28">
        <f>'[1]BP-Men'!A45</f>
        <v>52</v>
      </c>
      <c r="B210" s="16">
        <f>'[1]BP-Men'!B45</f>
        <v>110</v>
      </c>
      <c r="C210" s="16" t="str">
        <f>'[1]BP-Men'!C45</f>
        <v>Росляков Роман/88</v>
      </c>
      <c r="D210" s="16" t="str">
        <f t="shared" si="5"/>
        <v>88</v>
      </c>
      <c r="E210" s="16">
        <f>'[1]BP-Men'!D45</f>
        <v>0</v>
      </c>
      <c r="F210" s="17">
        <f>'[1]BP-Men'!E45</f>
        <v>40640</v>
      </c>
      <c r="G210" s="16" t="str">
        <f>'[1]BP-Men'!F45</f>
        <v>Челябинск</v>
      </c>
    </row>
    <row r="211" spans="1:7" x14ac:dyDescent="0.25">
      <c r="A211" s="28">
        <f>'[1]BP-Men'!A46</f>
        <v>56</v>
      </c>
      <c r="B211" s="16">
        <f>'[1]BP-Men'!B46</f>
        <v>130</v>
      </c>
      <c r="C211" s="16" t="str">
        <f>'[1]BP-Men'!C46</f>
        <v>Каразия Сергей/87</v>
      </c>
      <c r="D211" s="16" t="str">
        <f t="shared" si="5"/>
        <v>87</v>
      </c>
      <c r="E211" s="16" t="str">
        <f>'[1]BP-Men'!D46</f>
        <v>Серпухов</v>
      </c>
      <c r="F211" s="17">
        <f>'[1]BP-Men'!E46</f>
        <v>40409</v>
      </c>
      <c r="G211" s="16" t="str">
        <f>'[1]BP-Men'!F46</f>
        <v>Москва</v>
      </c>
    </row>
    <row r="212" spans="1:7" x14ac:dyDescent="0.25">
      <c r="A212" s="28">
        <f>'[1]BP-Men'!A47</f>
        <v>60</v>
      </c>
      <c r="B212" s="16">
        <f>'[1]BP-Men'!B47</f>
        <v>135</v>
      </c>
      <c r="C212" s="16" t="str">
        <f>'[1]BP-Men'!C47</f>
        <v>Кирилов Антон/86</v>
      </c>
      <c r="D212" s="16" t="str">
        <f t="shared" si="5"/>
        <v>86</v>
      </c>
      <c r="E212" s="16" t="str">
        <f>'[1]BP-Men'!D47</f>
        <v>Москва</v>
      </c>
      <c r="F212" s="17">
        <f>'[1]BP-Men'!E47</f>
        <v>40257</v>
      </c>
      <c r="G212" s="16" t="str">
        <f>'[1]BP-Men'!F47</f>
        <v>Курск</v>
      </c>
    </row>
    <row r="213" spans="1:7" x14ac:dyDescent="0.25">
      <c r="A213" s="28" t="str">
        <f>'[1]BP-Men'!A48</f>
        <v>67.5</v>
      </c>
      <c r="B213" s="16">
        <f>'[1]BP-Men'!B48</f>
        <v>160</v>
      </c>
      <c r="C213" s="16" t="str">
        <f>'[1]BP-Men'!C48</f>
        <v>Маклаков Алексей/92</v>
      </c>
      <c r="D213" s="16" t="str">
        <f t="shared" si="5"/>
        <v>92</v>
      </c>
      <c r="E213" s="16" t="str">
        <f>'[1]BP-Men'!D48</f>
        <v>Екатеринбург</v>
      </c>
      <c r="F213" s="17" t="str">
        <f>'[1]BP-Men'!E48</f>
        <v>08.02.2014</v>
      </c>
      <c r="G213" s="16" t="str">
        <f>'[1]BP-Men'!F48</f>
        <v>Екатеринбург</v>
      </c>
    </row>
    <row r="214" spans="1:7" x14ac:dyDescent="0.25">
      <c r="A214" s="28">
        <f>'[1]BP-Men'!A49</f>
        <v>75</v>
      </c>
      <c r="B214" s="16">
        <f>'[1]BP-Men'!B49</f>
        <v>182.5</v>
      </c>
      <c r="C214" s="16" t="str">
        <f>'[1]BP-Men'!C49</f>
        <v>Богданов Максим/92</v>
      </c>
      <c r="D214" s="16" t="str">
        <f t="shared" si="5"/>
        <v>92</v>
      </c>
      <c r="E214" s="16" t="str">
        <f>'[1]BP-Men'!D49</f>
        <v>Москва</v>
      </c>
      <c r="F214" s="17" t="str">
        <f>'[1]BP-Men'!E49</f>
        <v>22.08.2014</v>
      </c>
      <c r="G214" s="16" t="str">
        <f>'[1]BP-Men'!F49</f>
        <v>Москва</v>
      </c>
    </row>
    <row r="215" spans="1:7" x14ac:dyDescent="0.25">
      <c r="A215" s="28" t="str">
        <f>'[1]BP-Men'!A50</f>
        <v>82.5</v>
      </c>
      <c r="B215" s="16">
        <f>'[1]BP-Men'!B50</f>
        <v>178</v>
      </c>
      <c r="C215" s="16" t="str">
        <f>'[1]BP-Men'!C50</f>
        <v>Житомирский Евгений/92</v>
      </c>
      <c r="D215" s="16" t="str">
        <f t="shared" si="5"/>
        <v>92</v>
      </c>
      <c r="E215" s="16" t="str">
        <f>'[1]BP-Men'!D50</f>
        <v>Клинцы</v>
      </c>
      <c r="F215" s="17" t="str">
        <f>'[1]BP-Men'!E50</f>
        <v>22.08.2014</v>
      </c>
      <c r="G215" s="16" t="str">
        <f>'[1]BP-Men'!F50</f>
        <v>Москва</v>
      </c>
    </row>
    <row r="216" spans="1:7" x14ac:dyDescent="0.25">
      <c r="A216" s="28">
        <f>'[1]BP-Men'!A51</f>
        <v>90</v>
      </c>
      <c r="B216" s="16">
        <f>'[1]BP-Men'!B51</f>
        <v>202.5</v>
      </c>
      <c r="C216" s="16" t="str">
        <f>'[1]BP-Men'!C51</f>
        <v>Сапожонков Андрей/87</v>
      </c>
      <c r="D216" s="16" t="str">
        <f t="shared" si="5"/>
        <v>87</v>
      </c>
      <c r="E216" s="16" t="str">
        <f>'[1]BP-Men'!D51</f>
        <v>Талдом</v>
      </c>
      <c r="F216" s="17">
        <f>'[1]BP-Men'!E51</f>
        <v>40690</v>
      </c>
      <c r="G216" s="16" t="str">
        <f>'[1]BP-Men'!F51</f>
        <v>Хотьково</v>
      </c>
    </row>
    <row r="217" spans="1:7" x14ac:dyDescent="0.25">
      <c r="A217" s="28">
        <f>'[1]BP-Men'!A52</f>
        <v>100</v>
      </c>
      <c r="B217" s="16">
        <f>'[1]BP-Men'!B52</f>
        <v>182.5</v>
      </c>
      <c r="C217" s="16" t="str">
        <f>'[1]BP-Men'!C52</f>
        <v>Макаревич Евгений/87</v>
      </c>
      <c r="D217" s="16" t="str">
        <f t="shared" si="5"/>
        <v>87</v>
      </c>
      <c r="E217" s="16" t="str">
        <f>'[1]BP-Men'!D52</f>
        <v>Долгопрудный</v>
      </c>
      <c r="F217" s="17">
        <f>'[1]BP-Men'!E52</f>
        <v>40409</v>
      </c>
      <c r="G217" s="16" t="str">
        <f>'[1]BP-Men'!F52</f>
        <v>Москва</v>
      </c>
    </row>
    <row r="218" spans="1:7" x14ac:dyDescent="0.25">
      <c r="A218" s="28">
        <f>'[1]BP-Men'!A53</f>
        <v>110</v>
      </c>
      <c r="B218" s="16">
        <f>'[1]BP-Men'!B53</f>
        <v>222.5</v>
      </c>
      <c r="C218" s="16" t="str">
        <f>'[1]BP-Men'!C53</f>
        <v>Гребнев Денис/86</v>
      </c>
      <c r="D218" s="16" t="str">
        <f t="shared" si="5"/>
        <v>86</v>
      </c>
      <c r="E218" s="16" t="str">
        <f>'[1]BP-Men'!D53</f>
        <v>Москва</v>
      </c>
      <c r="F218" s="17">
        <f>'[1]BP-Men'!E53</f>
        <v>40214</v>
      </c>
      <c r="G218" s="16" t="str">
        <f>'[1]BP-Men'!F53</f>
        <v>Красноармейск</v>
      </c>
    </row>
    <row r="219" spans="1:7" x14ac:dyDescent="0.25">
      <c r="A219" s="28">
        <f>'[1]BP-Men'!A54</f>
        <v>125</v>
      </c>
      <c r="B219" s="16">
        <f>'[1]BP-Men'!B54</f>
        <v>215</v>
      </c>
      <c r="C219" s="16" t="str">
        <f>'[1]BP-Men'!C54</f>
        <v>Сербин Анатолий/90</v>
      </c>
      <c r="D219" s="16" t="str">
        <f t="shared" si="5"/>
        <v>90</v>
      </c>
      <c r="E219" s="16" t="str">
        <f>'[1]BP-Men'!D54</f>
        <v>Люберцы</v>
      </c>
      <c r="F219" s="17">
        <f>'[1]BP-Men'!E54</f>
        <v>41201</v>
      </c>
      <c r="G219" s="16" t="str">
        <f>'[1]BP-Men'!F54</f>
        <v>Краснодар</v>
      </c>
    </row>
    <row r="220" spans="1:7" x14ac:dyDescent="0.25">
      <c r="A220" s="28">
        <f>'[1]BP-Men'!A55</f>
        <v>140</v>
      </c>
      <c r="B220" s="16">
        <f>'[1]BP-Men'!B55</f>
        <v>195</v>
      </c>
      <c r="C220" s="16" t="str">
        <f>'[1]BP-Men'!C55</f>
        <v>Марачев Роман/88</v>
      </c>
      <c r="D220" s="16" t="str">
        <f t="shared" si="5"/>
        <v>88</v>
      </c>
      <c r="E220" s="16" t="str">
        <f>'[1]BP-Men'!D55</f>
        <v>Москва</v>
      </c>
      <c r="F220" s="17">
        <f>'[1]BP-Men'!E55</f>
        <v>40409</v>
      </c>
      <c r="G220" s="16" t="str">
        <f>'[1]BP-Men'!F55</f>
        <v>Москва</v>
      </c>
    </row>
    <row r="221" spans="1:7" x14ac:dyDescent="0.25">
      <c r="A221" s="28" t="str">
        <f>'[1]BP-Men'!A56</f>
        <v>140+</v>
      </c>
      <c r="B221" s="16">
        <f>'[1]BP-Men'!B56</f>
        <v>175</v>
      </c>
      <c r="C221" s="16" t="str">
        <f>'[1]BP-Men'!C56</f>
        <v>Мельников Владислав/91</v>
      </c>
      <c r="D221" s="16" t="str">
        <f t="shared" si="5"/>
        <v>91</v>
      </c>
      <c r="E221" s="16" t="str">
        <f>'[1]BP-Men'!D56</f>
        <v>Кропоткин</v>
      </c>
      <c r="F221" s="17">
        <f>'[1]BP-Men'!E56</f>
        <v>41567</v>
      </c>
      <c r="G221" s="16" t="str">
        <f>'[1]BP-Men'!F56</f>
        <v>Краснодар</v>
      </c>
    </row>
    <row r="222" spans="1:7" x14ac:dyDescent="0.25">
      <c r="B222" s="16">
        <f>'[1]BP-Men'!B57</f>
        <v>0</v>
      </c>
      <c r="C222" s="16">
        <f>'[1]BP-Men'!C57</f>
        <v>0</v>
      </c>
      <c r="D222" s="16" t="str">
        <f t="shared" si="5"/>
        <v>0</v>
      </c>
      <c r="E222" s="16">
        <f>'[1]BP-Men'!D57</f>
        <v>0</v>
      </c>
      <c r="F222" s="17">
        <f>'[1]BP-Men'!E57</f>
        <v>0</v>
      </c>
      <c r="G222" s="16">
        <f>'[1]BP-Men'!F57</f>
        <v>0</v>
      </c>
    </row>
    <row r="223" spans="1:7" s="11" customFormat="1" x14ac:dyDescent="0.25">
      <c r="A223" s="22" t="s">
        <v>0</v>
      </c>
      <c r="B223" s="11">
        <v>1</v>
      </c>
      <c r="C223" s="11">
        <v>-2</v>
      </c>
      <c r="D223" s="11" t="str">
        <f>'[1]BP-Men'!B58</f>
        <v>МУЖЧИНЫ</v>
      </c>
      <c r="F223" s="13"/>
    </row>
    <row r="224" spans="1:7" x14ac:dyDescent="0.25">
      <c r="A224" s="28">
        <f>'[1]BP-Men'!A59</f>
        <v>52</v>
      </c>
      <c r="B224" s="16">
        <f>'[1]BP-Men'!B59</f>
        <v>147.5</v>
      </c>
      <c r="C224" s="16" t="str">
        <f>'[1]BP-Men'!C59</f>
        <v>Шанин Александр/78</v>
      </c>
      <c r="D224" s="16" t="str">
        <f t="shared" si="5"/>
        <v>78</v>
      </c>
      <c r="E224" s="16" t="str">
        <f>'[1]BP-Men'!D59</f>
        <v>Алапаевск</v>
      </c>
      <c r="F224" s="17">
        <f>'[1]BP-Men'!E59</f>
        <v>41608</v>
      </c>
      <c r="G224" s="16" t="str">
        <f>'[1]BP-Men'!F59</f>
        <v>Екатеринбург</v>
      </c>
    </row>
    <row r="225" spans="1:7" x14ac:dyDescent="0.25">
      <c r="A225" s="28">
        <f>'[1]BP-Men'!A60</f>
        <v>56</v>
      </c>
      <c r="B225" s="16">
        <f>'[1]BP-Men'!B60</f>
        <v>155</v>
      </c>
      <c r="C225" s="16" t="str">
        <f>'[1]BP-Men'!C60</f>
        <v>Каразия Сергей/87</v>
      </c>
      <c r="D225" s="16" t="str">
        <f t="shared" si="5"/>
        <v>87</v>
      </c>
      <c r="E225" s="16" t="str">
        <f>'[1]BP-Men'!D60</f>
        <v>Серпухов</v>
      </c>
      <c r="F225" s="17" t="str">
        <f>'[1]BP-Men'!E60</f>
        <v>23.08.2014</v>
      </c>
      <c r="G225" s="16" t="str">
        <f>'[1]BP-Men'!F60</f>
        <v>Москва</v>
      </c>
    </row>
    <row r="226" spans="1:7" x14ac:dyDescent="0.25">
      <c r="A226" s="28">
        <f>'[1]BP-Men'!A61</f>
        <v>60</v>
      </c>
      <c r="B226" s="16">
        <f>'[1]BP-Men'!B61</f>
        <v>170.5</v>
      </c>
      <c r="C226" s="16" t="str">
        <f>'[1]BP-Men'!C61</f>
        <v>Калайчев Янис/85</v>
      </c>
      <c r="D226" s="16" t="str">
        <f t="shared" si="5"/>
        <v>85</v>
      </c>
      <c r="E226" s="16" t="str">
        <f>'[1]BP-Men'!D61</f>
        <v>Екатеринбург</v>
      </c>
      <c r="F226" s="17">
        <f>'[1]BP-Men'!E61</f>
        <v>41503</v>
      </c>
      <c r="G226" s="16" t="str">
        <f>'[1]BP-Men'!F61</f>
        <v>Новосибирск</v>
      </c>
    </row>
    <row r="227" spans="1:7" x14ac:dyDescent="0.25">
      <c r="A227" s="28" t="str">
        <f>'[1]BP-Men'!A62</f>
        <v>67.5</v>
      </c>
      <c r="B227" s="16">
        <f>'[1]BP-Men'!B62</f>
        <v>175</v>
      </c>
      <c r="C227" s="16" t="str">
        <f>'[1]BP-Men'!C62</f>
        <v>Стеганцев Владислав/85</v>
      </c>
      <c r="D227" s="16" t="str">
        <f t="shared" si="5"/>
        <v>85</v>
      </c>
      <c r="E227" s="16" t="str">
        <f>'[1]BP-Men'!D62</f>
        <v>Сысерть</v>
      </c>
      <c r="F227" s="17">
        <f>'[1]BP-Men'!E62</f>
        <v>40814</v>
      </c>
      <c r="G227" s="16" t="str">
        <f>'[1]BP-Men'!F62</f>
        <v>Екатеринбург</v>
      </c>
    </row>
    <row r="228" spans="1:7" x14ac:dyDescent="0.25">
      <c r="A228" s="28">
        <f>'[1]BP-Men'!A63</f>
        <v>75</v>
      </c>
      <c r="B228" s="16">
        <f>'[1]BP-Men'!B63</f>
        <v>195.5</v>
      </c>
      <c r="C228" s="16" t="str">
        <f>'[1]BP-Men'!C63</f>
        <v>Милостной Станислав/78</v>
      </c>
      <c r="D228" s="16" t="str">
        <f t="shared" si="5"/>
        <v>78</v>
      </c>
      <c r="E228" s="16" t="str">
        <f>'[1]BP-Men'!D63</f>
        <v>Курск</v>
      </c>
      <c r="F228" s="17">
        <f>'[1]BP-Men'!E63</f>
        <v>40814</v>
      </c>
      <c r="G228" s="16" t="str">
        <f>'[1]BP-Men'!F63</f>
        <v>Екатеринбург</v>
      </c>
    </row>
    <row r="229" spans="1:7" x14ac:dyDescent="0.25">
      <c r="A229" s="28" t="str">
        <f>'[1]BP-Men'!A64</f>
        <v>82.5</v>
      </c>
      <c r="B229" s="16">
        <f>'[1]BP-Men'!B64</f>
        <v>212.5</v>
      </c>
      <c r="C229" s="16" t="str">
        <f>'[1]BP-Men'!C64</f>
        <v>Сапожонков Андрей/87</v>
      </c>
      <c r="D229" s="16" t="str">
        <f t="shared" si="5"/>
        <v>87</v>
      </c>
      <c r="E229" s="16" t="str">
        <f>'[1]BP-Men'!D64</f>
        <v>Талдом</v>
      </c>
      <c r="F229" s="17" t="str">
        <f>'[1]BP-Men'!E64</f>
        <v>23.08.2014</v>
      </c>
      <c r="G229" s="16" t="str">
        <f>'[1]BP-Men'!F64</f>
        <v>Москва</v>
      </c>
    </row>
    <row r="230" spans="1:7" x14ac:dyDescent="0.25">
      <c r="A230" s="28">
        <f>'[1]BP-Men'!A65</f>
        <v>90</v>
      </c>
      <c r="B230" s="16">
        <f>'[1]BP-Men'!B65</f>
        <v>208</v>
      </c>
      <c r="C230" s="16" t="str">
        <f>'[1]BP-Men'!C65</f>
        <v>Ревяко Александр/85</v>
      </c>
      <c r="D230" s="16" t="str">
        <f t="shared" si="5"/>
        <v>85</v>
      </c>
      <c r="E230" s="16" t="str">
        <f>'[1]BP-Men'!D65</f>
        <v>Москва</v>
      </c>
      <c r="F230" s="17">
        <f>'[1]BP-Men'!E65</f>
        <v>41439</v>
      </c>
      <c r="G230" s="16" t="str">
        <f>'[1]BP-Men'!F65</f>
        <v>Москва</v>
      </c>
    </row>
    <row r="231" spans="1:7" x14ac:dyDescent="0.25">
      <c r="A231" s="28">
        <f>'[1]BP-Men'!A66</f>
        <v>100</v>
      </c>
      <c r="B231" s="16">
        <f>'[1]BP-Men'!B66</f>
        <v>232.5</v>
      </c>
      <c r="C231" s="16" t="str">
        <f>'[1]BP-Men'!C66</f>
        <v>Филимонов Олег/87</v>
      </c>
      <c r="D231" s="16" t="str">
        <f t="shared" si="5"/>
        <v>87</v>
      </c>
      <c r="E231" s="16" t="str">
        <f>'[1]BP-Men'!D66</f>
        <v>Волгоград</v>
      </c>
      <c r="F231" s="17" t="str">
        <f>'[1]BP-Men'!E66</f>
        <v>23.08.2014</v>
      </c>
      <c r="G231" s="16" t="str">
        <f>'[1]BP-Men'!F66</f>
        <v>Москва</v>
      </c>
    </row>
    <row r="232" spans="1:7" x14ac:dyDescent="0.25">
      <c r="A232" s="28">
        <f>'[1]BP-Men'!A67</f>
        <v>110</v>
      </c>
      <c r="B232" s="16">
        <f>'[1]BP-Men'!B67</f>
        <v>232.5</v>
      </c>
      <c r="C232" s="16" t="str">
        <f>'[1]BP-Men'!C67</f>
        <v>Тенетко Дмитрий/75</v>
      </c>
      <c r="D232" s="16" t="str">
        <f t="shared" si="5"/>
        <v>75</v>
      </c>
      <c r="E232" s="16" t="str">
        <f>'[1]BP-Men'!D67</f>
        <v>Москва</v>
      </c>
      <c r="F232" s="17" t="str">
        <f>'[1]BP-Men'!E67</f>
        <v>23.08.2014</v>
      </c>
      <c r="G232" s="16" t="str">
        <f>'[1]BP-Men'!F67</f>
        <v>Москва</v>
      </c>
    </row>
    <row r="233" spans="1:7" x14ac:dyDescent="0.25">
      <c r="A233" s="28">
        <f>'[1]BP-Men'!A68</f>
        <v>125</v>
      </c>
      <c r="B233" s="16">
        <f>'[1]BP-Men'!B68</f>
        <v>250</v>
      </c>
      <c r="C233" s="16" t="str">
        <f>'[1]BP-Men'!C68</f>
        <v>Завгородний Андрей/81</v>
      </c>
      <c r="D233" s="16" t="str">
        <f t="shared" si="5"/>
        <v>81</v>
      </c>
      <c r="E233" s="16" t="str">
        <f>'[1]BP-Men'!D68</f>
        <v>Москва</v>
      </c>
      <c r="F233" s="17">
        <f>'[1]BP-Men'!E68</f>
        <v>41017</v>
      </c>
      <c r="G233" s="16" t="str">
        <f>'[1]BP-Men'!F68</f>
        <v>Ростов</v>
      </c>
    </row>
    <row r="234" spans="1:7" x14ac:dyDescent="0.25">
      <c r="A234" s="28">
        <f>'[1]BP-Men'!A69</f>
        <v>140</v>
      </c>
      <c r="B234" s="16">
        <f>'[1]BP-Men'!B69</f>
        <v>250</v>
      </c>
      <c r="C234" s="16" t="str">
        <f>'[1]BP-Men'!C69</f>
        <v>Гулян Артур/82</v>
      </c>
      <c r="D234" s="16" t="str">
        <f t="shared" si="5"/>
        <v>82</v>
      </c>
      <c r="E234" s="16" t="str">
        <f>'[1]BP-Men'!D69</f>
        <v>Краснодар</v>
      </c>
      <c r="F234" s="17" t="str">
        <f>'[1]BP-Men'!E69</f>
        <v>30.05.2014</v>
      </c>
      <c r="G234" s="16" t="str">
        <f>'[1]BP-Men'!F69</f>
        <v>Курск</v>
      </c>
    </row>
    <row r="235" spans="1:7" x14ac:dyDescent="0.25">
      <c r="A235" s="28" t="str">
        <f>'[1]BP-Men'!A70</f>
        <v>140+</v>
      </c>
      <c r="B235" s="16">
        <f>'[1]BP-Men'!B70</f>
        <v>220</v>
      </c>
      <c r="C235" s="16" t="str">
        <f>'[1]BP-Men'!C70</f>
        <v>Смирнов Юрий/71</v>
      </c>
      <c r="D235" s="16" t="str">
        <f t="shared" si="5"/>
        <v>71</v>
      </c>
      <c r="E235" s="16" t="str">
        <f>'[1]BP-Men'!D70</f>
        <v>Ухта</v>
      </c>
      <c r="F235" s="17">
        <f>'[1]BP-Men'!E70</f>
        <v>40088</v>
      </c>
      <c r="G235" s="16" t="str">
        <f>'[1]BP-Men'!F70</f>
        <v>Ростов</v>
      </c>
    </row>
    <row r="236" spans="1:7" x14ac:dyDescent="0.25">
      <c r="B236" s="16">
        <f>'[1]BP-Men'!B71</f>
        <v>0</v>
      </c>
      <c r="C236" s="16">
        <f>'[1]BP-Men'!C71</f>
        <v>0</v>
      </c>
      <c r="D236" s="16" t="str">
        <f t="shared" si="5"/>
        <v>0</v>
      </c>
      <c r="E236" s="16">
        <f>'[1]BP-Men'!D71</f>
        <v>0</v>
      </c>
      <c r="F236" s="17">
        <f>'[1]BP-Men'!E71</f>
        <v>0</v>
      </c>
      <c r="G236" s="16">
        <f>'[1]BP-Men'!F71</f>
        <v>0</v>
      </c>
    </row>
    <row r="237" spans="1:7" s="11" customFormat="1" x14ac:dyDescent="0.25">
      <c r="A237" s="22" t="s">
        <v>0</v>
      </c>
      <c r="B237" s="11">
        <v>1</v>
      </c>
      <c r="C237" s="11">
        <v>-4</v>
      </c>
      <c r="D237" s="11" t="str">
        <f>'[1]BP-Men'!B72</f>
        <v>МУЖЧИНЫ - САБМАСТЕРС  (33 - 39)</v>
      </c>
      <c r="F237" s="13"/>
    </row>
    <row r="238" spans="1:7" x14ac:dyDescent="0.25">
      <c r="A238" s="28">
        <f>'[1]BP-Men'!A73</f>
        <v>52</v>
      </c>
      <c r="B238" s="16">
        <f>'[1]BP-Men'!B73</f>
        <v>147.5</v>
      </c>
      <c r="C238" s="16" t="str">
        <f>'[1]BP-Men'!C73</f>
        <v>Шанин Александр/78</v>
      </c>
      <c r="D238" s="16" t="str">
        <f t="shared" si="5"/>
        <v>78</v>
      </c>
      <c r="E238" s="16" t="str">
        <f>'[1]BP-Men'!D73</f>
        <v>Алапаевск</v>
      </c>
      <c r="F238" s="17">
        <f>'[1]BP-Men'!E73</f>
        <v>41608</v>
      </c>
      <c r="G238" s="16" t="str">
        <f>'[1]BP-Men'!F73</f>
        <v>Екатеринбург</v>
      </c>
    </row>
    <row r="239" spans="1:7" x14ac:dyDescent="0.25">
      <c r="A239" s="28">
        <f>'[1]BP-Men'!A74</f>
        <v>56</v>
      </c>
      <c r="B239" s="16">
        <f>'[1]BP-Men'!B74</f>
        <v>127.5</v>
      </c>
      <c r="C239" s="16" t="str">
        <f>'[1]BP-Men'!C74</f>
        <v>Артемьев Олег/71</v>
      </c>
      <c r="D239" s="16" t="str">
        <f t="shared" si="5"/>
        <v>71</v>
      </c>
      <c r="E239" s="16" t="str">
        <f>'[1]BP-Men'!D74</f>
        <v>Глазов</v>
      </c>
      <c r="F239" s="17">
        <f>'[1]BP-Men'!E74</f>
        <v>40088</v>
      </c>
      <c r="G239" s="16" t="str">
        <f>'[1]BP-Men'!F74</f>
        <v>Ростов</v>
      </c>
    </row>
    <row r="240" spans="1:7" x14ac:dyDescent="0.25">
      <c r="A240" s="28">
        <f>'[1]BP-Men'!A75</f>
        <v>60</v>
      </c>
      <c r="B240" s="16">
        <f>'[1]BP-Men'!B75</f>
        <v>117.5</v>
      </c>
      <c r="C240" s="16" t="str">
        <f>'[1]BP-Men'!C75</f>
        <v>Федоров Александр/76</v>
      </c>
      <c r="D240" s="16" t="str">
        <f t="shared" si="5"/>
        <v>76</v>
      </c>
      <c r="E240" s="16" t="str">
        <f>'[1]BP-Men'!D75</f>
        <v>Шатурторф</v>
      </c>
      <c r="F240" s="17">
        <f>'[1]BP-Men'!E75</f>
        <v>40409</v>
      </c>
      <c r="G240" s="16" t="str">
        <f>'[1]BP-Men'!F75</f>
        <v>Москва</v>
      </c>
    </row>
    <row r="241" spans="1:7" x14ac:dyDescent="0.25">
      <c r="A241" s="28" t="str">
        <f>'[1]BP-Men'!A76</f>
        <v>67.5</v>
      </c>
      <c r="B241" s="16">
        <f>'[1]BP-Men'!B76</f>
        <v>162.5</v>
      </c>
      <c r="C241" s="16" t="str">
        <f>'[1]BP-Men'!C76</f>
        <v>Александров Александр/79</v>
      </c>
      <c r="D241" s="16" t="str">
        <f t="shared" si="5"/>
        <v>79</v>
      </c>
      <c r="E241" s="16" t="str">
        <f>'[1]BP-Men'!D76</f>
        <v>Змеиногорск</v>
      </c>
      <c r="F241" s="17">
        <f>'[1]BP-Men'!E76</f>
        <v>41137</v>
      </c>
      <c r="G241" s="16" t="str">
        <f>'[1]BP-Men'!F76</f>
        <v>Новосибирск</v>
      </c>
    </row>
    <row r="242" spans="1:7" x14ac:dyDescent="0.25">
      <c r="A242" s="28">
        <f>'[1]BP-Men'!A77</f>
        <v>75</v>
      </c>
      <c r="B242" s="16">
        <f>'[1]BP-Men'!B77</f>
        <v>180</v>
      </c>
      <c r="C242" s="16" t="str">
        <f>'[1]BP-Men'!C77</f>
        <v>Бабин Илья/80</v>
      </c>
      <c r="D242" s="16" t="str">
        <f t="shared" si="5"/>
        <v>80</v>
      </c>
      <c r="E242" s="16" t="str">
        <f>'[1]BP-Men'!D77</f>
        <v>Березники</v>
      </c>
      <c r="F242" s="17">
        <f>'[1]BP-Men'!E77</f>
        <v>41619</v>
      </c>
      <c r="G242" s="16" t="str">
        <f>'[1]BP-Men'!F77</f>
        <v>Курск</v>
      </c>
    </row>
    <row r="243" spans="1:7" x14ac:dyDescent="0.25">
      <c r="A243" s="28" t="str">
        <f>'[1]BP-Men'!A78</f>
        <v>82.5</v>
      </c>
      <c r="B243" s="16">
        <f>'[1]BP-Men'!B78</f>
        <v>186</v>
      </c>
      <c r="C243" s="16" t="str">
        <f>'[1]BP-Men'!C78</f>
        <v>Вебер Михаил/71</v>
      </c>
      <c r="D243" s="16" t="str">
        <f t="shared" si="5"/>
        <v>71</v>
      </c>
      <c r="E243" s="16" t="str">
        <f>'[1]BP-Men'!D78</f>
        <v>Ростов</v>
      </c>
      <c r="F243" s="17">
        <f>'[1]BP-Men'!E78</f>
        <v>39528</v>
      </c>
      <c r="G243" s="16" t="str">
        <f>'[1]BP-Men'!F78</f>
        <v>Ростов</v>
      </c>
    </row>
    <row r="244" spans="1:7" x14ac:dyDescent="0.25">
      <c r="A244" s="28">
        <f>'[1]BP-Men'!A79</f>
        <v>90</v>
      </c>
      <c r="B244" s="16">
        <f>'[1]BP-Men'!B79</f>
        <v>205</v>
      </c>
      <c r="C244" s="16" t="str">
        <f>'[1]BP-Men'!C79</f>
        <v>Хараузов Алексей/73</v>
      </c>
      <c r="D244" s="16" t="str">
        <f t="shared" si="5"/>
        <v>73</v>
      </c>
      <c r="E244" s="16" t="str">
        <f>'[1]BP-Men'!D79</f>
        <v>Лесной</v>
      </c>
      <c r="F244" s="17">
        <f>'[1]BP-Men'!E79</f>
        <v>39528</v>
      </c>
      <c r="G244" s="16" t="str">
        <f>'[1]BP-Men'!F79</f>
        <v>Ростов</v>
      </c>
    </row>
    <row r="245" spans="1:7" x14ac:dyDescent="0.25">
      <c r="A245" s="28">
        <f>'[1]BP-Men'!A80</f>
        <v>100</v>
      </c>
      <c r="B245" s="16">
        <f>'[1]BP-Men'!B80</f>
        <v>210</v>
      </c>
      <c r="C245" s="16" t="str">
        <f>'[1]BP-Men'!C80</f>
        <v>Милованов Павел/77</v>
      </c>
      <c r="D245" s="16" t="str">
        <f t="shared" si="5"/>
        <v>77</v>
      </c>
      <c r="E245" s="16" t="str">
        <f>'[1]BP-Men'!D80</f>
        <v>Москва</v>
      </c>
      <c r="F245" s="17" t="str">
        <f>'[1]BP-Men'!E80</f>
        <v>23.08.2014</v>
      </c>
      <c r="G245" s="16" t="str">
        <f>'[1]BP-Men'!F80</f>
        <v>Москва</v>
      </c>
    </row>
    <row r="246" spans="1:7" x14ac:dyDescent="0.25">
      <c r="A246" s="28">
        <f>'[1]BP-Men'!A81</f>
        <v>110</v>
      </c>
      <c r="B246" s="16">
        <f>'[1]BP-Men'!B81</f>
        <v>232.5</v>
      </c>
      <c r="C246" s="16" t="str">
        <f>'[1]BP-Men'!C81</f>
        <v>Тенетко Дмитрий/75</v>
      </c>
      <c r="D246" s="16" t="str">
        <f t="shared" si="5"/>
        <v>75</v>
      </c>
      <c r="E246" s="16" t="str">
        <f>'[1]BP-Men'!D81</f>
        <v>Москва</v>
      </c>
      <c r="F246" s="17" t="str">
        <f>'[1]BP-Men'!E81</f>
        <v>23.08.2014</v>
      </c>
      <c r="G246" s="16" t="str">
        <f>'[1]BP-Men'!F81</f>
        <v>Москва</v>
      </c>
    </row>
    <row r="247" spans="1:7" x14ac:dyDescent="0.25">
      <c r="A247" s="28">
        <f>'[1]BP-Men'!A82</f>
        <v>125</v>
      </c>
      <c r="B247" s="16">
        <f>'[1]BP-Men'!B82</f>
        <v>218</v>
      </c>
      <c r="C247" s="16" t="str">
        <f>'[1]BP-Men'!C82</f>
        <v>Шаров Андрей/74</v>
      </c>
      <c r="D247" s="16" t="str">
        <f t="shared" si="5"/>
        <v>74</v>
      </c>
      <c r="E247" s="16" t="str">
        <f>'[1]BP-Men'!D82</f>
        <v>Пермь</v>
      </c>
      <c r="F247" s="17" t="str">
        <f>'[1]BP-Men'!E82</f>
        <v>16.02.2013</v>
      </c>
      <c r="G247" s="16" t="str">
        <f>'[1]BP-Men'!F82</f>
        <v>Екатеринбург</v>
      </c>
    </row>
    <row r="248" spans="1:7" x14ac:dyDescent="0.25">
      <c r="A248" s="28">
        <f>'[1]BP-Men'!A83</f>
        <v>140</v>
      </c>
      <c r="B248" s="16">
        <f>'[1]BP-Men'!B83</f>
        <v>240</v>
      </c>
      <c r="C248" s="16" t="str">
        <f>'[1]BP-Men'!C83</f>
        <v>Худяков Сергей/75</v>
      </c>
      <c r="D248" s="16" t="str">
        <f t="shared" si="5"/>
        <v>75</v>
      </c>
      <c r="E248" s="16" t="str">
        <f>'[1]BP-Men'!D83</f>
        <v>Реж</v>
      </c>
      <c r="F248" s="17">
        <f>'[1]BP-Men'!E83</f>
        <v>41321</v>
      </c>
      <c r="G248" s="16" t="str">
        <f>'[1]BP-Men'!F83</f>
        <v>Екатеринбург</v>
      </c>
    </row>
    <row r="249" spans="1:7" x14ac:dyDescent="0.25">
      <c r="A249" s="28" t="str">
        <f>'[1]BP-Men'!A84</f>
        <v>140+</v>
      </c>
      <c r="B249" s="16">
        <f>'[1]BP-Men'!B84</f>
        <v>222.5</v>
      </c>
      <c r="C249" s="16" t="str">
        <f>'[1]BP-Men'!C84</f>
        <v>Козырев Олег/75</v>
      </c>
      <c r="D249" s="16" t="str">
        <f t="shared" si="5"/>
        <v>75</v>
      </c>
      <c r="E249" s="16" t="str">
        <f>'[1]BP-Men'!D84</f>
        <v>Волжский</v>
      </c>
      <c r="F249" s="17">
        <f>'[1]BP-Men'!E84</f>
        <v>41017</v>
      </c>
      <c r="G249" s="16" t="str">
        <f>'[1]BP-Men'!F84</f>
        <v>Ростов</v>
      </c>
    </row>
    <row r="250" spans="1:7" x14ac:dyDescent="0.25">
      <c r="B250" s="16">
        <f>'[1]BP-Men'!B85</f>
        <v>0</v>
      </c>
      <c r="C250" s="16">
        <f>'[1]BP-Men'!C85</f>
        <v>0</v>
      </c>
      <c r="D250" s="16" t="str">
        <f t="shared" si="5"/>
        <v>0</v>
      </c>
      <c r="E250" s="16">
        <f>'[1]BP-Men'!D85</f>
        <v>0</v>
      </c>
      <c r="F250" s="17">
        <f>'[1]BP-Men'!E85</f>
        <v>0</v>
      </c>
      <c r="G250" s="16">
        <f>'[1]BP-Men'!F85</f>
        <v>0</v>
      </c>
    </row>
    <row r="251" spans="1:7" s="11" customFormat="1" x14ac:dyDescent="0.25">
      <c r="A251" s="22" t="s">
        <v>0</v>
      </c>
      <c r="B251" s="11">
        <v>1</v>
      </c>
      <c r="C251" s="11">
        <v>40</v>
      </c>
      <c r="D251" s="11" t="str">
        <f>'[1]BP-Men'!B86</f>
        <v>МУЖЧИНЫ - МАСТЕРС  1(40 - 44)</v>
      </c>
      <c r="F251" s="13"/>
    </row>
    <row r="252" spans="1:7" x14ac:dyDescent="0.25">
      <c r="A252" s="28">
        <f>'[1]BP-Men'!A87</f>
        <v>52</v>
      </c>
      <c r="B252" s="16">
        <f>'[1]BP-Men'!B87</f>
        <v>0</v>
      </c>
      <c r="C252" s="16">
        <f>'[1]BP-Men'!C87</f>
        <v>0</v>
      </c>
      <c r="D252" s="16" t="str">
        <f t="shared" si="5"/>
        <v>0</v>
      </c>
      <c r="E252" s="16">
        <f>'[1]BP-Men'!D87</f>
        <v>0</v>
      </c>
      <c r="F252" s="17">
        <f>'[1]BP-Men'!E87</f>
        <v>0</v>
      </c>
      <c r="G252" s="16">
        <f>'[1]BP-Men'!F87</f>
        <v>0</v>
      </c>
    </row>
    <row r="253" spans="1:7" x14ac:dyDescent="0.25">
      <c r="A253" s="28">
        <f>'[1]BP-Men'!A88</f>
        <v>56</v>
      </c>
      <c r="B253" s="16">
        <f>'[1]BP-Men'!B88</f>
        <v>117.5</v>
      </c>
      <c r="C253" s="16" t="str">
        <f>'[1]BP-Men'!C88</f>
        <v>Артемьев Игорь/71</v>
      </c>
      <c r="D253" s="16" t="str">
        <f t="shared" si="5"/>
        <v>71</v>
      </c>
      <c r="E253" s="16" t="str">
        <f>'[1]BP-Men'!D88</f>
        <v>Глазов</v>
      </c>
      <c r="F253" s="17">
        <f>'[1]BP-Men'!E88</f>
        <v>41128</v>
      </c>
      <c r="G253" s="16" t="str">
        <f>'[1]BP-Men'!F88</f>
        <v>Кривой Рог</v>
      </c>
    </row>
    <row r="254" spans="1:7" x14ac:dyDescent="0.25">
      <c r="A254" s="28">
        <f>'[1]BP-Men'!A89</f>
        <v>60</v>
      </c>
      <c r="B254" s="16">
        <f>'[1]BP-Men'!B89</f>
        <v>126</v>
      </c>
      <c r="C254" s="16" t="str">
        <f>'[1]BP-Men'!C89</f>
        <v>Артемьев Олег/71</v>
      </c>
      <c r="D254" s="16" t="str">
        <f t="shared" si="5"/>
        <v>71</v>
      </c>
      <c r="E254" s="16" t="str">
        <f>'[1]BP-Men'!D89</f>
        <v>Глазов</v>
      </c>
      <c r="F254" s="17" t="str">
        <f>'[1]BP-Men'!E89</f>
        <v>23.08.2014</v>
      </c>
      <c r="G254" s="16" t="str">
        <f>'[1]BP-Men'!F89</f>
        <v>Москва</v>
      </c>
    </row>
    <row r="255" spans="1:7" x14ac:dyDescent="0.25">
      <c r="A255" s="28">
        <f>'[1]BP-Men'!A90</f>
        <v>67.5</v>
      </c>
      <c r="B255" s="16">
        <f>'[1]BP-Men'!B90</f>
        <v>150</v>
      </c>
      <c r="C255" s="16" t="str">
        <f>'[1]BP-Men'!C90</f>
        <v>Заболотнев Владимир/68</v>
      </c>
      <c r="D255" s="16" t="str">
        <f t="shared" si="5"/>
        <v>68</v>
      </c>
      <c r="E255" s="16" t="str">
        <f>'[1]BP-Men'!D90</f>
        <v>Курган</v>
      </c>
      <c r="F255" s="17">
        <f>'[1]BP-Men'!E90</f>
        <v>40640</v>
      </c>
      <c r="G255" s="16" t="str">
        <f>'[1]BP-Men'!F90</f>
        <v>Челябинск</v>
      </c>
    </row>
    <row r="256" spans="1:7" x14ac:dyDescent="0.25">
      <c r="A256" s="28">
        <f>'[1]BP-Men'!A91</f>
        <v>75</v>
      </c>
      <c r="B256" s="16">
        <f>'[1]BP-Men'!B91</f>
        <v>170</v>
      </c>
      <c r="C256" s="16" t="str">
        <f>'[1]BP-Men'!C91</f>
        <v>Щегольков Владимир/73</v>
      </c>
      <c r="D256" s="16" t="str">
        <f t="shared" si="5"/>
        <v>73</v>
      </c>
      <c r="E256" s="16" t="str">
        <f>'[1]BP-Men'!D91</f>
        <v>Москва</v>
      </c>
      <c r="F256" s="17">
        <f>'[1]BP-Men'!E91</f>
        <v>41497</v>
      </c>
      <c r="G256" s="16" t="str">
        <f>'[1]BP-Men'!F91</f>
        <v>Курск</v>
      </c>
    </row>
    <row r="257" spans="1:7" x14ac:dyDescent="0.25">
      <c r="A257" s="28" t="str">
        <f>'[1]BP-Men'!A92</f>
        <v>82.5</v>
      </c>
      <c r="B257" s="16">
        <f>'[1]BP-Men'!B92</f>
        <v>205</v>
      </c>
      <c r="C257" s="16" t="str">
        <f>'[1]BP-Men'!C92</f>
        <v>Меляев Эдуард/70</v>
      </c>
      <c r="D257" s="16" t="str">
        <f t="shared" si="5"/>
        <v>70</v>
      </c>
      <c r="E257" s="16" t="str">
        <f>'[1]BP-Men'!D92</f>
        <v>Московская</v>
      </c>
      <c r="F257" s="17">
        <f>'[1]BP-Men'!E92</f>
        <v>40814</v>
      </c>
      <c r="G257" s="16" t="str">
        <f>'[1]BP-Men'!F92</f>
        <v>Екатеринбург</v>
      </c>
    </row>
    <row r="258" spans="1:7" x14ac:dyDescent="0.25">
      <c r="A258" s="28">
        <f>'[1]BP-Men'!A93</f>
        <v>90</v>
      </c>
      <c r="B258" s="16">
        <f>'[1]BP-Men'!B93</f>
        <v>207.5</v>
      </c>
      <c r="C258" s="16" t="str">
        <f>'[1]BP-Men'!C93</f>
        <v>Галайда Андрей/72</v>
      </c>
      <c r="D258" s="16" t="str">
        <f t="shared" si="5"/>
        <v>72</v>
      </c>
      <c r="E258" s="16" t="str">
        <f>'[1]BP-Men'!D93</f>
        <v>Екатеринбург</v>
      </c>
      <c r="F258" s="17" t="str">
        <f>'[1]BP-Men'!E93</f>
        <v>23.08.2014</v>
      </c>
      <c r="G258" s="16" t="str">
        <f>'[1]BP-Men'!F93</f>
        <v>Москва</v>
      </c>
    </row>
    <row r="259" spans="1:7" x14ac:dyDescent="0.25">
      <c r="A259" s="28">
        <f>'[1]BP-Men'!A94</f>
        <v>100</v>
      </c>
      <c r="B259" s="16">
        <f>'[1]BP-Men'!B94</f>
        <v>215</v>
      </c>
      <c r="C259" s="16" t="str">
        <f>'[1]BP-Men'!C94</f>
        <v>Кошечкин Константин/73</v>
      </c>
      <c r="D259" s="16" t="str">
        <f t="shared" si="5"/>
        <v>73</v>
      </c>
      <c r="E259" s="16" t="str">
        <f>'[1]BP-Men'!D94</f>
        <v>Волгоград</v>
      </c>
      <c r="F259" s="17" t="str">
        <f>'[1]BP-Men'!E94</f>
        <v>23.08.2014</v>
      </c>
      <c r="G259" s="16" t="str">
        <f>'[1]BP-Men'!F94</f>
        <v>Москва</v>
      </c>
    </row>
    <row r="260" spans="1:7" x14ac:dyDescent="0.25">
      <c r="A260" s="28">
        <f>'[1]BP-Men'!A95</f>
        <v>110</v>
      </c>
      <c r="B260" s="16">
        <f>'[1]BP-Men'!B95</f>
        <v>210</v>
      </c>
      <c r="C260" s="16" t="str">
        <f>'[1]BP-Men'!C95</f>
        <v>Манцеров Сергей/70</v>
      </c>
      <c r="D260" s="16" t="str">
        <f t="shared" ref="D260:D328" si="6">RIGHT(C260,2)</f>
        <v>70</v>
      </c>
      <c r="E260" s="16" t="str">
        <f>'[1]BP-Men'!D95</f>
        <v>Ногинск</v>
      </c>
      <c r="F260" s="17" t="str">
        <f>'[1]BP-Men'!E95</f>
        <v>23.08.2014</v>
      </c>
      <c r="G260" s="16" t="str">
        <f>'[1]BP-Men'!F95</f>
        <v>Москва</v>
      </c>
    </row>
    <row r="261" spans="1:7" x14ac:dyDescent="0.25">
      <c r="A261" s="28">
        <f>'[1]BP-Men'!A96</f>
        <v>125</v>
      </c>
      <c r="B261" s="16">
        <f>'[1]BP-Men'!B96</f>
        <v>210</v>
      </c>
      <c r="C261" s="16" t="str">
        <f>'[1]BP-Men'!C96</f>
        <v>Сибилев Евгений/70</v>
      </c>
      <c r="D261" s="16" t="str">
        <f t="shared" si="6"/>
        <v>70</v>
      </c>
      <c r="E261" s="16" t="str">
        <f>'[1]BP-Men'!D96</f>
        <v xml:space="preserve">Ноябрьск </v>
      </c>
      <c r="F261" s="17">
        <f>'[1]BP-Men'!E96</f>
        <v>41619</v>
      </c>
      <c r="G261" s="16" t="str">
        <f>'[1]BP-Men'!F96</f>
        <v>Курск</v>
      </c>
    </row>
    <row r="262" spans="1:7" x14ac:dyDescent="0.25">
      <c r="A262" s="28">
        <f>'[1]BP-Men'!A97</f>
        <v>140</v>
      </c>
      <c r="B262" s="16">
        <f>'[1]BP-Men'!B97</f>
        <v>225</v>
      </c>
      <c r="C262" s="16" t="str">
        <f>'[1]BP-Men'!C97</f>
        <v>Семенов Александр/66</v>
      </c>
      <c r="D262" s="16" t="str">
        <f t="shared" si="6"/>
        <v>66</v>
      </c>
      <c r="E262" s="16" t="str">
        <f>'[1]BP-Men'!D97</f>
        <v>Москва</v>
      </c>
      <c r="F262" s="17">
        <f>'[1]BP-Men'!E97</f>
        <v>39203</v>
      </c>
      <c r="G262" s="16" t="str">
        <f>'[1]BP-Men'!F97</f>
        <v>Пушкино</v>
      </c>
    </row>
    <row r="263" spans="1:7" x14ac:dyDescent="0.25">
      <c r="A263" s="28" t="str">
        <f>'[1]BP-Men'!A98</f>
        <v>140+</v>
      </c>
      <c r="B263" s="16">
        <f>'[1]BP-Men'!B98</f>
        <v>220</v>
      </c>
      <c r="C263" s="16" t="str">
        <f>'[1]BP-Men'!C98</f>
        <v>Карпов Станислав/71</v>
      </c>
      <c r="D263" s="16" t="str">
        <f t="shared" si="6"/>
        <v>71</v>
      </c>
      <c r="E263" s="16" t="str">
        <f>'[1]BP-Men'!D98</f>
        <v>Климовск</v>
      </c>
      <c r="F263" s="17" t="str">
        <f>'[1]BP-Men'!E98</f>
        <v>23.08.2014</v>
      </c>
      <c r="G263" s="16" t="str">
        <f>'[1]BP-Men'!F98</f>
        <v>Москва</v>
      </c>
    </row>
    <row r="265" spans="1:7" s="11" customFormat="1" x14ac:dyDescent="0.25">
      <c r="A265" s="22" t="s">
        <v>0</v>
      </c>
      <c r="B265" s="11">
        <v>1</v>
      </c>
      <c r="C265" s="11">
        <v>45</v>
      </c>
      <c r="D265" s="11" t="str">
        <f>'[1]BP-Men'!B99</f>
        <v>МУЖЧИНЫ - МАСТЕРС  2(45 - 49)</v>
      </c>
      <c r="F265" s="13"/>
    </row>
    <row r="266" spans="1:7" x14ac:dyDescent="0.25">
      <c r="A266" s="28">
        <f>'[1]BP-Men'!A100</f>
        <v>52</v>
      </c>
      <c r="B266" s="16">
        <f>'[1]BP-Men'!B100</f>
        <v>95</v>
      </c>
      <c r="C266" s="16" t="str">
        <f>'[1]BP-Men'!C100</f>
        <v>Кравцов Вячеслав/67</v>
      </c>
      <c r="D266" s="16" t="str">
        <f t="shared" si="6"/>
        <v>67</v>
      </c>
      <c r="E266" s="16" t="str">
        <f>'[1]BP-Men'!D100</f>
        <v>Искитим</v>
      </c>
      <c r="F266" s="17">
        <f>'[1]BP-Men'!E100</f>
        <v>41503</v>
      </c>
      <c r="G266" s="16" t="str">
        <f>'[1]BP-Men'!F100</f>
        <v>Новосибирск</v>
      </c>
    </row>
    <row r="267" spans="1:7" x14ac:dyDescent="0.25">
      <c r="A267" s="28">
        <f>'[1]BP-Men'!A101</f>
        <v>56</v>
      </c>
      <c r="B267" s="16">
        <f>'[1]BP-Men'!B101</f>
        <v>0</v>
      </c>
      <c r="C267" s="16">
        <f>'[1]BP-Men'!C101</f>
        <v>0</v>
      </c>
      <c r="D267" s="16" t="str">
        <f t="shared" si="6"/>
        <v>0</v>
      </c>
      <c r="E267" s="16">
        <f>'[1]BP-Men'!D101</f>
        <v>0</v>
      </c>
      <c r="F267" s="17">
        <f>'[1]BP-Men'!E101</f>
        <v>0</v>
      </c>
      <c r="G267" s="16">
        <f>'[1]BP-Men'!F101</f>
        <v>0</v>
      </c>
    </row>
    <row r="268" spans="1:7" x14ac:dyDescent="0.25">
      <c r="A268" s="28">
        <f>'[1]BP-Men'!A102</f>
        <v>60</v>
      </c>
      <c r="B268" s="16">
        <f>'[1]BP-Men'!B102</f>
        <v>102.5</v>
      </c>
      <c r="C268" s="16" t="str">
        <f>'[1]BP-Men'!C102</f>
        <v>Двойников Олег/60</v>
      </c>
      <c r="D268" s="16" t="str">
        <f t="shared" si="6"/>
        <v>60</v>
      </c>
      <c r="E268" s="16" t="str">
        <f>'[1]BP-Men'!D102</f>
        <v>Великий Устюг</v>
      </c>
      <c r="F268" s="17">
        <f>'[1]BP-Men'!E102</f>
        <v>39871</v>
      </c>
      <c r="G268" s="16" t="str">
        <f>'[1]BP-Men'!F102</f>
        <v>Челябинск</v>
      </c>
    </row>
    <row r="269" spans="1:7" x14ac:dyDescent="0.25">
      <c r="A269" s="28">
        <f>'[1]BP-Men'!A103</f>
        <v>67.5</v>
      </c>
      <c r="B269" s="16">
        <f>'[1]BP-Men'!B103</f>
        <v>130</v>
      </c>
      <c r="C269" s="16" t="str">
        <f>'[1]BP-Men'!C103</f>
        <v>Максимов Александр/46</v>
      </c>
      <c r="D269" s="16" t="str">
        <f t="shared" si="6"/>
        <v>46</v>
      </c>
      <c r="E269" s="16">
        <f>'[1]BP-Men'!D103</f>
        <v>0</v>
      </c>
      <c r="F269" s="17">
        <f>'[1]BP-Men'!E103</f>
        <v>39203</v>
      </c>
      <c r="G269" s="16" t="str">
        <f>'[1]BP-Men'!F103</f>
        <v>Пушкино</v>
      </c>
    </row>
    <row r="270" spans="1:7" x14ac:dyDescent="0.25">
      <c r="A270" s="28">
        <f>'[1]BP-Men'!A104</f>
        <v>75</v>
      </c>
      <c r="B270" s="16">
        <f>'[1]BP-Men'!B104</f>
        <v>162.5</v>
      </c>
      <c r="C270" s="16" t="str">
        <f>'[1]BP-Men'!C104</f>
        <v>Решетников Владимир/60</v>
      </c>
      <c r="D270" s="16" t="str">
        <f t="shared" si="6"/>
        <v>60</v>
      </c>
      <c r="E270" s="16" t="str">
        <f>'[1]BP-Men'!D104</f>
        <v>Киров</v>
      </c>
      <c r="F270" s="17">
        <f>'[1]BP-Men'!E104</f>
        <v>39528</v>
      </c>
      <c r="G270" s="16" t="str">
        <f>'[1]BP-Men'!F104</f>
        <v>Ростов</v>
      </c>
    </row>
    <row r="271" spans="1:7" x14ac:dyDescent="0.25">
      <c r="A271" s="28" t="str">
        <f>'[1]BP-Men'!A105</f>
        <v>82.5</v>
      </c>
      <c r="B271" s="16">
        <f>'[1]BP-Men'!B105</f>
        <v>190.5</v>
      </c>
      <c r="C271" s="16" t="str">
        <f>'[1]BP-Men'!C105</f>
        <v>Решетников Владимир/60</v>
      </c>
      <c r="D271" s="16" t="str">
        <f t="shared" si="6"/>
        <v>60</v>
      </c>
      <c r="E271" s="16" t="str">
        <f>'[1]BP-Men'!D105</f>
        <v>Киров</v>
      </c>
      <c r="F271" s="17">
        <f>'[1]BP-Men'!E105</f>
        <v>40088</v>
      </c>
      <c r="G271" s="16" t="str">
        <f>'[1]BP-Men'!F105</f>
        <v>Ростов</v>
      </c>
    </row>
    <row r="272" spans="1:7" x14ac:dyDescent="0.25">
      <c r="A272" s="28">
        <f>'[1]BP-Men'!A106</f>
        <v>90</v>
      </c>
      <c r="B272" s="16">
        <f>'[1]BP-Men'!B106</f>
        <v>177.5</v>
      </c>
      <c r="C272" s="16" t="str">
        <f>'[1]BP-Men'!C106</f>
        <v>Петров Александр/60</v>
      </c>
      <c r="D272" s="16" t="str">
        <f t="shared" si="6"/>
        <v>60</v>
      </c>
      <c r="E272" s="16" t="str">
        <f>'[1]BP-Men'!D106</f>
        <v>Зеленоград</v>
      </c>
      <c r="F272" s="17">
        <f>'[1]BP-Men'!E106</f>
        <v>40088</v>
      </c>
      <c r="G272" s="16" t="str">
        <f>'[1]BP-Men'!F106</f>
        <v>Ростов</v>
      </c>
    </row>
    <row r="273" spans="1:7" x14ac:dyDescent="0.25">
      <c r="A273" s="28">
        <f>'[1]BP-Men'!A107</f>
        <v>100</v>
      </c>
      <c r="B273" s="16">
        <f>'[1]BP-Men'!B107</f>
        <v>180</v>
      </c>
      <c r="C273" s="16" t="str">
        <f>'[1]BP-Men'!C107</f>
        <v>Вержановский Сергей/67</v>
      </c>
      <c r="D273" s="16" t="str">
        <f t="shared" si="6"/>
        <v>67</v>
      </c>
      <c r="E273" s="16" t="str">
        <f>'[1]BP-Men'!D107</f>
        <v>Москва</v>
      </c>
      <c r="F273" s="17" t="str">
        <f>'[1]BP-Men'!E107</f>
        <v>23.08.2014</v>
      </c>
      <c r="G273" s="16" t="str">
        <f>'[1]BP-Men'!F107</f>
        <v>Москва</v>
      </c>
    </row>
    <row r="274" spans="1:7" x14ac:dyDescent="0.25">
      <c r="A274" s="28">
        <f>'[1]BP-Men'!A108</f>
        <v>110</v>
      </c>
      <c r="B274" s="16">
        <f>'[1]BP-Men'!B108</f>
        <v>192.5</v>
      </c>
      <c r="C274" s="16" t="str">
        <f>'[1]BP-Men'!C108</f>
        <v>Велес Евгений/68</v>
      </c>
      <c r="D274" s="16" t="str">
        <f t="shared" si="6"/>
        <v>68</v>
      </c>
      <c r="E274" s="16" t="str">
        <f>'[1]BP-Men'!D108</f>
        <v>Сходня</v>
      </c>
      <c r="F274" s="17" t="str">
        <f>'[1]BP-Men'!E108</f>
        <v>23.08.2014</v>
      </c>
      <c r="G274" s="16" t="str">
        <f>'[1]BP-Men'!F108</f>
        <v>Москва</v>
      </c>
    </row>
    <row r="275" spans="1:7" x14ac:dyDescent="0.25">
      <c r="A275" s="28">
        <f>'[1]BP-Men'!A109</f>
        <v>125</v>
      </c>
      <c r="B275" s="16">
        <f>'[1]BP-Men'!B109</f>
        <v>210</v>
      </c>
      <c r="C275" s="16" t="str">
        <f>'[1]BP-Men'!C109</f>
        <v>Оглоблин Денис/67</v>
      </c>
      <c r="D275" s="16" t="str">
        <f t="shared" si="6"/>
        <v>67</v>
      </c>
      <c r="E275" s="16" t="str">
        <f>'[1]BP-Men'!D109</f>
        <v>Москва</v>
      </c>
      <c r="F275" s="17">
        <f>'[1]BP-Men'!E109</f>
        <v>41201</v>
      </c>
      <c r="G275" s="16" t="str">
        <f>'[1]BP-Men'!F109</f>
        <v>Краснодар</v>
      </c>
    </row>
    <row r="276" spans="1:7" x14ac:dyDescent="0.25">
      <c r="A276" s="28">
        <f>'[1]BP-Men'!A110</f>
        <v>140</v>
      </c>
      <c r="B276" s="16">
        <f>'[1]BP-Men'!B110</f>
        <v>215</v>
      </c>
      <c r="C276" s="16" t="str">
        <f>'[1]BP-Men'!C110</f>
        <v>Хуторов Игорь/63</v>
      </c>
      <c r="D276" s="16" t="str">
        <f t="shared" si="6"/>
        <v>63</v>
      </c>
      <c r="E276" s="16" t="str">
        <f>'[1]BP-Men'!D110</f>
        <v>Шахты</v>
      </c>
      <c r="F276" s="17">
        <f>'[1]BP-Men'!E110</f>
        <v>41368</v>
      </c>
      <c r="G276" s="16" t="str">
        <f>'[1]BP-Men'!F110</f>
        <v>Краснодар</v>
      </c>
    </row>
    <row r="277" spans="1:7" x14ac:dyDescent="0.25">
      <c r="A277" s="28" t="str">
        <f>'[1]BP-Men'!A111</f>
        <v>140+</v>
      </c>
      <c r="B277" s="16">
        <f>'[1]BP-Men'!B111</f>
        <v>200</v>
      </c>
      <c r="C277" s="16" t="str">
        <f>'[1]BP-Men'!C111</f>
        <v>Настека Игорь/64</v>
      </c>
      <c r="D277" s="16" t="str">
        <f t="shared" si="6"/>
        <v>64</v>
      </c>
      <c r="E277" s="16" t="str">
        <f>'[1]BP-Men'!D111</f>
        <v>Саратов</v>
      </c>
      <c r="F277" s="17">
        <f>'[1]BP-Men'!E111</f>
        <v>40409</v>
      </c>
      <c r="G277" s="16" t="str">
        <f>'[1]BP-Men'!F111</f>
        <v>Москва</v>
      </c>
    </row>
    <row r="279" spans="1:7" s="11" customFormat="1" x14ac:dyDescent="0.25">
      <c r="A279" s="22" t="s">
        <v>0</v>
      </c>
      <c r="B279" s="11">
        <v>1</v>
      </c>
      <c r="C279" s="11">
        <v>50</v>
      </c>
      <c r="D279" s="11" t="str">
        <f>'[1]BP-Men'!B112</f>
        <v>МУЖЧИНЫ - МАСТЕРС  3(50 - 54)</v>
      </c>
      <c r="F279" s="13"/>
    </row>
    <row r="280" spans="1:7" x14ac:dyDescent="0.25">
      <c r="A280" s="28">
        <f>'[1]BP-Men'!A113</f>
        <v>52</v>
      </c>
      <c r="B280" s="16">
        <f>'[1]BP-Men'!B113</f>
        <v>0</v>
      </c>
      <c r="C280" s="16">
        <f>'[1]BP-Men'!C113</f>
        <v>0</v>
      </c>
      <c r="D280" s="16" t="str">
        <f t="shared" si="6"/>
        <v>0</v>
      </c>
      <c r="E280" s="16">
        <f>'[1]BP-Men'!D113</f>
        <v>0</v>
      </c>
      <c r="F280" s="17">
        <f>'[1]BP-Men'!E113</f>
        <v>0</v>
      </c>
      <c r="G280" s="16">
        <f>'[1]BP-Men'!F113</f>
        <v>0</v>
      </c>
    </row>
    <row r="281" spans="1:7" x14ac:dyDescent="0.25">
      <c r="A281" s="28">
        <f>'[1]BP-Men'!A114</f>
        <v>56</v>
      </c>
      <c r="B281" s="16">
        <f>'[1]BP-Men'!B114</f>
        <v>102.5</v>
      </c>
      <c r="C281" s="16" t="str">
        <f>'[1]BP-Men'!C114</f>
        <v>Ершов Виктор/60</v>
      </c>
      <c r="D281" s="16" t="str">
        <f t="shared" si="6"/>
        <v>60</v>
      </c>
      <c r="E281" s="16" t="str">
        <f>'[1]BP-Men'!D114</f>
        <v>Петрозаводск</v>
      </c>
      <c r="F281" s="17">
        <f>'[1]BP-Men'!E114</f>
        <v>41586</v>
      </c>
      <c r="G281" s="16" t="str">
        <f>'[1]BP-Men'!F114</f>
        <v>Вологда</v>
      </c>
    </row>
    <row r="282" spans="1:7" x14ac:dyDescent="0.25">
      <c r="A282" s="28">
        <f>'[1]BP-Men'!A115</f>
        <v>60</v>
      </c>
      <c r="B282" s="16">
        <f>'[1]BP-Men'!B115</f>
        <v>100</v>
      </c>
      <c r="C282" s="16" t="str">
        <f>'[1]BP-Men'!C115</f>
        <v>Двойников Олег/60</v>
      </c>
      <c r="D282" s="16" t="str">
        <f t="shared" si="6"/>
        <v>60</v>
      </c>
      <c r="E282" s="16" t="str">
        <f>'[1]BP-Men'!D115</f>
        <v>Великий Устюг</v>
      </c>
      <c r="F282" s="17">
        <f>'[1]BP-Men'!E115</f>
        <v>41720</v>
      </c>
      <c r="G282" s="16" t="str">
        <f>'[1]BP-Men'!F115</f>
        <v>Вологда</v>
      </c>
    </row>
    <row r="283" spans="1:7" x14ac:dyDescent="0.25">
      <c r="A283" s="28" t="str">
        <f>'[1]BP-Men'!A116</f>
        <v>67.5</v>
      </c>
      <c r="B283" s="16">
        <f>'[1]BP-Men'!B116</f>
        <v>117.5</v>
      </c>
      <c r="C283" s="16" t="str">
        <f>'[1]BP-Men'!C116</f>
        <v>Ким Сергей/57</v>
      </c>
      <c r="D283" s="16" t="str">
        <f t="shared" si="6"/>
        <v>57</v>
      </c>
      <c r="E283" s="16" t="str">
        <f>'[1]BP-Men'!D116</f>
        <v>Дальнегорск</v>
      </c>
      <c r="F283" s="17">
        <f>'[1]BP-Men'!E116</f>
        <v>40088</v>
      </c>
      <c r="G283" s="16" t="str">
        <f>'[1]BP-Men'!F116</f>
        <v>Ростов</v>
      </c>
    </row>
    <row r="284" spans="1:7" x14ac:dyDescent="0.25">
      <c r="A284" s="28">
        <f>'[1]BP-Men'!A117</f>
        <v>75</v>
      </c>
      <c r="B284" s="16">
        <f>'[1]BP-Men'!B117</f>
        <v>155</v>
      </c>
      <c r="C284" s="16" t="str">
        <f>'[1]BP-Men'!C117</f>
        <v>Татаркин Александр/55</v>
      </c>
      <c r="D284" s="16" t="str">
        <f t="shared" si="6"/>
        <v>55</v>
      </c>
      <c r="E284" s="16" t="str">
        <f>'[1]BP-Men'!D117</f>
        <v>Белгород</v>
      </c>
      <c r="F284" s="17">
        <f>'[1]BP-Men'!E117</f>
        <v>39794</v>
      </c>
      <c r="G284" s="16" t="str">
        <f>'[1]BP-Men'!F117</f>
        <v>Курск</v>
      </c>
    </row>
    <row r="285" spans="1:7" x14ac:dyDescent="0.25">
      <c r="A285" s="28" t="str">
        <f>'[1]BP-Men'!A118</f>
        <v>82.5</v>
      </c>
      <c r="B285" s="16">
        <f>'[1]BP-Men'!B118</f>
        <v>185.5</v>
      </c>
      <c r="C285" s="16" t="str">
        <f>'[1]BP-Men'!C118</f>
        <v>Решетников Владимир/60</v>
      </c>
      <c r="D285" s="16" t="str">
        <f t="shared" si="6"/>
        <v>60</v>
      </c>
      <c r="E285" s="16" t="str">
        <f>'[1]BP-Men'!D118</f>
        <v>Киров</v>
      </c>
      <c r="F285" s="17">
        <f>'[1]BP-Men'!E118</f>
        <v>40453</v>
      </c>
      <c r="G285" s="16" t="str">
        <f>'[1]BP-Men'!F118</f>
        <v>Екатеринбург</v>
      </c>
    </row>
    <row r="286" spans="1:7" x14ac:dyDescent="0.25">
      <c r="A286" s="28">
        <f>'[1]BP-Men'!A119</f>
        <v>90</v>
      </c>
      <c r="B286" s="16">
        <f>'[1]BP-Men'!B119</f>
        <v>172.5</v>
      </c>
      <c r="C286" s="16" t="str">
        <f>'[1]BP-Men'!C119</f>
        <v>Скворцов Леонид/62</v>
      </c>
      <c r="D286" s="16" t="str">
        <f t="shared" si="6"/>
        <v>62</v>
      </c>
      <c r="E286" s="16" t="str">
        <f>'[1]BP-Men'!D119</f>
        <v>Брянск</v>
      </c>
      <c r="F286" s="17" t="str">
        <f>'[1]BP-Men'!E119</f>
        <v>23.08.2014</v>
      </c>
      <c r="G286" s="16" t="str">
        <f>'[1]BP-Men'!F119</f>
        <v>Москва</v>
      </c>
    </row>
    <row r="287" spans="1:7" x14ac:dyDescent="0.25">
      <c r="A287" s="28">
        <f>'[1]BP-Men'!A120</f>
        <v>100</v>
      </c>
      <c r="B287" s="16">
        <f>'[1]BP-Men'!B120</f>
        <v>200</v>
      </c>
      <c r="C287" s="16" t="str">
        <f>'[1]BP-Men'!C120</f>
        <v>Лебедев Игорь/62</v>
      </c>
      <c r="D287" s="16" t="str">
        <f t="shared" si="6"/>
        <v>62</v>
      </c>
      <c r="E287" s="16" t="str">
        <f>'[1]BP-Men'!D120</f>
        <v>Москва</v>
      </c>
      <c r="F287" s="17">
        <f>'[1]BP-Men'!E120</f>
        <v>41619</v>
      </c>
      <c r="G287" s="16" t="str">
        <f>'[1]BP-Men'!F120</f>
        <v>Курск</v>
      </c>
    </row>
    <row r="288" spans="1:7" x14ac:dyDescent="0.25">
      <c r="A288" s="28">
        <f>'[1]BP-Men'!A121</f>
        <v>110</v>
      </c>
      <c r="B288" s="16">
        <f>'[1]BP-Men'!B121</f>
        <v>210</v>
      </c>
      <c r="C288" s="16" t="str">
        <f>'[1]BP-Men'!C121</f>
        <v>Лебедев Игорь/62</v>
      </c>
      <c r="D288" s="16" t="str">
        <f t="shared" si="6"/>
        <v>62</v>
      </c>
      <c r="E288" s="16" t="str">
        <f>'[1]BP-Men'!D121</f>
        <v>Москва</v>
      </c>
      <c r="F288" s="17" t="str">
        <f>'[1]BP-Men'!E121</f>
        <v>23.08.2014</v>
      </c>
      <c r="G288" s="16" t="str">
        <f>'[1]BP-Men'!F121</f>
        <v>Москва</v>
      </c>
    </row>
    <row r="289" spans="1:7" x14ac:dyDescent="0.25">
      <c r="A289" s="28">
        <f>'[1]BP-Men'!A122</f>
        <v>125</v>
      </c>
      <c r="B289" s="16">
        <f>'[1]BP-Men'!B122</f>
        <v>192.5</v>
      </c>
      <c r="C289" s="16" t="str">
        <f>'[1]BP-Men'!C122</f>
        <v>Зиганчин Игорь/60</v>
      </c>
      <c r="D289" s="16" t="str">
        <f t="shared" si="6"/>
        <v>60</v>
      </c>
      <c r="E289" s="16" t="str">
        <f>'[1]BP-Men'!D122</f>
        <v>Москва</v>
      </c>
      <c r="F289" s="17">
        <f>'[1]BP-Men'!E122</f>
        <v>40769</v>
      </c>
      <c r="G289" s="16" t="str">
        <f>'[1]BP-Men'!F122</f>
        <v>Курск</v>
      </c>
    </row>
    <row r="290" spans="1:7" x14ac:dyDescent="0.25">
      <c r="A290" s="28">
        <f>'[1]BP-Men'!A123</f>
        <v>140</v>
      </c>
      <c r="B290" s="16">
        <f>'[1]BP-Men'!B123</f>
        <v>0</v>
      </c>
      <c r="C290" s="16">
        <f>'[1]BP-Men'!C123</f>
        <v>0</v>
      </c>
      <c r="D290" s="16" t="str">
        <f t="shared" si="6"/>
        <v>0</v>
      </c>
      <c r="E290" s="16">
        <f>'[1]BP-Men'!D123</f>
        <v>0</v>
      </c>
      <c r="F290" s="17">
        <f>'[1]BP-Men'!E123</f>
        <v>0</v>
      </c>
      <c r="G290" s="16">
        <f>'[1]BP-Men'!F123</f>
        <v>0</v>
      </c>
    </row>
    <row r="291" spans="1:7" x14ac:dyDescent="0.25">
      <c r="A291" s="28" t="str">
        <f>'[1]BP-Men'!A124</f>
        <v>140+</v>
      </c>
      <c r="B291" s="16">
        <f>'[1]BP-Men'!B124</f>
        <v>185</v>
      </c>
      <c r="C291" s="16" t="str">
        <f>'[1]BP-Men'!C124</f>
        <v>Настека Игорь/64</v>
      </c>
      <c r="D291" s="16" t="str">
        <f t="shared" si="6"/>
        <v>64</v>
      </c>
      <c r="E291" s="16" t="str">
        <f>'[1]BP-Men'!D124</f>
        <v>Саратов</v>
      </c>
      <c r="F291" s="17" t="str">
        <f>'[1]BP-Men'!E124</f>
        <v>23.08.2014</v>
      </c>
      <c r="G291" s="16" t="str">
        <f>'[1]BP-Men'!F124</f>
        <v>Москва</v>
      </c>
    </row>
    <row r="293" spans="1:7" s="11" customFormat="1" x14ac:dyDescent="0.25">
      <c r="A293" s="22" t="s">
        <v>0</v>
      </c>
      <c r="B293" s="11">
        <v>1</v>
      </c>
      <c r="C293" s="11">
        <v>55</v>
      </c>
      <c r="D293" s="11" t="str">
        <f>'[1]BP-Men'!B125</f>
        <v>МУЖЧИНЫ - МАСТЕРС  4(55 - 59)</v>
      </c>
      <c r="F293" s="13"/>
    </row>
    <row r="294" spans="1:7" x14ac:dyDescent="0.25">
      <c r="A294" s="28">
        <f>'[1]BP-Men'!A126</f>
        <v>52</v>
      </c>
      <c r="B294" s="16">
        <f>'[1]BP-Men'!B126</f>
        <v>70</v>
      </c>
      <c r="C294" s="16" t="str">
        <f>'[1]BP-Men'!C126</f>
        <v>Грачев Николай/56</v>
      </c>
      <c r="D294" s="16" t="str">
        <f t="shared" si="6"/>
        <v>56</v>
      </c>
      <c r="E294" s="16" t="str">
        <f>'[1]BP-Men'!D126</f>
        <v>Липецк</v>
      </c>
      <c r="F294" s="17">
        <f>'[1]BP-Men'!E126</f>
        <v>41368</v>
      </c>
      <c r="G294" s="16" t="str">
        <f>'[1]BP-Men'!F126</f>
        <v>Краснодар</v>
      </c>
    </row>
    <row r="295" spans="1:7" x14ac:dyDescent="0.25">
      <c r="A295" s="28">
        <f>'[1]BP-Men'!A127</f>
        <v>56</v>
      </c>
      <c r="B295" s="16">
        <f>'[1]BP-Men'!B127</f>
        <v>0</v>
      </c>
      <c r="C295" s="16">
        <f>'[1]BP-Men'!C127</f>
        <v>0</v>
      </c>
      <c r="D295" s="16" t="str">
        <f t="shared" si="6"/>
        <v>0</v>
      </c>
      <c r="E295" s="16">
        <f>'[1]BP-Men'!D127</f>
        <v>0</v>
      </c>
      <c r="F295" s="17">
        <f>'[1]BP-Men'!E127</f>
        <v>0</v>
      </c>
      <c r="G295" s="16">
        <f>'[1]BP-Men'!F127</f>
        <v>0</v>
      </c>
    </row>
    <row r="296" spans="1:7" x14ac:dyDescent="0.25">
      <c r="A296" s="28">
        <f>'[1]BP-Men'!A128</f>
        <v>60</v>
      </c>
      <c r="B296" s="16">
        <f>'[1]BP-Men'!B128</f>
        <v>0</v>
      </c>
      <c r="C296" s="16">
        <f>'[1]BP-Men'!C128</f>
        <v>0</v>
      </c>
      <c r="D296" s="16" t="str">
        <f t="shared" si="6"/>
        <v>0</v>
      </c>
      <c r="E296" s="16">
        <f>'[1]BP-Men'!D128</f>
        <v>0</v>
      </c>
      <c r="F296" s="17">
        <f>'[1]BP-Men'!E128</f>
        <v>0</v>
      </c>
      <c r="G296" s="16">
        <f>'[1]BP-Men'!F128</f>
        <v>0</v>
      </c>
    </row>
    <row r="297" spans="1:7" x14ac:dyDescent="0.25">
      <c r="A297" s="28">
        <f>'[1]BP-Men'!A129</f>
        <v>67.5</v>
      </c>
      <c r="B297" s="16">
        <f>'[1]BP-Men'!B129</f>
        <v>87.5</v>
      </c>
      <c r="C297" s="16" t="str">
        <f>'[1]BP-Men'!C129</f>
        <v>Вильчицкий Анатолий/55</v>
      </c>
      <c r="D297" s="16" t="str">
        <f t="shared" si="6"/>
        <v>55</v>
      </c>
      <c r="E297" s="16" t="str">
        <f>'[1]BP-Men'!D129</f>
        <v>Вологда</v>
      </c>
      <c r="F297" s="17">
        <f>'[1]BP-Men'!E129</f>
        <v>41586</v>
      </c>
      <c r="G297" s="16" t="str">
        <f>'[1]BP-Men'!F129</f>
        <v>Вологда</v>
      </c>
    </row>
    <row r="298" spans="1:7" x14ac:dyDescent="0.25">
      <c r="A298" s="28">
        <f>'[1]BP-Men'!A130</f>
        <v>75</v>
      </c>
      <c r="B298" s="16">
        <f>'[1]BP-Men'!B130</f>
        <v>140</v>
      </c>
      <c r="C298" s="16" t="str">
        <f>'[1]BP-Men'!C130</f>
        <v>Новиков Олег/56</v>
      </c>
      <c r="D298" s="16" t="str">
        <f t="shared" si="6"/>
        <v>56</v>
      </c>
      <c r="E298" s="16" t="str">
        <f>'[1]BP-Men'!D130</f>
        <v>Зеленоград</v>
      </c>
      <c r="F298" s="17" t="str">
        <f>'[1]BP-Men'!E130</f>
        <v>23.08.2014</v>
      </c>
      <c r="G298" s="16" t="str">
        <f>'[1]BP-Men'!F130</f>
        <v>Москва</v>
      </c>
    </row>
    <row r="299" spans="1:7" x14ac:dyDescent="0.25">
      <c r="A299" s="28" t="str">
        <f>'[1]BP-Men'!A131</f>
        <v>82.5</v>
      </c>
      <c r="B299" s="16">
        <f>'[1]BP-Men'!B131</f>
        <v>152.5</v>
      </c>
      <c r="C299" s="16" t="str">
        <f>'[1]BP-Men'!C131</f>
        <v>Ковалев Игорь/57</v>
      </c>
      <c r="D299" s="16" t="str">
        <f t="shared" si="6"/>
        <v>57</v>
      </c>
      <c r="E299" s="16" t="str">
        <f>'[1]BP-Men'!D131</f>
        <v>Москва</v>
      </c>
      <c r="F299" s="17">
        <f>'[1]BP-Men'!E131</f>
        <v>41439</v>
      </c>
      <c r="G299" s="16" t="str">
        <f>'[1]BP-Men'!F131</f>
        <v>Москва</v>
      </c>
    </row>
    <row r="300" spans="1:7" x14ac:dyDescent="0.25">
      <c r="A300" s="28">
        <f>'[1]BP-Men'!A132</f>
        <v>90</v>
      </c>
      <c r="B300" s="16">
        <f>'[1]BP-Men'!B132</f>
        <v>155</v>
      </c>
      <c r="C300" s="16" t="str">
        <f>'[1]BP-Men'!C132</f>
        <v>Зверев Николай/56</v>
      </c>
      <c r="D300" s="16" t="str">
        <f t="shared" si="6"/>
        <v>56</v>
      </c>
      <c r="E300" s="16">
        <f>'[1]BP-Men'!D132</f>
        <v>0</v>
      </c>
      <c r="F300" s="17">
        <f>'[1]BP-Men'!E132</f>
        <v>40814</v>
      </c>
      <c r="G300" s="16" t="str">
        <f>'[1]BP-Men'!F132</f>
        <v>Екатеринбург</v>
      </c>
    </row>
    <row r="301" spans="1:7" x14ac:dyDescent="0.25">
      <c r="A301" s="28">
        <f>'[1]BP-Men'!A133</f>
        <v>100</v>
      </c>
      <c r="B301" s="16">
        <f>'[1]BP-Men'!B133</f>
        <v>172.5</v>
      </c>
      <c r="C301" s="16" t="str">
        <f>'[1]BP-Men'!C133</f>
        <v>Кузеев Дамир/52</v>
      </c>
      <c r="D301" s="16" t="str">
        <f t="shared" si="6"/>
        <v>52</v>
      </c>
      <c r="E301" s="16" t="str">
        <f>'[1]BP-Men'!D133</f>
        <v>Североморск</v>
      </c>
      <c r="F301" s="17">
        <f>'[1]BP-Men'!E133</f>
        <v>40088</v>
      </c>
      <c r="G301" s="16" t="str">
        <f>'[1]BP-Men'!F133</f>
        <v>Ростов</v>
      </c>
    </row>
    <row r="302" spans="1:7" x14ac:dyDescent="0.25">
      <c r="A302" s="28">
        <f>'[1]BP-Men'!A134</f>
        <v>110</v>
      </c>
      <c r="B302" s="16">
        <f>'[1]BP-Men'!B134</f>
        <v>180</v>
      </c>
      <c r="C302" s="16" t="str">
        <f>'[1]BP-Men'!C134</f>
        <v>Егозарьян Грачик/52</v>
      </c>
      <c r="D302" s="16" t="str">
        <f t="shared" si="6"/>
        <v>52</v>
      </c>
      <c r="E302" s="16" t="str">
        <f>'[1]BP-Men'!D134</f>
        <v>Волгоград</v>
      </c>
      <c r="F302" s="17">
        <f>'[1]BP-Men'!E134</f>
        <v>40088</v>
      </c>
      <c r="G302" s="16" t="str">
        <f>'[1]BP-Men'!F134</f>
        <v>Ростов</v>
      </c>
    </row>
    <row r="303" spans="1:7" x14ac:dyDescent="0.25">
      <c r="A303" s="28">
        <f>'[1]BP-Men'!A135</f>
        <v>125</v>
      </c>
      <c r="B303" s="16">
        <f>'[1]BP-Men'!B135</f>
        <v>165</v>
      </c>
      <c r="C303" s="16" t="str">
        <f>'[1]BP-Men'!C135</f>
        <v>Чуба Роман/54</v>
      </c>
      <c r="D303" s="16" t="str">
        <f t="shared" si="6"/>
        <v>54</v>
      </c>
      <c r="E303" s="16" t="str">
        <f>'[1]BP-Men'!D135</f>
        <v>Воркута</v>
      </c>
      <c r="F303" s="17">
        <f>'[1]BP-Men'!E135</f>
        <v>41067</v>
      </c>
      <c r="G303" s="16" t="str">
        <f>'[1]BP-Men'!F135</f>
        <v>Москва</v>
      </c>
    </row>
    <row r="304" spans="1:7" x14ac:dyDescent="0.25">
      <c r="A304" s="28">
        <f>'[1]BP-Men'!A136</f>
        <v>140</v>
      </c>
      <c r="B304" s="16">
        <f>'[1]BP-Men'!B136</f>
        <v>0</v>
      </c>
      <c r="C304" s="16">
        <f>'[1]BP-Men'!C136</f>
        <v>0</v>
      </c>
      <c r="D304" s="16" t="str">
        <f t="shared" si="6"/>
        <v>0</v>
      </c>
      <c r="E304" s="16">
        <f>'[1]BP-Men'!D136</f>
        <v>0</v>
      </c>
      <c r="F304" s="17">
        <f>'[1]BP-Men'!E136</f>
        <v>0</v>
      </c>
      <c r="G304" s="16">
        <f>'[1]BP-Men'!F136</f>
        <v>0</v>
      </c>
    </row>
    <row r="305" spans="1:7" x14ac:dyDescent="0.25">
      <c r="A305" s="28" t="str">
        <f>'[1]BP-Men'!A137</f>
        <v>140+</v>
      </c>
      <c r="B305" s="16">
        <f>'[1]BP-Men'!B137</f>
        <v>0</v>
      </c>
      <c r="C305" s="16">
        <f>'[1]BP-Men'!C137</f>
        <v>0</v>
      </c>
      <c r="D305" s="16" t="str">
        <f t="shared" si="6"/>
        <v>0</v>
      </c>
      <c r="E305" s="16">
        <f>'[1]BP-Men'!D137</f>
        <v>0</v>
      </c>
      <c r="F305" s="17">
        <f>'[1]BP-Men'!E137</f>
        <v>0</v>
      </c>
      <c r="G305" s="16">
        <f>'[1]BP-Men'!F137</f>
        <v>0</v>
      </c>
    </row>
    <row r="307" spans="1:7" s="11" customFormat="1" x14ac:dyDescent="0.25">
      <c r="A307" s="22" t="s">
        <v>0</v>
      </c>
      <c r="B307" s="11">
        <v>1</v>
      </c>
      <c r="C307" s="11">
        <v>60</v>
      </c>
      <c r="D307" s="11" t="str">
        <f>'[1]BP-Men'!B138</f>
        <v>МУЖЧИНЫ - МАСТЕРС  5(60 - 64)</v>
      </c>
      <c r="F307" s="13"/>
    </row>
    <row r="308" spans="1:7" x14ac:dyDescent="0.25">
      <c r="A308" s="28">
        <f>'[1]BP-Men'!A139</f>
        <v>52</v>
      </c>
      <c r="B308" s="16">
        <f>'[1]BP-Men'!B139</f>
        <v>0</v>
      </c>
      <c r="C308" s="16">
        <f>'[1]BP-Men'!C139</f>
        <v>0</v>
      </c>
      <c r="D308" s="16" t="str">
        <f t="shared" si="6"/>
        <v>0</v>
      </c>
      <c r="E308" s="16">
        <f>'[1]BP-Men'!D139</f>
        <v>0</v>
      </c>
      <c r="F308" s="17">
        <f>'[1]BP-Men'!E139</f>
        <v>0</v>
      </c>
      <c r="G308" s="16">
        <f>'[1]BP-Men'!F139</f>
        <v>0</v>
      </c>
    </row>
    <row r="309" spans="1:7" x14ac:dyDescent="0.25">
      <c r="A309" s="28">
        <f>'[1]BP-Men'!A140</f>
        <v>56</v>
      </c>
      <c r="B309" s="16">
        <f>'[1]BP-Men'!B140</f>
        <v>0</v>
      </c>
      <c r="C309" s="16">
        <f>'[1]BP-Men'!C140</f>
        <v>0</v>
      </c>
      <c r="D309" s="16" t="str">
        <f t="shared" si="6"/>
        <v>0</v>
      </c>
      <c r="E309" s="16">
        <f>'[1]BP-Men'!D140</f>
        <v>0</v>
      </c>
      <c r="F309" s="17">
        <f>'[1]BP-Men'!E140</f>
        <v>0</v>
      </c>
      <c r="G309" s="16">
        <f>'[1]BP-Men'!F140</f>
        <v>0</v>
      </c>
    </row>
    <row r="310" spans="1:7" x14ac:dyDescent="0.25">
      <c r="A310" s="28">
        <f>'[1]BP-Men'!A141</f>
        <v>60</v>
      </c>
      <c r="B310" s="16">
        <f>'[1]BP-Men'!B141</f>
        <v>0</v>
      </c>
      <c r="C310" s="16">
        <f>'[1]BP-Men'!C141</f>
        <v>0</v>
      </c>
      <c r="D310" s="16" t="str">
        <f t="shared" si="6"/>
        <v>0</v>
      </c>
      <c r="E310" s="16">
        <f>'[1]BP-Men'!D141</f>
        <v>0</v>
      </c>
      <c r="F310" s="17">
        <f>'[1]BP-Men'!E141</f>
        <v>0</v>
      </c>
      <c r="G310" s="16">
        <f>'[1]BP-Men'!F141</f>
        <v>0</v>
      </c>
    </row>
    <row r="311" spans="1:7" x14ac:dyDescent="0.25">
      <c r="A311" s="28">
        <f>'[1]BP-Men'!A142</f>
        <v>67.5</v>
      </c>
      <c r="B311" s="16">
        <f>'[1]BP-Men'!B142</f>
        <v>100</v>
      </c>
      <c r="C311" s="16" t="str">
        <f>'[1]BP-Men'!C142</f>
        <v>Баев Валерий/51</v>
      </c>
      <c r="D311" s="16" t="str">
        <f t="shared" si="6"/>
        <v>51</v>
      </c>
      <c r="E311" s="16" t="str">
        <f>'[1]BP-Men'!D142</f>
        <v>Омск</v>
      </c>
      <c r="F311" s="17">
        <f>'[1]BP-Men'!E142</f>
        <v>41501</v>
      </c>
      <c r="G311" s="16" t="str">
        <f>'[1]BP-Men'!F142</f>
        <v>Новосибирск</v>
      </c>
    </row>
    <row r="312" spans="1:7" x14ac:dyDescent="0.25">
      <c r="A312" s="28">
        <f>'[1]BP-Men'!A143</f>
        <v>75</v>
      </c>
      <c r="B312" s="16">
        <f>'[1]BP-Men'!B143</f>
        <v>140</v>
      </c>
      <c r="C312" s="16" t="str">
        <f>'[1]BP-Men'!C143</f>
        <v>Папушой Виктор/53</v>
      </c>
      <c r="D312" s="16" t="str">
        <f t="shared" si="6"/>
        <v>53</v>
      </c>
      <c r="E312" s="16" t="str">
        <f>'[1]BP-Men'!D143</f>
        <v>Череповец</v>
      </c>
      <c r="F312" s="17" t="str">
        <f>'[1]BP-Men'!E143</f>
        <v>23.08.2014</v>
      </c>
      <c r="G312" s="16" t="str">
        <f>'[1]BP-Men'!F143</f>
        <v>Москва</v>
      </c>
    </row>
    <row r="313" spans="1:7" x14ac:dyDescent="0.25">
      <c r="A313" s="28">
        <f>'[1]BP-Men'!A144</f>
        <v>82.5</v>
      </c>
      <c r="B313" s="16">
        <f>'[1]BP-Men'!B144</f>
        <v>140</v>
      </c>
      <c r="C313" s="16" t="str">
        <f>'[1]BP-Men'!C144</f>
        <v>Цориев Эльдар/46</v>
      </c>
      <c r="D313" s="16" t="str">
        <f t="shared" si="6"/>
        <v>46</v>
      </c>
      <c r="E313" s="16" t="str">
        <f>'[1]BP-Men'!D144</f>
        <v>Екатеринбург</v>
      </c>
      <c r="F313" s="17">
        <f>'[1]BP-Men'!E144</f>
        <v>40088</v>
      </c>
      <c r="G313" s="16" t="str">
        <f>'[1]BP-Men'!F144</f>
        <v>Ростов</v>
      </c>
    </row>
    <row r="314" spans="1:7" x14ac:dyDescent="0.25">
      <c r="A314" s="28">
        <f>'[1]BP-Men'!A145</f>
        <v>90</v>
      </c>
      <c r="B314" s="16">
        <f>'[1]BP-Men'!B145</f>
        <v>160</v>
      </c>
      <c r="C314" s="16" t="str">
        <f>'[1]BP-Men'!C145</f>
        <v>Станчак Вячеслав/52</v>
      </c>
      <c r="D314" s="16" t="str">
        <f t="shared" si="6"/>
        <v>52</v>
      </c>
      <c r="E314" s="16" t="str">
        <f>'[1]BP-Men'!D145</f>
        <v>Москва</v>
      </c>
      <c r="F314" s="17" t="str">
        <f>'[1]BP-Men'!E145</f>
        <v>23.08.2014</v>
      </c>
      <c r="G314" s="16" t="str">
        <f>'[1]BP-Men'!F145</f>
        <v>Москва</v>
      </c>
    </row>
    <row r="315" spans="1:7" x14ac:dyDescent="0.25">
      <c r="A315" s="28">
        <f>'[1]BP-Men'!A146</f>
        <v>100</v>
      </c>
      <c r="B315" s="16">
        <f>'[1]BP-Men'!B146</f>
        <v>150</v>
      </c>
      <c r="C315" s="16" t="str">
        <f>'[1]BP-Men'!C146</f>
        <v>Калинин Григорий/50</v>
      </c>
      <c r="D315" s="16" t="str">
        <f t="shared" si="6"/>
        <v>50</v>
      </c>
      <c r="E315" s="16" t="str">
        <f>'[1]BP-Men'!D146</f>
        <v>Братск</v>
      </c>
      <c r="F315" s="17">
        <f>'[1]BP-Men'!E146</f>
        <v>41137</v>
      </c>
      <c r="G315" s="16" t="str">
        <f>'[1]BP-Men'!F146</f>
        <v>Новосибирск</v>
      </c>
    </row>
    <row r="316" spans="1:7" x14ac:dyDescent="0.25">
      <c r="A316" s="28">
        <f>'[1]BP-Men'!A147</f>
        <v>110</v>
      </c>
      <c r="B316" s="16">
        <f>'[1]BP-Men'!B147</f>
        <v>160</v>
      </c>
      <c r="C316" s="16" t="str">
        <f>'[1]BP-Men'!C147</f>
        <v>Пауесов Анатолий/53</v>
      </c>
      <c r="D316" s="16" t="str">
        <f t="shared" si="6"/>
        <v>53</v>
      </c>
      <c r="E316" s="16" t="str">
        <f>'[1]BP-Men'!D147</f>
        <v>Сергиев Посад</v>
      </c>
      <c r="F316" s="17" t="str">
        <f>'[1]BP-Men'!E147</f>
        <v>23.08.2014</v>
      </c>
      <c r="G316" s="16" t="str">
        <f>'[1]BP-Men'!F147</f>
        <v>Москва</v>
      </c>
    </row>
    <row r="317" spans="1:7" x14ac:dyDescent="0.25">
      <c r="A317" s="28">
        <f>'[1]BP-Men'!A148</f>
        <v>125</v>
      </c>
      <c r="B317" s="16">
        <f>'[1]BP-Men'!B148</f>
        <v>180</v>
      </c>
      <c r="C317" s="16" t="str">
        <f>'[1]BP-Men'!C148</f>
        <v>Егозарьян Грачик/52</v>
      </c>
      <c r="D317" s="16" t="str">
        <f t="shared" si="6"/>
        <v>52</v>
      </c>
      <c r="E317" s="16" t="str">
        <f>'[1]BP-Men'!D148</f>
        <v>Волгоград</v>
      </c>
      <c r="F317" s="17" t="str">
        <f>'[1]BP-Men'!E148</f>
        <v>23.08.2014</v>
      </c>
      <c r="G317" s="16" t="str">
        <f>'[1]BP-Men'!F148</f>
        <v>Москва</v>
      </c>
    </row>
    <row r="318" spans="1:7" x14ac:dyDescent="0.25">
      <c r="A318" s="28">
        <f>'[1]BP-Men'!A149</f>
        <v>140</v>
      </c>
      <c r="B318" s="16">
        <f>'[1]BP-Men'!B149</f>
        <v>0</v>
      </c>
      <c r="C318" s="16">
        <f>'[1]BP-Men'!C149</f>
        <v>0</v>
      </c>
      <c r="D318" s="16" t="str">
        <f t="shared" si="6"/>
        <v>0</v>
      </c>
      <c r="E318" s="16">
        <f>'[1]BP-Men'!D149</f>
        <v>0</v>
      </c>
      <c r="F318" s="17">
        <f>'[1]BP-Men'!E149</f>
        <v>0</v>
      </c>
      <c r="G318" s="16">
        <f>'[1]BP-Men'!F149</f>
        <v>0</v>
      </c>
    </row>
    <row r="319" spans="1:7" x14ac:dyDescent="0.25">
      <c r="A319" s="28" t="str">
        <f>'[1]BP-Men'!A150</f>
        <v>140+</v>
      </c>
      <c r="B319" s="16">
        <f>'[1]BP-Men'!B150</f>
        <v>0</v>
      </c>
      <c r="C319" s="16">
        <f>'[1]BP-Men'!C150</f>
        <v>0</v>
      </c>
      <c r="D319" s="16" t="str">
        <f t="shared" si="6"/>
        <v>0</v>
      </c>
      <c r="E319" s="16">
        <f>'[1]BP-Men'!D150</f>
        <v>0</v>
      </c>
      <c r="F319" s="17">
        <f>'[1]BP-Men'!E150</f>
        <v>0</v>
      </c>
      <c r="G319" s="16">
        <f>'[1]BP-Men'!F150</f>
        <v>0</v>
      </c>
    </row>
    <row r="321" spans="1:7" s="11" customFormat="1" x14ac:dyDescent="0.25">
      <c r="A321" s="22" t="s">
        <v>0</v>
      </c>
      <c r="B321" s="11">
        <v>1</v>
      </c>
      <c r="C321" s="11">
        <v>65</v>
      </c>
      <c r="D321" s="11" t="str">
        <f>'[1]BP-Men'!B151</f>
        <v>МУЖЧИНЫ - МАСТЕРС  6(65 - 69)</v>
      </c>
      <c r="F321" s="13"/>
    </row>
    <row r="322" spans="1:7" x14ac:dyDescent="0.25">
      <c r="A322" s="28">
        <f>'[1]BP-Men'!A152</f>
        <v>52</v>
      </c>
      <c r="B322" s="16">
        <f>'[1]BP-Men'!B152</f>
        <v>0</v>
      </c>
      <c r="C322" s="16">
        <f>'[1]BP-Men'!C152</f>
        <v>0</v>
      </c>
      <c r="D322" s="16" t="str">
        <f t="shared" si="6"/>
        <v>0</v>
      </c>
      <c r="E322" s="16">
        <f>'[1]BP-Men'!D152</f>
        <v>0</v>
      </c>
      <c r="F322" s="17">
        <f>'[1]BP-Men'!E152</f>
        <v>0</v>
      </c>
      <c r="G322" s="16">
        <f>'[1]BP-Men'!F152</f>
        <v>0</v>
      </c>
    </row>
    <row r="323" spans="1:7" x14ac:dyDescent="0.25">
      <c r="A323" s="28">
        <f>'[1]BP-Men'!A153</f>
        <v>56</v>
      </c>
      <c r="B323" s="16">
        <f>'[1]BP-Men'!B153</f>
        <v>0</v>
      </c>
      <c r="C323" s="16">
        <f>'[1]BP-Men'!C153</f>
        <v>0</v>
      </c>
      <c r="D323" s="16" t="str">
        <f t="shared" si="6"/>
        <v>0</v>
      </c>
      <c r="E323" s="16">
        <f>'[1]BP-Men'!D153</f>
        <v>0</v>
      </c>
      <c r="F323" s="17">
        <f>'[1]BP-Men'!E153</f>
        <v>0</v>
      </c>
      <c r="G323" s="16">
        <f>'[1]BP-Men'!F153</f>
        <v>0</v>
      </c>
    </row>
    <row r="324" spans="1:7" x14ac:dyDescent="0.25">
      <c r="A324" s="28">
        <f>'[1]BP-Men'!A154</f>
        <v>60</v>
      </c>
      <c r="B324" s="16">
        <f>'[1]BP-Men'!B154</f>
        <v>0</v>
      </c>
      <c r="C324" s="16">
        <f>'[1]BP-Men'!C154</f>
        <v>0</v>
      </c>
      <c r="D324" s="16" t="str">
        <f t="shared" si="6"/>
        <v>0</v>
      </c>
      <c r="E324" s="16">
        <f>'[1]BP-Men'!D154</f>
        <v>0</v>
      </c>
      <c r="F324" s="17">
        <f>'[1]BP-Men'!E154</f>
        <v>0</v>
      </c>
      <c r="G324" s="16">
        <f>'[1]BP-Men'!F154</f>
        <v>0</v>
      </c>
    </row>
    <row r="325" spans="1:7" x14ac:dyDescent="0.25">
      <c r="A325" s="28">
        <f>'[1]BP-Men'!A155</f>
        <v>67.5</v>
      </c>
      <c r="B325" s="16">
        <f>'[1]BP-Men'!B155</f>
        <v>87.5</v>
      </c>
      <c r="C325" s="16" t="str">
        <f>'[1]BP-Men'!C155</f>
        <v>Баранов Валерий/40</v>
      </c>
      <c r="D325" s="16" t="str">
        <f t="shared" si="6"/>
        <v>40</v>
      </c>
      <c r="E325" s="16" t="str">
        <f>'[1]BP-Men'!D155</f>
        <v>Березники</v>
      </c>
      <c r="F325" s="17">
        <f>'[1]BP-Men'!E155</f>
        <v>40453</v>
      </c>
      <c r="G325" s="16" t="str">
        <f>'[1]BP-Men'!F155</f>
        <v>Екатеринбург</v>
      </c>
    </row>
    <row r="326" spans="1:7" x14ac:dyDescent="0.25">
      <c r="A326" s="28">
        <f>'[1]BP-Men'!A156</f>
        <v>75</v>
      </c>
      <c r="B326" s="16">
        <f>'[1]BP-Men'!B156</f>
        <v>127.5</v>
      </c>
      <c r="C326" s="16" t="str">
        <f>'[1]BP-Men'!C156</f>
        <v>Петухов Евгений/38</v>
      </c>
      <c r="D326" s="16" t="str">
        <f t="shared" si="6"/>
        <v>38</v>
      </c>
      <c r="E326" s="16" t="str">
        <f>'[1]BP-Men'!D156</f>
        <v>Екатеринбург</v>
      </c>
      <c r="F326" s="17">
        <f>'[1]BP-Men'!E156</f>
        <v>39123</v>
      </c>
      <c r="G326" s="16" t="str">
        <f>'[1]BP-Men'!F156</f>
        <v>Челябинск</v>
      </c>
    </row>
    <row r="327" spans="1:7" x14ac:dyDescent="0.25">
      <c r="A327" s="28" t="str">
        <f>'[1]BP-Men'!A157</f>
        <v>82.5</v>
      </c>
      <c r="B327" s="16">
        <f>'[1]BP-Men'!B157</f>
        <v>135</v>
      </c>
      <c r="C327" s="16" t="str">
        <f>'[1]BP-Men'!C157</f>
        <v>Цориев Эльдар/46</v>
      </c>
      <c r="D327" s="16" t="str">
        <f t="shared" si="6"/>
        <v>46</v>
      </c>
      <c r="E327" s="16" t="str">
        <f>'[1]BP-Men'!D157</f>
        <v>Екатеринбург</v>
      </c>
      <c r="F327" s="17">
        <f>'[1]BP-Men'!E157</f>
        <v>40983</v>
      </c>
      <c r="G327" s="16" t="str">
        <f>'[1]BP-Men'!F157</f>
        <v>Екатеринбург</v>
      </c>
    </row>
    <row r="328" spans="1:7" x14ac:dyDescent="0.25">
      <c r="A328" s="28">
        <f>'[1]BP-Men'!A158</f>
        <v>90</v>
      </c>
      <c r="B328" s="16">
        <f>'[1]BP-Men'!B158</f>
        <v>140</v>
      </c>
      <c r="C328" s="16" t="str">
        <f>'[1]BP-Men'!C158</f>
        <v>Хуснетдинов Амир/48</v>
      </c>
      <c r="D328" s="16" t="str">
        <f t="shared" si="6"/>
        <v>48</v>
      </c>
      <c r="E328" s="16" t="str">
        <f>'[1]BP-Men'!D158</f>
        <v>Москва</v>
      </c>
      <c r="F328" s="17" t="str">
        <f>'[1]BP-Men'!E158</f>
        <v>23.08.2014</v>
      </c>
      <c r="G328" s="16" t="str">
        <f>'[1]BP-Men'!F158</f>
        <v>Москва</v>
      </c>
    </row>
    <row r="329" spans="1:7" x14ac:dyDescent="0.25">
      <c r="A329" s="28">
        <f>'[1]BP-Men'!A159</f>
        <v>100</v>
      </c>
      <c r="B329" s="16">
        <f>'[1]BP-Men'!B159</f>
        <v>120</v>
      </c>
      <c r="C329" s="16" t="str">
        <f>'[1]BP-Men'!C159</f>
        <v>Ляхов Василий/48</v>
      </c>
      <c r="D329" s="16" t="str">
        <f t="shared" ref="D329:D347" si="7">RIGHT(C329,2)</f>
        <v>48</v>
      </c>
      <c r="E329" s="16" t="str">
        <f>'[1]BP-Men'!D159</f>
        <v>Череповец</v>
      </c>
      <c r="F329" s="17" t="str">
        <f>'[1]BP-Men'!E159</f>
        <v>08.11.2013</v>
      </c>
      <c r="G329" s="16" t="str">
        <f>'[1]BP-Men'!F159</f>
        <v>Вологда</v>
      </c>
    </row>
    <row r="330" spans="1:7" x14ac:dyDescent="0.25">
      <c r="A330" s="28">
        <f>'[1]BP-Men'!A160</f>
        <v>110</v>
      </c>
      <c r="B330" s="16">
        <f>'[1]BP-Men'!B160</f>
        <v>130</v>
      </c>
      <c r="C330" s="16" t="str">
        <f>'[1]BP-Men'!C160</f>
        <v>Кожаринов Евгений/45</v>
      </c>
      <c r="D330" s="16" t="str">
        <f t="shared" si="7"/>
        <v>45</v>
      </c>
      <c r="E330" s="16" t="str">
        <f>'[1]BP-Men'!D160</f>
        <v>Псков</v>
      </c>
      <c r="F330" s="17" t="str">
        <f>'[1]BP-Men'!E160</f>
        <v>30.05.2014</v>
      </c>
      <c r="G330" s="16" t="str">
        <f>'[1]BP-Men'!F160</f>
        <v>Курск</v>
      </c>
    </row>
    <row r="331" spans="1:7" x14ac:dyDescent="0.25">
      <c r="A331" s="28">
        <f>'[1]BP-Men'!A161</f>
        <v>125</v>
      </c>
      <c r="B331" s="16">
        <f>'[1]BP-Men'!B161</f>
        <v>130</v>
      </c>
      <c r="C331" s="16" t="str">
        <f>'[1]BP-Men'!C161</f>
        <v>Чернышов Владимир/48</v>
      </c>
      <c r="D331" s="16" t="str">
        <f t="shared" si="7"/>
        <v>48</v>
      </c>
      <c r="E331" s="16" t="str">
        <f>'[1]BP-Men'!D161</f>
        <v>Липецк</v>
      </c>
      <c r="F331" s="17" t="str">
        <f>'[1]BP-Men'!E161</f>
        <v>19.04.2014</v>
      </c>
      <c r="G331" s="16" t="str">
        <f>'[1]BP-Men'!F161</f>
        <v>Краснодар</v>
      </c>
    </row>
    <row r="332" spans="1:7" x14ac:dyDescent="0.25">
      <c r="A332" s="28">
        <f>'[1]BP-Men'!A162</f>
        <v>140</v>
      </c>
      <c r="B332" s="16">
        <f>'[1]BP-Men'!B162</f>
        <v>0</v>
      </c>
      <c r="C332" s="16">
        <f>'[1]BP-Men'!C162</f>
        <v>0</v>
      </c>
      <c r="D332" s="16" t="str">
        <f t="shared" si="7"/>
        <v>0</v>
      </c>
      <c r="E332" s="16">
        <f>'[1]BP-Men'!D162</f>
        <v>0</v>
      </c>
      <c r="F332" s="17">
        <f>'[1]BP-Men'!E162</f>
        <v>0</v>
      </c>
      <c r="G332" s="16">
        <f>'[1]BP-Men'!F162</f>
        <v>0</v>
      </c>
    </row>
    <row r="333" spans="1:7" x14ac:dyDescent="0.25">
      <c r="A333" s="28" t="str">
        <f>'[1]BP-Men'!A163</f>
        <v>140+</v>
      </c>
      <c r="B333" s="16">
        <f>'[1]BP-Men'!B163</f>
        <v>0</v>
      </c>
      <c r="C333" s="16">
        <f>'[1]BP-Men'!C163</f>
        <v>0</v>
      </c>
      <c r="D333" s="16" t="str">
        <f t="shared" si="7"/>
        <v>0</v>
      </c>
      <c r="E333" s="16">
        <f>'[1]BP-Men'!D163</f>
        <v>0</v>
      </c>
      <c r="F333" s="17">
        <f>'[1]BP-Men'!E163</f>
        <v>0</v>
      </c>
      <c r="G333" s="16">
        <f>'[1]BP-Men'!F163</f>
        <v>0</v>
      </c>
    </row>
    <row r="335" spans="1:7" s="11" customFormat="1" x14ac:dyDescent="0.25">
      <c r="A335" s="22" t="s">
        <v>0</v>
      </c>
      <c r="B335" s="11">
        <v>1</v>
      </c>
      <c r="C335" s="11">
        <v>70</v>
      </c>
      <c r="D335" s="11" t="str">
        <f>'[1]BP-Men'!B164</f>
        <v>МУЖЧИНЫ - МАСТЕРС  7(70 - 74)</v>
      </c>
      <c r="F335" s="13"/>
    </row>
    <row r="336" spans="1:7" x14ac:dyDescent="0.25">
      <c r="A336" s="28">
        <f>'[1]BP-Men'!A165</f>
        <v>52</v>
      </c>
      <c r="B336" s="16">
        <f>'[1]BP-Men'!B165</f>
        <v>0</v>
      </c>
      <c r="C336" s="16">
        <f>'[1]BP-Men'!C165</f>
        <v>0</v>
      </c>
      <c r="D336" s="16" t="str">
        <f t="shared" si="7"/>
        <v>0</v>
      </c>
      <c r="E336" s="16">
        <f>'[1]BP-Men'!D165</f>
        <v>0</v>
      </c>
      <c r="F336" s="17">
        <f>'[1]BP-Men'!E165</f>
        <v>0</v>
      </c>
      <c r="G336" s="16">
        <f>'[1]BP-Men'!F165</f>
        <v>0</v>
      </c>
    </row>
    <row r="337" spans="1:7" x14ac:dyDescent="0.25">
      <c r="A337" s="28">
        <f>'[1]BP-Men'!A166</f>
        <v>56</v>
      </c>
      <c r="B337" s="16">
        <f>'[1]BP-Men'!B166</f>
        <v>0</v>
      </c>
      <c r="C337" s="16">
        <f>'[1]BP-Men'!C166</f>
        <v>0</v>
      </c>
      <c r="D337" s="16" t="str">
        <f t="shared" si="7"/>
        <v>0</v>
      </c>
      <c r="E337" s="16">
        <f>'[1]BP-Men'!D166</f>
        <v>0</v>
      </c>
      <c r="F337" s="17">
        <f>'[1]BP-Men'!E166</f>
        <v>0</v>
      </c>
      <c r="G337" s="16">
        <f>'[1]BP-Men'!F166</f>
        <v>0</v>
      </c>
    </row>
    <row r="338" spans="1:7" x14ac:dyDescent="0.25">
      <c r="A338" s="28">
        <f>'[1]BP-Men'!A167</f>
        <v>60</v>
      </c>
      <c r="B338" s="16">
        <f>'[1]BP-Men'!B167</f>
        <v>0</v>
      </c>
      <c r="C338" s="16">
        <f>'[1]BP-Men'!C167</f>
        <v>0</v>
      </c>
      <c r="D338" s="16" t="str">
        <f t="shared" si="7"/>
        <v>0</v>
      </c>
      <c r="E338" s="16">
        <f>'[1]BP-Men'!D167</f>
        <v>0</v>
      </c>
      <c r="F338" s="17">
        <f>'[1]BP-Men'!E167</f>
        <v>0</v>
      </c>
      <c r="G338" s="16">
        <f>'[1]BP-Men'!F167</f>
        <v>0</v>
      </c>
    </row>
    <row r="339" spans="1:7" x14ac:dyDescent="0.25">
      <c r="A339" s="28">
        <f>'[1]BP-Men'!A168</f>
        <v>67.5</v>
      </c>
      <c r="B339" s="16">
        <f>'[1]BP-Men'!B168</f>
        <v>95</v>
      </c>
      <c r="C339" s="16" t="str">
        <f>'[1]BP-Men'!C168</f>
        <v>Ким Мирон/41</v>
      </c>
      <c r="D339" s="16" t="str">
        <f t="shared" si="7"/>
        <v>41</v>
      </c>
      <c r="E339" s="16" t="str">
        <f>'[1]BP-Men'!D168</f>
        <v>Москва</v>
      </c>
      <c r="F339" s="17">
        <f>'[1]BP-Men'!E168</f>
        <v>41439</v>
      </c>
      <c r="G339" s="16" t="str">
        <f>'[1]BP-Men'!F168</f>
        <v>Москва</v>
      </c>
    </row>
    <row r="340" spans="1:7" x14ac:dyDescent="0.25">
      <c r="A340" s="28">
        <f>'[1]BP-Men'!A169</f>
        <v>75</v>
      </c>
      <c r="B340" s="16">
        <f>'[1]BP-Men'!B169</f>
        <v>110</v>
      </c>
      <c r="C340" s="16" t="str">
        <f>'[1]BP-Men'!C169</f>
        <v>Барабанов Герман/40</v>
      </c>
      <c r="D340" s="16" t="str">
        <f t="shared" si="7"/>
        <v>40</v>
      </c>
      <c r="E340" s="16" t="str">
        <f>'[1]BP-Men'!D169</f>
        <v>Кимры</v>
      </c>
      <c r="F340" s="17">
        <f>'[1]BP-Men'!E169</f>
        <v>41439</v>
      </c>
      <c r="G340" s="16" t="str">
        <f>'[1]BP-Men'!F169</f>
        <v>Москва</v>
      </c>
    </row>
    <row r="341" spans="1:7" x14ac:dyDescent="0.25">
      <c r="A341" s="28">
        <f>'[1]BP-Men'!A170</f>
        <v>82.5</v>
      </c>
      <c r="B341" s="16">
        <f>'[1]BP-Men'!B170</f>
        <v>117.5</v>
      </c>
      <c r="C341" s="16" t="str">
        <f>'[1]BP-Men'!C170</f>
        <v>Барабанов Герман/40</v>
      </c>
      <c r="D341" s="16" t="str">
        <f t="shared" si="7"/>
        <v>40</v>
      </c>
      <c r="E341" s="16" t="str">
        <f>'[1]BP-Men'!D170</f>
        <v>Дубна</v>
      </c>
      <c r="F341" s="17" t="str">
        <f>'[1]BP-Men'!E170</f>
        <v>23.08.2014</v>
      </c>
      <c r="G341" s="16" t="str">
        <f>'[1]BP-Men'!F170</f>
        <v>Москва</v>
      </c>
    </row>
    <row r="342" spans="1:7" x14ac:dyDescent="0.25">
      <c r="A342" s="28">
        <f>'[1]BP-Men'!A171</f>
        <v>90</v>
      </c>
      <c r="B342" s="16">
        <f>'[1]BP-Men'!B171</f>
        <v>120</v>
      </c>
      <c r="C342" s="16" t="str">
        <f>'[1]BP-Men'!C171</f>
        <v>Малышев Владимир/36</v>
      </c>
      <c r="D342" s="16" t="str">
        <f t="shared" si="7"/>
        <v>36</v>
      </c>
      <c r="E342" s="16" t="str">
        <f>'[1]BP-Men'!D171</f>
        <v>Калуга</v>
      </c>
      <c r="F342" s="17">
        <f>'[1]BP-Men'!E171</f>
        <v>39123</v>
      </c>
      <c r="G342" s="16" t="str">
        <f>'[1]BP-Men'!F171</f>
        <v>Челябинск</v>
      </c>
    </row>
    <row r="343" spans="1:7" x14ac:dyDescent="0.25">
      <c r="A343" s="28">
        <f>'[1]BP-Men'!A172</f>
        <v>100</v>
      </c>
      <c r="B343" s="16">
        <f>'[1]BP-Men'!B172</f>
        <v>0</v>
      </c>
      <c r="C343" s="16">
        <f>'[1]BP-Men'!C172</f>
        <v>0</v>
      </c>
      <c r="D343" s="16" t="str">
        <f t="shared" si="7"/>
        <v>0</v>
      </c>
      <c r="E343" s="16">
        <f>'[1]BP-Men'!D172</f>
        <v>0</v>
      </c>
      <c r="F343" s="17">
        <f>'[1]BP-Men'!E172</f>
        <v>0</v>
      </c>
      <c r="G343" s="16">
        <f>'[1]BP-Men'!F172</f>
        <v>0</v>
      </c>
    </row>
    <row r="344" spans="1:7" x14ac:dyDescent="0.25">
      <c r="A344" s="28">
        <f>'[1]BP-Men'!A173</f>
        <v>110</v>
      </c>
      <c r="B344" s="16">
        <f>'[1]BP-Men'!B173</f>
        <v>0</v>
      </c>
      <c r="C344" s="16">
        <f>'[1]BP-Men'!C173</f>
        <v>0</v>
      </c>
      <c r="D344" s="16" t="str">
        <f t="shared" si="7"/>
        <v>0</v>
      </c>
      <c r="E344" s="16">
        <f>'[1]BP-Men'!D173</f>
        <v>0</v>
      </c>
      <c r="F344" s="17">
        <f>'[1]BP-Men'!E173</f>
        <v>0</v>
      </c>
      <c r="G344" s="16">
        <f>'[1]BP-Men'!F173</f>
        <v>0</v>
      </c>
    </row>
    <row r="345" spans="1:7" x14ac:dyDescent="0.25">
      <c r="A345" s="28">
        <f>'[1]BP-Men'!A174</f>
        <v>125</v>
      </c>
      <c r="B345" s="16">
        <f>'[1]BP-Men'!B174</f>
        <v>140</v>
      </c>
      <c r="C345" s="16" t="str">
        <f>'[1]BP-Men'!C174</f>
        <v>Дмитриев Евгений/40</v>
      </c>
      <c r="D345" s="16" t="str">
        <f t="shared" si="7"/>
        <v>40</v>
      </c>
      <c r="E345" s="16" t="str">
        <f>'[1]BP-Men'!D174</f>
        <v>Сергиев Посад</v>
      </c>
      <c r="F345" s="17" t="str">
        <f>'[1]BP-Men'!E174</f>
        <v>23.08.2014</v>
      </c>
      <c r="G345" s="16" t="str">
        <f>'[1]BP-Men'!F174</f>
        <v>Москва</v>
      </c>
    </row>
    <row r="346" spans="1:7" x14ac:dyDescent="0.25">
      <c r="A346" s="28">
        <f>'[1]BP-Men'!A175</f>
        <v>140</v>
      </c>
      <c r="B346" s="16">
        <f>'[1]BP-Men'!B175</f>
        <v>0</v>
      </c>
      <c r="C346" s="16">
        <f>'[1]BP-Men'!C175</f>
        <v>0</v>
      </c>
      <c r="D346" s="16" t="str">
        <f t="shared" si="7"/>
        <v>0</v>
      </c>
      <c r="E346" s="16">
        <f>'[1]BP-Men'!D175</f>
        <v>0</v>
      </c>
      <c r="F346" s="17">
        <f>'[1]BP-Men'!E175</f>
        <v>0</v>
      </c>
      <c r="G346" s="16">
        <f>'[1]BP-Men'!F175</f>
        <v>0</v>
      </c>
    </row>
    <row r="347" spans="1:7" x14ac:dyDescent="0.25">
      <c r="A347" s="28" t="str">
        <f>'[1]BP-Men'!A176</f>
        <v>140+</v>
      </c>
      <c r="B347" s="16">
        <f>'[1]BP-Men'!B176</f>
        <v>0</v>
      </c>
      <c r="C347" s="16">
        <f>'[1]BP-Men'!C176</f>
        <v>0</v>
      </c>
      <c r="D347" s="16" t="str">
        <f t="shared" si="7"/>
        <v>0</v>
      </c>
      <c r="E347" s="16">
        <f>'[1]BP-Men'!D176</f>
        <v>0</v>
      </c>
      <c r="F347" s="17">
        <f>'[1]BP-Men'!E176</f>
        <v>0</v>
      </c>
      <c r="G347" s="16">
        <f>'[1]BP-Men'!F176</f>
        <v>0</v>
      </c>
    </row>
    <row r="349" spans="1:7" s="11" customFormat="1" x14ac:dyDescent="0.25">
      <c r="A349" s="22" t="s">
        <v>0</v>
      </c>
      <c r="B349" s="11">
        <v>1</v>
      </c>
      <c r="C349" s="11">
        <v>75</v>
      </c>
      <c r="D349" s="11" t="str">
        <f>'[1]BP-Men'!B177</f>
        <v>МУЖЧИНЫ - МАСТЕРС  8(75 - 79)</v>
      </c>
      <c r="F349" s="13"/>
    </row>
    <row r="350" spans="1:7" x14ac:dyDescent="0.25">
      <c r="A350" s="28">
        <f>'[1]BP-Men'!A178</f>
        <v>52</v>
      </c>
      <c r="B350" s="16">
        <f>'[1]BP-Men'!B178</f>
        <v>0</v>
      </c>
      <c r="C350" s="16">
        <f>'[1]BP-Men'!C178</f>
        <v>0</v>
      </c>
      <c r="D350" s="16" t="str">
        <f t="shared" ref="D350:D353" si="8">RIGHT(C350,2)</f>
        <v>0</v>
      </c>
      <c r="E350" s="16">
        <f>'[1]BP-Men'!D178</f>
        <v>0</v>
      </c>
      <c r="F350" s="17">
        <f>'[1]BP-Men'!E178</f>
        <v>0</v>
      </c>
      <c r="G350" s="16">
        <f>'[1]BP-Men'!F178</f>
        <v>0</v>
      </c>
    </row>
    <row r="351" spans="1:7" x14ac:dyDescent="0.25">
      <c r="A351" s="28">
        <f>'[1]BP-Men'!A179</f>
        <v>56</v>
      </c>
      <c r="B351" s="16">
        <f>'[1]BP-Men'!B179</f>
        <v>0</v>
      </c>
      <c r="C351" s="16">
        <f>'[1]BP-Men'!C179</f>
        <v>0</v>
      </c>
      <c r="D351" s="16" t="str">
        <f t="shared" si="8"/>
        <v>0</v>
      </c>
      <c r="E351" s="16">
        <f>'[1]BP-Men'!D179</f>
        <v>0</v>
      </c>
      <c r="F351" s="17">
        <f>'[1]BP-Men'!E179</f>
        <v>0</v>
      </c>
      <c r="G351" s="16">
        <f>'[1]BP-Men'!F179</f>
        <v>0</v>
      </c>
    </row>
    <row r="352" spans="1:7" x14ac:dyDescent="0.25">
      <c r="A352" s="28">
        <f>'[1]BP-Men'!A180</f>
        <v>60</v>
      </c>
      <c r="B352" s="16">
        <f>'[1]BP-Men'!B180</f>
        <v>0</v>
      </c>
      <c r="C352" s="16">
        <f>'[1]BP-Men'!C180</f>
        <v>0</v>
      </c>
      <c r="D352" s="16" t="str">
        <f t="shared" si="8"/>
        <v>0</v>
      </c>
      <c r="E352" s="16">
        <f>'[1]BP-Men'!D180</f>
        <v>0</v>
      </c>
      <c r="F352" s="17">
        <f>'[1]BP-Men'!E180</f>
        <v>0</v>
      </c>
      <c r="G352" s="16">
        <f>'[1]BP-Men'!F180</f>
        <v>0</v>
      </c>
    </row>
    <row r="353" spans="1:7" x14ac:dyDescent="0.25">
      <c r="A353" s="28">
        <f>'[1]BP-Men'!A181</f>
        <v>67.5</v>
      </c>
      <c r="B353" s="16">
        <f>'[1]BP-Men'!B181</f>
        <v>0</v>
      </c>
      <c r="C353" s="16">
        <f>'[1]BP-Men'!C181</f>
        <v>0</v>
      </c>
      <c r="D353" s="16" t="str">
        <f t="shared" si="8"/>
        <v>0</v>
      </c>
      <c r="E353" s="16">
        <f>'[1]BP-Men'!D181</f>
        <v>0</v>
      </c>
      <c r="F353" s="17">
        <f>'[1]BP-Men'!E181</f>
        <v>0</v>
      </c>
      <c r="G353" s="16">
        <f>'[1]BP-Men'!F181</f>
        <v>0</v>
      </c>
    </row>
    <row r="354" spans="1:7" x14ac:dyDescent="0.25">
      <c r="A354" s="28">
        <f>'[1]BP-Men'!A182</f>
        <v>75</v>
      </c>
      <c r="B354" s="16">
        <f>'[1]BP-Men'!B182</f>
        <v>90</v>
      </c>
      <c r="C354" s="16" t="str">
        <f>'[1]BP-Men'!C182</f>
        <v>Переладов Геннадий/36</v>
      </c>
      <c r="D354" s="16" t="str">
        <f t="shared" ref="D354:D369" si="9">RIGHT(C354,2)</f>
        <v>36</v>
      </c>
      <c r="E354" s="16" t="str">
        <f>'[1]BP-Men'!D182</f>
        <v>Среднеуральск</v>
      </c>
      <c r="F354" s="17">
        <f>'[1]BP-Men'!E182</f>
        <v>41321</v>
      </c>
      <c r="G354" s="16" t="str">
        <f>'[1]BP-Men'!F182</f>
        <v>Екатеринбург</v>
      </c>
    </row>
    <row r="355" spans="1:7" x14ac:dyDescent="0.25">
      <c r="A355" s="28">
        <f>'[1]BP-Men'!A183</f>
        <v>82.5</v>
      </c>
      <c r="B355" s="16">
        <f>'[1]BP-Men'!B183</f>
        <v>100</v>
      </c>
      <c r="C355" s="16" t="str">
        <f>'[1]BP-Men'!C183</f>
        <v>Пужаев Николай/35</v>
      </c>
      <c r="D355" s="16" t="str">
        <f t="shared" si="9"/>
        <v>35</v>
      </c>
      <c r="E355" s="16" t="str">
        <f>'[1]BP-Men'!D183</f>
        <v xml:space="preserve">Асбест </v>
      </c>
      <c r="F355" s="17">
        <f>'[1]BP-Men'!E183</f>
        <v>40983</v>
      </c>
      <c r="G355" s="16" t="str">
        <f>'[1]BP-Men'!F183</f>
        <v>Екатеринбург</v>
      </c>
    </row>
    <row r="356" spans="1:7" x14ac:dyDescent="0.25">
      <c r="A356" s="28">
        <f>'[1]BP-Men'!A184</f>
        <v>90</v>
      </c>
      <c r="B356" s="16">
        <f>'[1]BP-Men'!B184</f>
        <v>110</v>
      </c>
      <c r="C356" s="16" t="str">
        <f>'[1]BP-Men'!C184</f>
        <v>Новиков Николай/38</v>
      </c>
      <c r="D356" s="16" t="str">
        <f t="shared" si="9"/>
        <v>38</v>
      </c>
      <c r="E356" s="16" t="str">
        <f>'[1]BP-Men'!D184</f>
        <v>Нахабино</v>
      </c>
      <c r="F356" s="17">
        <f>'[1]BP-Men'!E184</f>
        <v>41619</v>
      </c>
      <c r="G356" s="16" t="str">
        <f>'[1]BP-Men'!F184</f>
        <v>Курск</v>
      </c>
    </row>
    <row r="357" spans="1:7" x14ac:dyDescent="0.25">
      <c r="A357" s="28">
        <f>'[1]BP-Men'!A185</f>
        <v>100</v>
      </c>
      <c r="B357" s="16">
        <f>'[1]BP-Men'!B185</f>
        <v>0</v>
      </c>
      <c r="C357" s="16">
        <f>'[1]BP-Men'!C185</f>
        <v>0</v>
      </c>
      <c r="D357" s="16" t="str">
        <f t="shared" si="9"/>
        <v>0</v>
      </c>
      <c r="E357" s="16">
        <f>'[1]BP-Men'!D185</f>
        <v>0</v>
      </c>
      <c r="F357" s="17">
        <f>'[1]BP-Men'!E185</f>
        <v>0</v>
      </c>
      <c r="G357" s="16">
        <f>'[1]BP-Men'!F185</f>
        <v>0</v>
      </c>
    </row>
    <row r="358" spans="1:7" x14ac:dyDescent="0.25">
      <c r="A358" s="28">
        <f>'[1]BP-Men'!A186</f>
        <v>110</v>
      </c>
      <c r="B358" s="16">
        <f>'[1]BP-Men'!B186</f>
        <v>0</v>
      </c>
      <c r="C358" s="16">
        <f>'[1]BP-Men'!C186</f>
        <v>0</v>
      </c>
      <c r="D358" s="16" t="str">
        <f t="shared" si="9"/>
        <v>0</v>
      </c>
      <c r="E358" s="16">
        <f>'[1]BP-Men'!D186</f>
        <v>0</v>
      </c>
      <c r="F358" s="17">
        <f>'[1]BP-Men'!E186</f>
        <v>0</v>
      </c>
      <c r="G358" s="16">
        <f>'[1]BP-Men'!F186</f>
        <v>0</v>
      </c>
    </row>
    <row r="359" spans="1:7" x14ac:dyDescent="0.25">
      <c r="A359" s="28">
        <f>'[1]BP-Men'!A187</f>
        <v>125</v>
      </c>
      <c r="B359" s="16">
        <f>'[1]BP-Men'!B187</f>
        <v>0</v>
      </c>
      <c r="C359" s="16">
        <f>'[1]BP-Men'!C187</f>
        <v>0</v>
      </c>
      <c r="D359" s="16" t="str">
        <f t="shared" si="9"/>
        <v>0</v>
      </c>
      <c r="E359" s="16">
        <f>'[1]BP-Men'!D187</f>
        <v>0</v>
      </c>
      <c r="F359" s="17">
        <f>'[1]BP-Men'!E187</f>
        <v>0</v>
      </c>
      <c r="G359" s="16">
        <f>'[1]BP-Men'!F187</f>
        <v>0</v>
      </c>
    </row>
    <row r="360" spans="1:7" x14ac:dyDescent="0.25">
      <c r="A360" s="28">
        <f>'[1]BP-Men'!A188</f>
        <v>140</v>
      </c>
      <c r="B360" s="16">
        <f>'[1]BP-Men'!B188</f>
        <v>0</v>
      </c>
      <c r="C360" s="16">
        <f>'[1]BP-Men'!C188</f>
        <v>0</v>
      </c>
      <c r="D360" s="16" t="str">
        <f t="shared" si="9"/>
        <v>0</v>
      </c>
      <c r="E360" s="16">
        <f>'[1]BP-Men'!D188</f>
        <v>0</v>
      </c>
      <c r="F360" s="17">
        <f>'[1]BP-Men'!E188</f>
        <v>0</v>
      </c>
      <c r="G360" s="16">
        <f>'[1]BP-Men'!F188</f>
        <v>0</v>
      </c>
    </row>
    <row r="361" spans="1:7" x14ac:dyDescent="0.25">
      <c r="A361" s="28" t="str">
        <f>'[1]BP-Men'!A189</f>
        <v>140+</v>
      </c>
      <c r="B361" s="16">
        <f>'[1]BP-Men'!B189</f>
        <v>0</v>
      </c>
      <c r="C361" s="16">
        <f>'[1]BP-Men'!C189</f>
        <v>0</v>
      </c>
      <c r="D361" s="16" t="str">
        <f t="shared" si="9"/>
        <v>0</v>
      </c>
      <c r="E361" s="16">
        <f>'[1]BP-Men'!D189</f>
        <v>0</v>
      </c>
      <c r="F361" s="17">
        <f>'[1]BP-Men'!E189</f>
        <v>0</v>
      </c>
      <c r="G361" s="16">
        <f>'[1]BP-Men'!F189</f>
        <v>0</v>
      </c>
    </row>
    <row r="363" spans="1:7" s="11" customFormat="1" x14ac:dyDescent="0.25">
      <c r="A363" s="22" t="s">
        <v>0</v>
      </c>
      <c r="B363" s="11">
        <v>1</v>
      </c>
      <c r="C363" s="11">
        <v>80</v>
      </c>
      <c r="D363" s="11" t="str">
        <f>'[1]BP-Men'!B190</f>
        <v>МУЖЧИНЫ - МАСТЕРС  9(80 - 84)</v>
      </c>
      <c r="F363" s="13"/>
    </row>
    <row r="364" spans="1:7" x14ac:dyDescent="0.25">
      <c r="A364" s="28">
        <f>'[1]BP-Men'!A191</f>
        <v>52</v>
      </c>
      <c r="B364" s="16">
        <f>'[1]BP-Men'!B191</f>
        <v>0</v>
      </c>
      <c r="C364" s="16">
        <f>'[1]BP-Men'!C191</f>
        <v>0</v>
      </c>
      <c r="D364" s="16" t="str">
        <f t="shared" si="9"/>
        <v>0</v>
      </c>
      <c r="E364" s="16">
        <f>'[1]BP-Men'!D191</f>
        <v>0</v>
      </c>
      <c r="F364" s="17">
        <f>'[1]BP-Men'!E191</f>
        <v>0</v>
      </c>
      <c r="G364" s="16">
        <f>'[1]BP-Men'!F191</f>
        <v>0</v>
      </c>
    </row>
    <row r="365" spans="1:7" x14ac:dyDescent="0.25">
      <c r="A365" s="28">
        <f>'[1]BP-Men'!A192</f>
        <v>56</v>
      </c>
      <c r="B365" s="16">
        <f>'[1]BP-Men'!B192</f>
        <v>0</v>
      </c>
      <c r="C365" s="16">
        <f>'[1]BP-Men'!C192</f>
        <v>0</v>
      </c>
      <c r="D365" s="16" t="str">
        <f t="shared" si="9"/>
        <v>0</v>
      </c>
      <c r="E365" s="16">
        <f>'[1]BP-Men'!D192</f>
        <v>0</v>
      </c>
      <c r="F365" s="17">
        <f>'[1]BP-Men'!E192</f>
        <v>0</v>
      </c>
      <c r="G365" s="16">
        <f>'[1]BP-Men'!F192</f>
        <v>0</v>
      </c>
    </row>
    <row r="366" spans="1:7" x14ac:dyDescent="0.25">
      <c r="A366" s="28">
        <f>'[1]BP-Men'!A193</f>
        <v>60</v>
      </c>
      <c r="B366" s="16">
        <f>'[1]BP-Men'!B193</f>
        <v>0</v>
      </c>
      <c r="C366" s="16">
        <f>'[1]BP-Men'!C193</f>
        <v>0</v>
      </c>
      <c r="D366" s="16" t="str">
        <f t="shared" si="9"/>
        <v>0</v>
      </c>
      <c r="E366" s="16">
        <f>'[1]BP-Men'!D193</f>
        <v>0</v>
      </c>
      <c r="F366" s="17">
        <f>'[1]BP-Men'!E193</f>
        <v>0</v>
      </c>
      <c r="G366" s="16">
        <f>'[1]BP-Men'!F193</f>
        <v>0</v>
      </c>
    </row>
    <row r="367" spans="1:7" x14ac:dyDescent="0.25">
      <c r="A367" s="28">
        <f>'[1]BP-Men'!A194</f>
        <v>67.5</v>
      </c>
      <c r="B367" s="16">
        <f>'[1]BP-Men'!B194</f>
        <v>62.5</v>
      </c>
      <c r="C367" s="16" t="str">
        <f>'[1]BP-Men'!C194</f>
        <v>Гиниятуллин Гарифулла/32</v>
      </c>
      <c r="D367" s="16" t="str">
        <f t="shared" si="9"/>
        <v>32</v>
      </c>
      <c r="E367" s="16" t="str">
        <f>'[1]BP-Men'!D194</f>
        <v>Екатеринбург</v>
      </c>
      <c r="F367" s="17">
        <f>'[1]BP-Men'!E194</f>
        <v>41608</v>
      </c>
      <c r="G367" s="16" t="str">
        <f>'[1]BP-Men'!F194</f>
        <v>Екатеринбург</v>
      </c>
    </row>
    <row r="368" spans="1:7" x14ac:dyDescent="0.25">
      <c r="A368" s="28">
        <f>'[1]BP-Men'!A195</f>
        <v>75</v>
      </c>
      <c r="B368" s="16">
        <f>'[1]BP-Men'!B195</f>
        <v>0</v>
      </c>
      <c r="C368" s="16">
        <f>'[1]BP-Men'!C195</f>
        <v>0</v>
      </c>
      <c r="D368" s="16" t="str">
        <f t="shared" si="9"/>
        <v>0</v>
      </c>
      <c r="E368" s="16">
        <f>'[1]BP-Men'!D195</f>
        <v>0</v>
      </c>
      <c r="F368" s="17">
        <f>'[1]BP-Men'!E195</f>
        <v>0</v>
      </c>
      <c r="G368" s="16">
        <f>'[1]BP-Men'!F195</f>
        <v>0</v>
      </c>
    </row>
    <row r="369" spans="1:7" x14ac:dyDescent="0.25">
      <c r="A369" s="28">
        <f>'[1]BP-Men'!A196</f>
        <v>82.5</v>
      </c>
      <c r="B369" s="16">
        <f>'[1]BP-Men'!B196</f>
        <v>97.5</v>
      </c>
      <c r="C369" s="16" t="str">
        <f>'[1]BP-Men'!C196</f>
        <v>Шункин Николай/31</v>
      </c>
      <c r="D369" s="16" t="str">
        <f t="shared" si="9"/>
        <v>31</v>
      </c>
      <c r="E369" s="16" t="str">
        <f>'[1]BP-Men'!D196</f>
        <v>Москва</v>
      </c>
      <c r="F369" s="17">
        <f>'[1]BP-Men'!E196</f>
        <v>41067</v>
      </c>
      <c r="G369" s="16" t="str">
        <f>'[1]BP-Men'!F196</f>
        <v>Москва</v>
      </c>
    </row>
    <row r="370" spans="1:7" x14ac:dyDescent="0.25">
      <c r="A370" s="28">
        <f>'[1]BP-Men'!A197</f>
        <v>90</v>
      </c>
      <c r="B370" s="16">
        <f>'[1]BP-Men'!B197</f>
        <v>0</v>
      </c>
      <c r="C370" s="16">
        <f>'[1]BP-Men'!C197</f>
        <v>0</v>
      </c>
      <c r="D370" s="16" t="str">
        <f t="shared" ref="D370:D387" si="10">RIGHT(C370,2)</f>
        <v>0</v>
      </c>
      <c r="E370" s="16">
        <f>'[1]BP-Men'!D197</f>
        <v>0</v>
      </c>
      <c r="F370" s="17">
        <f>'[1]BP-Men'!E197</f>
        <v>0</v>
      </c>
      <c r="G370" s="16">
        <f>'[1]BP-Men'!F197</f>
        <v>0</v>
      </c>
    </row>
    <row r="371" spans="1:7" x14ac:dyDescent="0.25">
      <c r="A371" s="28">
        <f>'[1]BP-Men'!A198</f>
        <v>100</v>
      </c>
      <c r="B371" s="16">
        <f>'[1]BP-Men'!B198</f>
        <v>0</v>
      </c>
      <c r="C371" s="16">
        <f>'[1]BP-Men'!C198</f>
        <v>0</v>
      </c>
      <c r="D371" s="16" t="str">
        <f t="shared" si="10"/>
        <v>0</v>
      </c>
      <c r="E371" s="16">
        <f>'[1]BP-Men'!D198</f>
        <v>0</v>
      </c>
      <c r="F371" s="17">
        <f>'[1]BP-Men'!E198</f>
        <v>0</v>
      </c>
      <c r="G371" s="16">
        <f>'[1]BP-Men'!F198</f>
        <v>0</v>
      </c>
    </row>
    <row r="372" spans="1:7" x14ac:dyDescent="0.25">
      <c r="A372" s="28">
        <f>'[1]BP-Men'!A199</f>
        <v>110</v>
      </c>
      <c r="B372" s="16">
        <f>'[1]BP-Men'!B199</f>
        <v>0</v>
      </c>
      <c r="C372" s="16">
        <f>'[1]BP-Men'!C199</f>
        <v>0</v>
      </c>
      <c r="D372" s="16" t="str">
        <f t="shared" si="10"/>
        <v>0</v>
      </c>
      <c r="E372" s="16">
        <f>'[1]BP-Men'!D199</f>
        <v>0</v>
      </c>
      <c r="F372" s="17">
        <f>'[1]BP-Men'!E199</f>
        <v>0</v>
      </c>
      <c r="G372" s="16">
        <f>'[1]BP-Men'!F199</f>
        <v>0</v>
      </c>
    </row>
    <row r="373" spans="1:7" x14ac:dyDescent="0.25">
      <c r="A373" s="28">
        <f>'[1]BP-Men'!A200</f>
        <v>125</v>
      </c>
      <c r="B373" s="16">
        <f>'[1]BP-Men'!B200</f>
        <v>0</v>
      </c>
      <c r="C373" s="16">
        <f>'[1]BP-Men'!C200</f>
        <v>0</v>
      </c>
      <c r="D373" s="16" t="str">
        <f t="shared" si="10"/>
        <v>0</v>
      </c>
      <c r="E373" s="16">
        <f>'[1]BP-Men'!D200</f>
        <v>0</v>
      </c>
      <c r="F373" s="17">
        <f>'[1]BP-Men'!E200</f>
        <v>0</v>
      </c>
      <c r="G373" s="16">
        <f>'[1]BP-Men'!F200</f>
        <v>0</v>
      </c>
    </row>
    <row r="374" spans="1:7" x14ac:dyDescent="0.25">
      <c r="A374" s="28">
        <f>'[1]BP-Men'!A201</f>
        <v>140</v>
      </c>
      <c r="B374" s="16">
        <f>'[1]BP-Men'!B201</f>
        <v>0</v>
      </c>
      <c r="C374" s="16">
        <f>'[1]BP-Men'!C201</f>
        <v>0</v>
      </c>
      <c r="D374" s="16" t="str">
        <f t="shared" si="10"/>
        <v>0</v>
      </c>
      <c r="E374" s="16">
        <f>'[1]BP-Men'!D201</f>
        <v>0</v>
      </c>
      <c r="F374" s="17">
        <f>'[1]BP-Men'!E201</f>
        <v>0</v>
      </c>
      <c r="G374" s="16">
        <f>'[1]BP-Men'!F201</f>
        <v>0</v>
      </c>
    </row>
    <row r="375" spans="1:7" x14ac:dyDescent="0.25">
      <c r="A375" s="28" t="str">
        <f>'[1]BP-Men'!A202</f>
        <v>140+</v>
      </c>
      <c r="B375" s="16">
        <f>'[1]BP-Men'!B202</f>
        <v>0</v>
      </c>
      <c r="C375" s="16">
        <f>'[1]BP-Men'!C202</f>
        <v>0</v>
      </c>
      <c r="D375" s="16" t="str">
        <f t="shared" si="10"/>
        <v>0</v>
      </c>
      <c r="E375" s="16">
        <f>'[1]BP-Men'!D202</f>
        <v>0</v>
      </c>
      <c r="F375" s="17">
        <f>'[1]BP-Men'!E202</f>
        <v>0</v>
      </c>
      <c r="G375" s="16">
        <f>'[1]BP-Men'!F202</f>
        <v>0</v>
      </c>
    </row>
    <row r="376" spans="1:7" x14ac:dyDescent="0.25">
      <c r="A376" s="28">
        <f>'[1]BP-Men'!A203</f>
        <v>0</v>
      </c>
      <c r="B376" s="16">
        <f>'[1]BP-Men'!B203</f>
        <v>0</v>
      </c>
      <c r="C376" s="16">
        <f>'[1]BP-Men'!C203</f>
        <v>0</v>
      </c>
      <c r="D376" s="16" t="str">
        <f t="shared" si="10"/>
        <v>0</v>
      </c>
      <c r="E376" s="16">
        <f>'[1]BP-Men'!D203</f>
        <v>0</v>
      </c>
      <c r="F376" s="17">
        <f>'[1]BP-Men'!E203</f>
        <v>0</v>
      </c>
      <c r="G376" s="16">
        <f>'[1]BP-Men'!F203</f>
        <v>0</v>
      </c>
    </row>
    <row r="377" spans="1:7" x14ac:dyDescent="0.25">
      <c r="A377" s="28">
        <f>'[1]BP-Men'!A204</f>
        <v>0</v>
      </c>
      <c r="B377" s="16">
        <f>'[1]BP-Men'!B204</f>
        <v>0</v>
      </c>
      <c r="C377" s="16">
        <f>'[1]BP-Men'!C204</f>
        <v>0</v>
      </c>
      <c r="D377" s="16" t="str">
        <f t="shared" si="10"/>
        <v>0</v>
      </c>
      <c r="E377" s="16">
        <f>'[1]BP-Men'!D204</f>
        <v>0</v>
      </c>
      <c r="F377" s="17">
        <f>'[1]BP-Men'!E204</f>
        <v>0</v>
      </c>
      <c r="G377" s="16">
        <f>'[1]BP-Men'!F204</f>
        <v>0</v>
      </c>
    </row>
    <row r="378" spans="1:7" x14ac:dyDescent="0.25">
      <c r="A378" s="28">
        <f>'[1]BP-Men'!A205</f>
        <v>0</v>
      </c>
      <c r="B378" s="16">
        <f>'[1]BP-Men'!B205</f>
        <v>0</v>
      </c>
      <c r="C378" s="16">
        <f>'[1]BP-Men'!C205</f>
        <v>0</v>
      </c>
      <c r="D378" s="16" t="str">
        <f t="shared" si="10"/>
        <v>0</v>
      </c>
      <c r="E378" s="16">
        <f>'[1]BP-Men'!D205</f>
        <v>0</v>
      </c>
      <c r="F378" s="17">
        <f>'[1]BP-Men'!E205</f>
        <v>0</v>
      </c>
      <c r="G378" s="16">
        <f>'[1]BP-Men'!F205</f>
        <v>0</v>
      </c>
    </row>
    <row r="379" spans="1:7" x14ac:dyDescent="0.25">
      <c r="A379" s="28">
        <f>'[1]BP-Men'!A206</f>
        <v>0</v>
      </c>
      <c r="B379" s="16">
        <f>'[1]BP-Men'!B206</f>
        <v>0</v>
      </c>
      <c r="C379" s="16">
        <f>'[1]BP-Men'!C206</f>
        <v>0</v>
      </c>
      <c r="D379" s="16" t="str">
        <f t="shared" si="10"/>
        <v>0</v>
      </c>
      <c r="E379" s="16">
        <f>'[1]BP-Men'!D206</f>
        <v>0</v>
      </c>
      <c r="F379" s="17">
        <f>'[1]BP-Men'!E206</f>
        <v>0</v>
      </c>
      <c r="G379" s="16">
        <f>'[1]BP-Men'!F206</f>
        <v>0</v>
      </c>
    </row>
    <row r="380" spans="1:7" x14ac:dyDescent="0.25">
      <c r="A380" s="28">
        <f>'[1]BP-Men'!A207</f>
        <v>0</v>
      </c>
      <c r="B380" s="16">
        <f>'[1]BP-Men'!B207</f>
        <v>0</v>
      </c>
      <c r="C380" s="16">
        <f>'[1]BP-Men'!C207</f>
        <v>0</v>
      </c>
      <c r="D380" s="16" t="str">
        <f t="shared" si="10"/>
        <v>0</v>
      </c>
      <c r="E380" s="16">
        <f>'[1]BP-Men'!D207</f>
        <v>0</v>
      </c>
      <c r="F380" s="17">
        <f>'[1]BP-Men'!E207</f>
        <v>0</v>
      </c>
      <c r="G380" s="16">
        <f>'[1]BP-Men'!F207</f>
        <v>0</v>
      </c>
    </row>
    <row r="381" spans="1:7" x14ac:dyDescent="0.25">
      <c r="A381" s="28">
        <f>'[1]BP-Men'!A208</f>
        <v>0</v>
      </c>
      <c r="B381" s="16">
        <f>'[1]BP-Men'!B208</f>
        <v>0</v>
      </c>
      <c r="C381" s="16">
        <f>'[1]BP-Men'!C208</f>
        <v>0</v>
      </c>
      <c r="D381" s="16" t="str">
        <f t="shared" si="10"/>
        <v>0</v>
      </c>
      <c r="E381" s="16">
        <f>'[1]BP-Men'!D208</f>
        <v>0</v>
      </c>
      <c r="F381" s="17">
        <f>'[1]BP-Men'!E208</f>
        <v>0</v>
      </c>
      <c r="G381" s="16">
        <f>'[1]BP-Men'!F208</f>
        <v>0</v>
      </c>
    </row>
    <row r="382" spans="1:7" x14ac:dyDescent="0.25">
      <c r="A382" s="28">
        <f>'[1]BP-Men'!A209</f>
        <v>0</v>
      </c>
      <c r="B382" s="16">
        <f>'[1]BP-Men'!B209</f>
        <v>0</v>
      </c>
      <c r="C382" s="16">
        <f>'[1]BP-Men'!C209</f>
        <v>0</v>
      </c>
      <c r="D382" s="16" t="str">
        <f t="shared" si="10"/>
        <v>0</v>
      </c>
      <c r="E382" s="16">
        <f>'[1]BP-Men'!D209</f>
        <v>0</v>
      </c>
      <c r="F382" s="17">
        <f>'[1]BP-Men'!E209</f>
        <v>0</v>
      </c>
      <c r="G382" s="16">
        <f>'[1]BP-Men'!F209</f>
        <v>0</v>
      </c>
    </row>
    <row r="383" spans="1:7" x14ac:dyDescent="0.25">
      <c r="A383" s="28">
        <f>'[1]BP-Men'!A210</f>
        <v>0</v>
      </c>
      <c r="B383" s="16">
        <f>'[1]BP-Men'!B210</f>
        <v>0</v>
      </c>
      <c r="C383" s="16">
        <f>'[1]BP-Men'!C210</f>
        <v>0</v>
      </c>
      <c r="D383" s="16" t="str">
        <f t="shared" si="10"/>
        <v>0</v>
      </c>
      <c r="E383" s="16">
        <f>'[1]BP-Men'!D210</f>
        <v>0</v>
      </c>
      <c r="F383" s="17">
        <f>'[1]BP-Men'!E210</f>
        <v>0</v>
      </c>
      <c r="G383" s="16">
        <f>'[1]BP-Men'!F210</f>
        <v>0</v>
      </c>
    </row>
    <row r="384" spans="1:7" x14ac:dyDescent="0.25">
      <c r="A384" s="28">
        <f>'[1]BP-Men'!A211</f>
        <v>0</v>
      </c>
      <c r="B384" s="16">
        <f>'[1]BP-Men'!B211</f>
        <v>0</v>
      </c>
      <c r="C384" s="16">
        <f>'[1]BP-Men'!C211</f>
        <v>0</v>
      </c>
      <c r="D384" s="16" t="str">
        <f t="shared" si="10"/>
        <v>0</v>
      </c>
      <c r="E384" s="16">
        <f>'[1]BP-Men'!D211</f>
        <v>0</v>
      </c>
      <c r="F384" s="17">
        <f>'[1]BP-Men'!E211</f>
        <v>0</v>
      </c>
      <c r="G384" s="16">
        <f>'[1]BP-Men'!F211</f>
        <v>0</v>
      </c>
    </row>
    <row r="385" spans="1:7" x14ac:dyDescent="0.25">
      <c r="A385" s="28">
        <f>'[1]BP-Men'!A212</f>
        <v>0</v>
      </c>
      <c r="B385" s="16">
        <f>'[1]BP-Men'!B212</f>
        <v>0</v>
      </c>
      <c r="C385" s="16">
        <f>'[1]BP-Men'!C212</f>
        <v>0</v>
      </c>
      <c r="D385" s="16" t="str">
        <f t="shared" si="10"/>
        <v>0</v>
      </c>
      <c r="E385" s="16">
        <f>'[1]BP-Men'!D212</f>
        <v>0</v>
      </c>
      <c r="F385" s="17">
        <f>'[1]BP-Men'!E212</f>
        <v>0</v>
      </c>
      <c r="G385" s="16">
        <f>'[1]BP-Men'!F212</f>
        <v>0</v>
      </c>
    </row>
    <row r="386" spans="1:7" x14ac:dyDescent="0.25">
      <c r="A386" s="28">
        <f>'[1]BP-Men'!A213</f>
        <v>0</v>
      </c>
      <c r="B386" s="16">
        <f>'[1]BP-Men'!B213</f>
        <v>0</v>
      </c>
      <c r="C386" s="16">
        <f>'[1]BP-Men'!C213</f>
        <v>0</v>
      </c>
      <c r="D386" s="16" t="str">
        <f t="shared" si="10"/>
        <v>0</v>
      </c>
      <c r="E386" s="16">
        <f>'[1]BP-Men'!D213</f>
        <v>0</v>
      </c>
      <c r="F386" s="17">
        <f>'[1]BP-Men'!E213</f>
        <v>0</v>
      </c>
      <c r="G386" s="16">
        <f>'[1]BP-Men'!F213</f>
        <v>0</v>
      </c>
    </row>
    <row r="387" spans="1:7" x14ac:dyDescent="0.25">
      <c r="A387" s="28">
        <f>'[1]BP-Men'!A214</f>
        <v>0</v>
      </c>
      <c r="B387" s="16">
        <f>'[1]BP-Men'!B214</f>
        <v>0</v>
      </c>
      <c r="C387" s="16">
        <f>'[1]BP-Men'!C214</f>
        <v>0</v>
      </c>
      <c r="D387" s="16" t="str">
        <f t="shared" si="10"/>
        <v>0</v>
      </c>
      <c r="E387" s="16">
        <f>'[1]BP-Men'!D214</f>
        <v>0</v>
      </c>
      <c r="F387" s="17">
        <f>'[1]BP-Men'!E214</f>
        <v>0</v>
      </c>
      <c r="G387" s="16">
        <f>'[1]BP-Men'!F214</f>
        <v>0</v>
      </c>
    </row>
    <row r="391" spans="1:7" x14ac:dyDescent="0.25">
      <c r="A391" s="28" t="s">
        <v>2</v>
      </c>
    </row>
    <row r="392" spans="1:7" x14ac:dyDescent="0.25">
      <c r="A392" s="28" t="s">
        <v>2</v>
      </c>
    </row>
    <row r="393" spans="1:7" x14ac:dyDescent="0.25">
      <c r="A393" s="28" t="s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"/>
  <sheetViews>
    <sheetView workbookViewId="0">
      <selection activeCell="B2" sqref="B2"/>
    </sheetView>
  </sheetViews>
  <sheetFormatPr defaultRowHeight="15" x14ac:dyDescent="0.25"/>
  <cols>
    <col min="3" max="3" width="33" customWidth="1"/>
    <col min="4" max="4" width="7.5703125" customWidth="1"/>
    <col min="5" max="5" width="16.85546875" customWidth="1"/>
    <col min="6" max="6" width="15.42578125" style="10" bestFit="1" customWidth="1"/>
    <col min="7" max="7" width="15.7109375" bestFit="1" customWidth="1"/>
  </cols>
  <sheetData>
    <row r="1" spans="1:7" x14ac:dyDescent="0.25">
      <c r="B1">
        <v>10</v>
      </c>
    </row>
    <row r="2" spans="1:7" x14ac:dyDescent="0.25">
      <c r="A2">
        <v>10</v>
      </c>
    </row>
    <row r="6" spans="1:7" ht="21" x14ac:dyDescent="0.35">
      <c r="B6" s="25" t="str">
        <f>'[8]BP-Wom'!B1</f>
        <v>Рекорды AWPC- Россия-однослойная экипировка</v>
      </c>
    </row>
    <row r="7" spans="1:7" s="25" customFormat="1" ht="21" x14ac:dyDescent="0.35">
      <c r="F7" s="26"/>
    </row>
    <row r="8" spans="1:7" s="11" customFormat="1" x14ac:dyDescent="0.25">
      <c r="A8" s="11" t="s">
        <v>0</v>
      </c>
      <c r="B8" s="11">
        <v>0</v>
      </c>
      <c r="C8" s="11">
        <v>13</v>
      </c>
      <c r="D8" s="11" t="str">
        <f>'[8]BP-Wom'!B2</f>
        <v>ДЕВУШКИ  (13 - 15)</v>
      </c>
      <c r="F8" s="13"/>
    </row>
    <row r="9" spans="1:7" s="16" customFormat="1" x14ac:dyDescent="0.25">
      <c r="A9" s="16">
        <f>'[8]BP-Wom'!A3</f>
        <v>44</v>
      </c>
      <c r="B9" s="16">
        <f>'[8]BP-Wom'!B3</f>
        <v>32.5</v>
      </c>
      <c r="C9" s="16" t="str">
        <f>'[8]BP-Wom'!C3</f>
        <v>Наземнова Ольга/96</v>
      </c>
      <c r="D9" s="16" t="str">
        <f>RIGHT(C9,2)</f>
        <v>96</v>
      </c>
      <c r="E9" s="16" t="str">
        <f>'[8]BP-Wom'!D3</f>
        <v>Алапаевск</v>
      </c>
      <c r="F9" s="17">
        <f>'[8]BP-Wom'!E3</f>
        <v>40982</v>
      </c>
      <c r="G9" s="16" t="str">
        <f>'[8]BP-Wom'!F3</f>
        <v>Екатеринбург</v>
      </c>
    </row>
    <row r="10" spans="1:7" s="16" customFormat="1" x14ac:dyDescent="0.25">
      <c r="A10" s="16">
        <f>'[8]BP-Wom'!A4</f>
        <v>48</v>
      </c>
      <c r="B10" s="16">
        <f>'[8]BP-Wom'!B4</f>
        <v>87.5</v>
      </c>
      <c r="C10" s="16" t="str">
        <f>'[8]BP-Wom'!C4</f>
        <v>Длужневская  Владислава/2000</v>
      </c>
      <c r="D10" s="16" t="str">
        <f t="shared" ref="D10:D69" si="0">RIGHT(C10,2)</f>
        <v>00</v>
      </c>
      <c r="E10" s="16" t="str">
        <f>'[8]BP-Wom'!D4</f>
        <v>Вологда</v>
      </c>
      <c r="F10" s="17">
        <f>'[8]BP-Wom'!E4</f>
        <v>41342</v>
      </c>
      <c r="G10" s="16" t="str">
        <f>'[8]BP-Wom'!F4</f>
        <v>Вологда</v>
      </c>
    </row>
    <row r="11" spans="1:7" s="16" customFormat="1" x14ac:dyDescent="0.25">
      <c r="A11" s="16">
        <f>'[8]BP-Wom'!A5</f>
        <v>52</v>
      </c>
      <c r="B11" s="16">
        <f>'[8]BP-Wom'!B5</f>
        <v>65</v>
      </c>
      <c r="C11" s="16" t="str">
        <f>'[8]BP-Wom'!C5</f>
        <v>Шуклина Анна/99</v>
      </c>
      <c r="D11" s="16" t="str">
        <f t="shared" si="0"/>
        <v>99</v>
      </c>
      <c r="E11" s="16" t="str">
        <f>'[8]BP-Wom'!D5</f>
        <v>п.Самоцвет</v>
      </c>
      <c r="F11" s="17">
        <f>'[8]BP-Wom'!E5</f>
        <v>41321</v>
      </c>
      <c r="G11" s="16" t="str">
        <f>'[8]BP-Wom'!F5</f>
        <v>Екатеринбург</v>
      </c>
    </row>
    <row r="12" spans="1:7" s="16" customFormat="1" x14ac:dyDescent="0.25">
      <c r="A12" s="16">
        <f>'[8]BP-Wom'!A6</f>
        <v>56</v>
      </c>
      <c r="B12" s="16">
        <f>'[8]BP-Wom'!B6</f>
        <v>0</v>
      </c>
      <c r="C12" s="16">
        <f>'[8]BP-Wom'!C6</f>
        <v>0</v>
      </c>
      <c r="D12" s="16" t="str">
        <f t="shared" si="0"/>
        <v>0</v>
      </c>
      <c r="E12" s="16">
        <f>'[8]BP-Wom'!D6</f>
        <v>0</v>
      </c>
      <c r="F12" s="17">
        <f>'[8]BP-Wom'!E6</f>
        <v>0</v>
      </c>
      <c r="G12" s="16">
        <f>'[8]BP-Wom'!F6</f>
        <v>0</v>
      </c>
    </row>
    <row r="13" spans="1:7" s="16" customFormat="1" x14ac:dyDescent="0.25">
      <c r="A13" s="16">
        <f>'[8]BP-Wom'!A7</f>
        <v>60</v>
      </c>
      <c r="B13" s="16">
        <f>'[8]BP-Wom'!B7</f>
        <v>0</v>
      </c>
      <c r="C13" s="16">
        <f>'[8]BP-Wom'!C7</f>
        <v>0</v>
      </c>
      <c r="D13" s="16" t="str">
        <f t="shared" si="0"/>
        <v>0</v>
      </c>
      <c r="E13" s="16">
        <f>'[8]BP-Wom'!D7</f>
        <v>0</v>
      </c>
      <c r="F13" s="17">
        <f>'[8]BP-Wom'!E7</f>
        <v>0</v>
      </c>
      <c r="G13" s="16">
        <f>'[8]BP-Wom'!F7</f>
        <v>0</v>
      </c>
    </row>
    <row r="14" spans="1:7" s="16" customFormat="1" x14ac:dyDescent="0.25">
      <c r="A14" s="16">
        <f>'[8]BP-Wom'!A8</f>
        <v>67.5</v>
      </c>
      <c r="B14" s="16">
        <f>'[8]BP-Wom'!B8</f>
        <v>0</v>
      </c>
      <c r="C14" s="16">
        <f>'[8]BP-Wom'!C8</f>
        <v>0</v>
      </c>
      <c r="D14" s="16" t="str">
        <f t="shared" si="0"/>
        <v>0</v>
      </c>
      <c r="E14" s="16">
        <f>'[8]BP-Wom'!D8</f>
        <v>0</v>
      </c>
      <c r="F14" s="17">
        <f>'[8]BP-Wom'!E8</f>
        <v>0</v>
      </c>
      <c r="G14" s="16">
        <f>'[8]BP-Wom'!F8</f>
        <v>0</v>
      </c>
    </row>
    <row r="15" spans="1:7" s="16" customFormat="1" x14ac:dyDescent="0.25">
      <c r="A15" s="16">
        <f>'[8]BP-Wom'!A9</f>
        <v>75</v>
      </c>
      <c r="B15" s="16">
        <f>'[8]BP-Wom'!B9</f>
        <v>0</v>
      </c>
      <c r="C15" s="16">
        <f>'[8]BP-Wom'!C9</f>
        <v>0</v>
      </c>
      <c r="D15" s="16" t="str">
        <f t="shared" si="0"/>
        <v>0</v>
      </c>
      <c r="E15" s="16">
        <f>'[8]BP-Wom'!D9</f>
        <v>0</v>
      </c>
      <c r="F15" s="17">
        <f>'[8]BP-Wom'!E9</f>
        <v>0</v>
      </c>
      <c r="G15" s="16">
        <f>'[8]BP-Wom'!F9</f>
        <v>0</v>
      </c>
    </row>
    <row r="16" spans="1:7" s="16" customFormat="1" x14ac:dyDescent="0.25">
      <c r="A16" s="16">
        <f>'[8]BP-Wom'!A10</f>
        <v>82.5</v>
      </c>
      <c r="B16" s="16">
        <f>'[8]BP-Wom'!B10</f>
        <v>0</v>
      </c>
      <c r="C16" s="16">
        <f>'[8]BP-Wom'!C10</f>
        <v>0</v>
      </c>
      <c r="D16" s="16" t="str">
        <f t="shared" si="0"/>
        <v>0</v>
      </c>
      <c r="E16" s="16">
        <f>'[8]BP-Wom'!D10</f>
        <v>0</v>
      </c>
      <c r="F16" s="17">
        <f>'[8]BP-Wom'!E10</f>
        <v>0</v>
      </c>
      <c r="G16" s="16">
        <f>'[8]BP-Wom'!F10</f>
        <v>0</v>
      </c>
    </row>
    <row r="17" spans="1:7" s="16" customFormat="1" x14ac:dyDescent="0.25">
      <c r="A17" s="16">
        <f>'[8]BP-Wom'!A11</f>
        <v>90</v>
      </c>
      <c r="B17" s="16">
        <f>'[8]BP-Wom'!B11</f>
        <v>0</v>
      </c>
      <c r="C17" s="16">
        <f>'[8]BP-Wom'!C11</f>
        <v>0</v>
      </c>
      <c r="D17" s="16" t="str">
        <f t="shared" si="0"/>
        <v>0</v>
      </c>
      <c r="E17" s="16">
        <f>'[8]BP-Wom'!D11</f>
        <v>0</v>
      </c>
      <c r="F17" s="17">
        <f>'[8]BP-Wom'!E11</f>
        <v>0</v>
      </c>
      <c r="G17" s="16">
        <f>'[8]BP-Wom'!F11</f>
        <v>0</v>
      </c>
    </row>
    <row r="18" spans="1:7" s="16" customFormat="1" x14ac:dyDescent="0.25">
      <c r="A18" s="16" t="str">
        <f>'[8]BP-Wom'!A12</f>
        <v>90+</v>
      </c>
      <c r="B18" s="16">
        <f>'[8]BP-Wom'!B12</f>
        <v>0</v>
      </c>
      <c r="C18" s="16">
        <f>'[8]BP-Wom'!C12</f>
        <v>0</v>
      </c>
      <c r="D18" s="16" t="str">
        <f t="shared" si="0"/>
        <v>0</v>
      </c>
      <c r="E18" s="16">
        <f>'[8]BP-Wom'!D12</f>
        <v>0</v>
      </c>
      <c r="F18" s="17">
        <f>'[8]BP-Wom'!E12</f>
        <v>0</v>
      </c>
      <c r="G18" s="16">
        <f>'[8]BP-Wom'!F12</f>
        <v>0</v>
      </c>
    </row>
    <row r="19" spans="1:7" s="16" customFormat="1" x14ac:dyDescent="0.25">
      <c r="A19" s="16">
        <f>'[8]BP-Wom'!A13</f>
        <v>0</v>
      </c>
      <c r="B19" s="16">
        <f>'[8]BP-Wom'!B13</f>
        <v>0</v>
      </c>
      <c r="C19" s="16">
        <f>'[8]BP-Wom'!C13</f>
        <v>0</v>
      </c>
      <c r="D19" s="16" t="str">
        <f t="shared" si="0"/>
        <v>0</v>
      </c>
      <c r="E19" s="16">
        <f>'[8]BP-Wom'!D13</f>
        <v>0</v>
      </c>
      <c r="F19" s="17">
        <f>'[8]BP-Wom'!E13</f>
        <v>0</v>
      </c>
      <c r="G19" s="16">
        <f>'[8]BP-Wom'!F13</f>
        <v>0</v>
      </c>
    </row>
    <row r="20" spans="1:7" s="11" customFormat="1" x14ac:dyDescent="0.25">
      <c r="A20" s="11" t="s">
        <v>0</v>
      </c>
      <c r="B20" s="11">
        <v>0</v>
      </c>
      <c r="C20" s="11">
        <v>16</v>
      </c>
      <c r="D20" s="11" t="str">
        <f>'[8]BP-Wom'!B14</f>
        <v>ДЕВУШКИ  (16 - 17)</v>
      </c>
      <c r="F20" s="13"/>
    </row>
    <row r="21" spans="1:7" s="16" customFormat="1" x14ac:dyDescent="0.25">
      <c r="A21" s="16">
        <f>'[8]BP-Wom'!A15</f>
        <v>44</v>
      </c>
      <c r="B21" s="16">
        <f>'[8]BP-Wom'!B15</f>
        <v>45</v>
      </c>
      <c r="C21" s="16" t="str">
        <f>'[8]BP-Wom'!C15</f>
        <v>Наземнова  Ольга/97</v>
      </c>
      <c r="D21" s="16" t="str">
        <f t="shared" si="0"/>
        <v>97</v>
      </c>
      <c r="E21" s="16" t="str">
        <f>'[8]BP-Wom'!D15</f>
        <v>п.Самоцвет</v>
      </c>
      <c r="F21" s="17">
        <f>'[8]BP-Wom'!E15</f>
        <v>41321</v>
      </c>
      <c r="G21" s="16" t="str">
        <f>'[8]BP-Wom'!F15</f>
        <v>Екатеринбург</v>
      </c>
    </row>
    <row r="22" spans="1:7" s="16" customFormat="1" x14ac:dyDescent="0.25">
      <c r="A22" s="16">
        <f>'[8]BP-Wom'!A16</f>
        <v>48</v>
      </c>
      <c r="B22" s="16">
        <f>'[8]BP-Wom'!B16</f>
        <v>0</v>
      </c>
      <c r="C22" s="16">
        <f>'[8]BP-Wom'!C16</f>
        <v>0</v>
      </c>
      <c r="D22" s="16" t="str">
        <f t="shared" si="0"/>
        <v>0</v>
      </c>
      <c r="E22" s="16">
        <f>'[8]BP-Wom'!D16</f>
        <v>0</v>
      </c>
      <c r="F22" s="17">
        <f>'[8]BP-Wom'!E16</f>
        <v>0</v>
      </c>
      <c r="G22" s="16">
        <f>'[8]BP-Wom'!F16</f>
        <v>0</v>
      </c>
    </row>
    <row r="23" spans="1:7" s="16" customFormat="1" x14ac:dyDescent="0.25">
      <c r="A23" s="16">
        <f>'[8]BP-Wom'!A17</f>
        <v>52</v>
      </c>
      <c r="B23" s="16">
        <f>'[8]BP-Wom'!B17</f>
        <v>55</v>
      </c>
      <c r="C23" s="16" t="str">
        <f>'[8]BP-Wom'!C17</f>
        <v>Лукина Алена/96</v>
      </c>
      <c r="D23" s="16" t="str">
        <f t="shared" si="0"/>
        <v>96</v>
      </c>
      <c r="E23" s="16" t="str">
        <f>'[8]BP-Wom'!D17</f>
        <v>Курск</v>
      </c>
      <c r="F23" s="17" t="str">
        <f>'[8]BP-Wom'!E17</f>
        <v>30.05.2014</v>
      </c>
      <c r="G23" s="16" t="str">
        <f>'[8]BP-Wom'!F17</f>
        <v>Курск</v>
      </c>
    </row>
    <row r="24" spans="1:7" s="16" customFormat="1" x14ac:dyDescent="0.25">
      <c r="A24" s="16">
        <f>'[8]BP-Wom'!A18</f>
        <v>56</v>
      </c>
      <c r="B24" s="16">
        <f>'[8]BP-Wom'!B18</f>
        <v>0</v>
      </c>
      <c r="C24" s="16">
        <f>'[8]BP-Wom'!C18</f>
        <v>0</v>
      </c>
      <c r="D24" s="16" t="str">
        <f t="shared" si="0"/>
        <v>0</v>
      </c>
      <c r="E24" s="16">
        <f>'[8]BP-Wom'!D18</f>
        <v>0</v>
      </c>
      <c r="F24" s="17">
        <f>'[8]BP-Wom'!E18</f>
        <v>0</v>
      </c>
      <c r="G24" s="16">
        <f>'[8]BP-Wom'!F18</f>
        <v>0</v>
      </c>
    </row>
    <row r="25" spans="1:7" s="16" customFormat="1" x14ac:dyDescent="0.25">
      <c r="A25" s="16">
        <f>'[8]BP-Wom'!A19</f>
        <v>60</v>
      </c>
      <c r="B25" s="16">
        <f>'[8]BP-Wom'!B19</f>
        <v>0</v>
      </c>
      <c r="C25" s="16">
        <f>'[8]BP-Wom'!C19</f>
        <v>0</v>
      </c>
      <c r="D25" s="16" t="str">
        <f t="shared" si="0"/>
        <v>0</v>
      </c>
      <c r="E25" s="16">
        <f>'[8]BP-Wom'!D19</f>
        <v>0</v>
      </c>
      <c r="F25" s="17">
        <f>'[8]BP-Wom'!E19</f>
        <v>0</v>
      </c>
      <c r="G25" s="16">
        <f>'[8]BP-Wom'!F19</f>
        <v>0</v>
      </c>
    </row>
    <row r="26" spans="1:7" s="16" customFormat="1" x14ac:dyDescent="0.25">
      <c r="A26" s="16">
        <f>'[8]BP-Wom'!A20</f>
        <v>67.5</v>
      </c>
      <c r="B26" s="16">
        <f>'[8]BP-Wom'!B20</f>
        <v>95</v>
      </c>
      <c r="C26" s="16" t="str">
        <f>'[8]BP-Wom'!C20</f>
        <v>Сафронова Марина/98</v>
      </c>
      <c r="D26" s="16" t="str">
        <f t="shared" si="0"/>
        <v>98</v>
      </c>
      <c r="E26" s="16" t="str">
        <f>'[8]BP-Wom'!D20</f>
        <v>Суджа</v>
      </c>
      <c r="F26" s="17" t="str">
        <f>'[8]BP-Wom'!E20</f>
        <v>30.05.2014</v>
      </c>
      <c r="G26" s="16" t="str">
        <f>'[8]BP-Wom'!F20</f>
        <v>Курск</v>
      </c>
    </row>
    <row r="27" spans="1:7" s="16" customFormat="1" x14ac:dyDescent="0.25">
      <c r="A27" s="16">
        <f>'[8]BP-Wom'!A21</f>
        <v>75</v>
      </c>
      <c r="B27" s="16">
        <f>'[8]BP-Wom'!B21</f>
        <v>0</v>
      </c>
      <c r="C27" s="16">
        <f>'[8]BP-Wom'!C21</f>
        <v>0</v>
      </c>
      <c r="D27" s="16" t="str">
        <f t="shared" ref="D27:D31" si="1">RIGHT(C27,2)</f>
        <v>0</v>
      </c>
      <c r="E27" s="16">
        <f>'[8]BP-Wom'!D21</f>
        <v>0</v>
      </c>
      <c r="F27" s="17">
        <f>'[8]BP-Wom'!E21</f>
        <v>0</v>
      </c>
      <c r="G27" s="16">
        <f>'[8]BP-Wom'!F21</f>
        <v>0</v>
      </c>
    </row>
    <row r="28" spans="1:7" s="16" customFormat="1" x14ac:dyDescent="0.25">
      <c r="A28" s="16">
        <f>'[8]BP-Wom'!A22</f>
        <v>82.5</v>
      </c>
      <c r="B28" s="16">
        <f>'[8]BP-Wom'!B22</f>
        <v>0</v>
      </c>
      <c r="C28" s="16">
        <f>'[8]BP-Wom'!C22</f>
        <v>0</v>
      </c>
      <c r="D28" s="16" t="str">
        <f t="shared" si="1"/>
        <v>0</v>
      </c>
      <c r="E28" s="16">
        <f>'[8]BP-Wom'!D22</f>
        <v>0</v>
      </c>
      <c r="F28" s="17">
        <f>'[8]BP-Wom'!E22</f>
        <v>0</v>
      </c>
      <c r="G28" s="16">
        <f>'[8]BP-Wom'!F22</f>
        <v>0</v>
      </c>
    </row>
    <row r="29" spans="1:7" s="16" customFormat="1" x14ac:dyDescent="0.25">
      <c r="A29" s="16">
        <f>'[8]BP-Wom'!A23</f>
        <v>90</v>
      </c>
      <c r="B29" s="16">
        <f>'[8]BP-Wom'!B23</f>
        <v>0</v>
      </c>
      <c r="C29" s="16">
        <f>'[8]BP-Wom'!C23</f>
        <v>0</v>
      </c>
      <c r="D29" s="16" t="str">
        <f t="shared" si="1"/>
        <v>0</v>
      </c>
      <c r="E29" s="16">
        <f>'[8]BP-Wom'!D23</f>
        <v>0</v>
      </c>
      <c r="F29" s="17">
        <f>'[8]BP-Wom'!E23</f>
        <v>0</v>
      </c>
      <c r="G29" s="16">
        <f>'[8]BP-Wom'!F23</f>
        <v>0</v>
      </c>
    </row>
    <row r="30" spans="1:7" s="16" customFormat="1" x14ac:dyDescent="0.25">
      <c r="A30" s="16" t="str">
        <f>'[8]BP-Wom'!A24</f>
        <v>90+</v>
      </c>
      <c r="B30" s="16">
        <f>'[8]BP-Wom'!B24</f>
        <v>0</v>
      </c>
      <c r="C30" s="16">
        <f>'[8]BP-Wom'!C24</f>
        <v>0</v>
      </c>
      <c r="D30" s="16" t="str">
        <f t="shared" si="1"/>
        <v>0</v>
      </c>
      <c r="E30" s="16">
        <f>'[8]BP-Wom'!D24</f>
        <v>0</v>
      </c>
      <c r="F30" s="17">
        <f>'[8]BP-Wom'!E24</f>
        <v>0</v>
      </c>
      <c r="G30" s="16">
        <f>'[8]BP-Wom'!F24</f>
        <v>0</v>
      </c>
    </row>
    <row r="31" spans="1:7" s="16" customFormat="1" x14ac:dyDescent="0.25">
      <c r="A31" s="16">
        <f>'[8]BP-Wom'!A25</f>
        <v>0</v>
      </c>
      <c r="B31" s="16">
        <f>'[8]BP-Wom'!B25</f>
        <v>0</v>
      </c>
      <c r="C31" s="16">
        <f>'[8]BP-Wom'!C25</f>
        <v>0</v>
      </c>
      <c r="D31" s="16" t="str">
        <f t="shared" si="1"/>
        <v>0</v>
      </c>
      <c r="E31" s="16">
        <f>'[8]BP-Wom'!D25</f>
        <v>0</v>
      </c>
      <c r="F31" s="17">
        <f>'[8]BP-Wom'!E25</f>
        <v>0</v>
      </c>
      <c r="G31" s="16">
        <f>'[8]BP-Wom'!F25</f>
        <v>0</v>
      </c>
    </row>
    <row r="32" spans="1:7" s="11" customFormat="1" x14ac:dyDescent="0.25">
      <c r="A32" s="11" t="s">
        <v>0</v>
      </c>
      <c r="B32" s="11">
        <v>0</v>
      </c>
      <c r="C32" s="11">
        <v>18</v>
      </c>
      <c r="D32" s="11" t="str">
        <f>'[8]BP-Wom'!B26</f>
        <v>ДЕВУШКИ  (18 - 19)</v>
      </c>
      <c r="F32" s="13"/>
    </row>
    <row r="33" spans="1:7" s="16" customFormat="1" x14ac:dyDescent="0.25">
      <c r="A33" s="16">
        <f>'[8]BP-Wom'!A27</f>
        <v>44</v>
      </c>
      <c r="B33" s="16">
        <f>'[8]BP-Wom'!B27</f>
        <v>0</v>
      </c>
      <c r="C33" s="16">
        <f>'[8]BP-Wom'!C27</f>
        <v>0</v>
      </c>
      <c r="D33" s="16" t="str">
        <f t="shared" si="0"/>
        <v>0</v>
      </c>
      <c r="E33" s="16">
        <f>'[8]BP-Wom'!D27</f>
        <v>0</v>
      </c>
      <c r="F33" s="17">
        <f>'[8]BP-Wom'!E27</f>
        <v>0</v>
      </c>
      <c r="G33" s="16">
        <f>'[8]BP-Wom'!F27</f>
        <v>0</v>
      </c>
    </row>
    <row r="34" spans="1:7" s="16" customFormat="1" x14ac:dyDescent="0.25">
      <c r="A34" s="16">
        <f>'[8]BP-Wom'!A28</f>
        <v>48</v>
      </c>
      <c r="B34" s="16">
        <f>'[8]BP-Wom'!B28</f>
        <v>0</v>
      </c>
      <c r="C34" s="16">
        <f>'[8]BP-Wom'!C28</f>
        <v>0</v>
      </c>
      <c r="D34" s="16" t="str">
        <f t="shared" si="0"/>
        <v>0</v>
      </c>
      <c r="E34" s="16">
        <f>'[8]BP-Wom'!D28</f>
        <v>0</v>
      </c>
      <c r="F34" s="17">
        <f>'[8]BP-Wom'!E28</f>
        <v>0</v>
      </c>
      <c r="G34" s="16">
        <f>'[8]BP-Wom'!F28</f>
        <v>0</v>
      </c>
    </row>
    <row r="35" spans="1:7" s="16" customFormat="1" x14ac:dyDescent="0.25">
      <c r="A35" s="16">
        <f>'[8]BP-Wom'!A29</f>
        <v>52</v>
      </c>
      <c r="B35" s="16">
        <f>'[8]BP-Wom'!B29</f>
        <v>0</v>
      </c>
      <c r="C35" s="16">
        <f>'[8]BP-Wom'!C29</f>
        <v>0</v>
      </c>
      <c r="D35" s="16" t="str">
        <f t="shared" ref="D35:D42" si="2">RIGHT(C35,2)</f>
        <v>0</v>
      </c>
      <c r="E35" s="16">
        <f>'[8]BP-Wom'!D29</f>
        <v>0</v>
      </c>
      <c r="F35" s="17">
        <f>'[8]BP-Wom'!E29</f>
        <v>0</v>
      </c>
      <c r="G35" s="16">
        <f>'[8]BP-Wom'!F29</f>
        <v>0</v>
      </c>
    </row>
    <row r="36" spans="1:7" s="16" customFormat="1" x14ac:dyDescent="0.25">
      <c r="A36" s="16">
        <f>'[8]BP-Wom'!A30</f>
        <v>56</v>
      </c>
      <c r="B36" s="16">
        <f>'[8]BP-Wom'!B30</f>
        <v>67.5</v>
      </c>
      <c r="C36" s="16" t="str">
        <f>'[8]BP-Wom'!C30</f>
        <v>Насырова Диляра/96</v>
      </c>
      <c r="D36" s="16" t="str">
        <f t="shared" si="2"/>
        <v>96</v>
      </c>
      <c r="E36" s="16" t="str">
        <f>'[8]BP-Wom'!D30</f>
        <v>Зеленодольск</v>
      </c>
      <c r="F36" s="17" t="str">
        <f>'[8]BP-Wom'!E30</f>
        <v>24.08.2014</v>
      </c>
      <c r="G36" s="16" t="str">
        <f>'[8]BP-Wom'!F30</f>
        <v>Москва</v>
      </c>
    </row>
    <row r="37" spans="1:7" s="16" customFormat="1" x14ac:dyDescent="0.25">
      <c r="A37" s="16">
        <f>'[8]BP-Wom'!A31</f>
        <v>60</v>
      </c>
      <c r="B37" s="16">
        <f>'[8]BP-Wom'!B31</f>
        <v>0</v>
      </c>
      <c r="C37" s="16">
        <f>'[8]BP-Wom'!C31</f>
        <v>0</v>
      </c>
      <c r="D37" s="16" t="str">
        <f t="shared" si="2"/>
        <v>0</v>
      </c>
      <c r="E37" s="16">
        <f>'[8]BP-Wom'!D31</f>
        <v>0</v>
      </c>
      <c r="F37" s="17">
        <f>'[8]BP-Wom'!E31</f>
        <v>0</v>
      </c>
      <c r="G37" s="16">
        <f>'[8]BP-Wom'!F31</f>
        <v>0</v>
      </c>
    </row>
    <row r="38" spans="1:7" s="16" customFormat="1" x14ac:dyDescent="0.25">
      <c r="A38" s="16">
        <f>'[8]BP-Wom'!A32</f>
        <v>67.5</v>
      </c>
      <c r="B38" s="16">
        <f>'[8]BP-Wom'!B32</f>
        <v>97.5</v>
      </c>
      <c r="C38" s="16" t="str">
        <f>'[8]BP-Wom'!C32</f>
        <v>Оруджова Лидия/95</v>
      </c>
      <c r="D38" s="16" t="str">
        <f t="shared" si="2"/>
        <v>95</v>
      </c>
      <c r="E38" s="16" t="str">
        <f>'[8]BP-Wom'!D32</f>
        <v>Элиста</v>
      </c>
      <c r="F38" s="17" t="str">
        <f>'[8]BP-Wom'!E32</f>
        <v>19.07.2014</v>
      </c>
      <c r="G38" s="16" t="str">
        <f>'[8]BP-Wom'!F32</f>
        <v>Краснодар</v>
      </c>
    </row>
    <row r="39" spans="1:7" s="16" customFormat="1" x14ac:dyDescent="0.25">
      <c r="A39" s="16">
        <f>'[8]BP-Wom'!A33</f>
        <v>75</v>
      </c>
      <c r="B39" s="16">
        <f>'[8]BP-Wom'!B33</f>
        <v>0</v>
      </c>
      <c r="C39" s="16">
        <f>'[8]BP-Wom'!C33</f>
        <v>0</v>
      </c>
      <c r="D39" s="16" t="str">
        <f t="shared" si="2"/>
        <v>0</v>
      </c>
      <c r="E39" s="16">
        <f>'[8]BP-Wom'!D33</f>
        <v>0</v>
      </c>
      <c r="F39" s="17">
        <f>'[8]BP-Wom'!E33</f>
        <v>0</v>
      </c>
      <c r="G39" s="16">
        <f>'[8]BP-Wom'!F33</f>
        <v>0</v>
      </c>
    </row>
    <row r="40" spans="1:7" s="16" customFormat="1" x14ac:dyDescent="0.25">
      <c r="A40" s="16">
        <f>'[8]BP-Wom'!A34</f>
        <v>82.5</v>
      </c>
      <c r="B40" s="16">
        <f>'[8]BP-Wom'!B34</f>
        <v>0</v>
      </c>
      <c r="C40" s="16">
        <f>'[8]BP-Wom'!C34</f>
        <v>0</v>
      </c>
      <c r="D40" s="16" t="str">
        <f t="shared" si="2"/>
        <v>0</v>
      </c>
      <c r="E40" s="16">
        <f>'[8]BP-Wom'!D34</f>
        <v>0</v>
      </c>
      <c r="F40" s="17">
        <f>'[8]BP-Wom'!E34</f>
        <v>0</v>
      </c>
      <c r="G40" s="16">
        <f>'[8]BP-Wom'!F34</f>
        <v>0</v>
      </c>
    </row>
    <row r="41" spans="1:7" s="16" customFormat="1" x14ac:dyDescent="0.25">
      <c r="A41" s="16">
        <f>'[8]BP-Wom'!A35</f>
        <v>90</v>
      </c>
      <c r="B41" s="16">
        <f>'[8]BP-Wom'!B35</f>
        <v>0</v>
      </c>
      <c r="C41" s="16">
        <f>'[8]BP-Wom'!C35</f>
        <v>0</v>
      </c>
      <c r="D41" s="16" t="str">
        <f t="shared" si="2"/>
        <v>0</v>
      </c>
      <c r="E41" s="16">
        <f>'[8]BP-Wom'!D35</f>
        <v>0</v>
      </c>
      <c r="F41" s="17">
        <f>'[8]BP-Wom'!E35</f>
        <v>0</v>
      </c>
      <c r="G41" s="16">
        <f>'[8]BP-Wom'!F35</f>
        <v>0</v>
      </c>
    </row>
    <row r="42" spans="1:7" s="16" customFormat="1" x14ac:dyDescent="0.25">
      <c r="A42" s="16" t="str">
        <f>'[8]BP-Wom'!A36</f>
        <v>90+</v>
      </c>
      <c r="B42" s="16">
        <f>'[8]BP-Wom'!B36</f>
        <v>0</v>
      </c>
      <c r="C42" s="16">
        <f>'[8]BP-Wom'!C36</f>
        <v>0</v>
      </c>
      <c r="D42" s="16" t="str">
        <f t="shared" si="2"/>
        <v>0</v>
      </c>
      <c r="E42" s="16">
        <f>'[8]BP-Wom'!D36</f>
        <v>0</v>
      </c>
      <c r="F42" s="17">
        <f>'[8]BP-Wom'!E36</f>
        <v>0</v>
      </c>
      <c r="G42" s="16">
        <f>'[8]BP-Wom'!F36</f>
        <v>0</v>
      </c>
    </row>
    <row r="43" spans="1:7" s="16" customFormat="1" x14ac:dyDescent="0.25">
      <c r="A43" s="16">
        <f>'[8]BP-Wom'!A37</f>
        <v>0</v>
      </c>
      <c r="B43" s="16">
        <f>'[8]BP-Wom'!B37</f>
        <v>0</v>
      </c>
      <c r="C43" s="16">
        <f>'[8]BP-Wom'!C37</f>
        <v>0</v>
      </c>
      <c r="D43" s="16" t="str">
        <f t="shared" si="0"/>
        <v>0</v>
      </c>
      <c r="E43" s="16">
        <f>'[8]BP-Wom'!D37</f>
        <v>0</v>
      </c>
      <c r="F43" s="17">
        <f>'[8]BP-Wom'!E37</f>
        <v>0</v>
      </c>
      <c r="G43" s="16">
        <f>'[8]BP-Wom'!F37</f>
        <v>0</v>
      </c>
    </row>
    <row r="44" spans="1:7" s="11" customFormat="1" x14ac:dyDescent="0.25">
      <c r="A44" s="11" t="s">
        <v>0</v>
      </c>
      <c r="B44" s="11">
        <v>0</v>
      </c>
      <c r="C44" s="11">
        <v>20</v>
      </c>
      <c r="D44" s="11" t="str">
        <f>'[8]BP-Wom'!B38</f>
        <v>ЮНИОРКИ  (20 - 23)</v>
      </c>
      <c r="F44" s="13"/>
    </row>
    <row r="45" spans="1:7" x14ac:dyDescent="0.25">
      <c r="A45">
        <f>'[8]BP-Wom'!A39</f>
        <v>44</v>
      </c>
      <c r="B45">
        <f>'[8]BP-Wom'!B39</f>
        <v>0</v>
      </c>
      <c r="C45">
        <f>'[8]BP-Wom'!C39</f>
        <v>0</v>
      </c>
      <c r="D45" t="str">
        <f t="shared" si="0"/>
        <v>0</v>
      </c>
      <c r="E45">
        <f>'[8]BP-Wom'!D39</f>
        <v>0</v>
      </c>
      <c r="F45" s="10">
        <f>'[8]BP-Wom'!E39</f>
        <v>0</v>
      </c>
      <c r="G45">
        <f>'[8]BP-Wom'!F39</f>
        <v>0</v>
      </c>
    </row>
    <row r="46" spans="1:7" s="16" customFormat="1" x14ac:dyDescent="0.25">
      <c r="A46" s="16">
        <f>'[8]BP-Wom'!A40</f>
        <v>48</v>
      </c>
      <c r="B46" s="16">
        <f>'[8]BP-Wom'!B40</f>
        <v>65</v>
      </c>
      <c r="C46" s="16" t="str">
        <f>'[8]BP-Wom'!C40</f>
        <v>Огурцова Юлия/90</v>
      </c>
      <c r="D46" s="16" t="str">
        <f t="shared" si="0"/>
        <v>90</v>
      </c>
      <c r="E46" s="16" t="str">
        <f>'[8]BP-Wom'!D40</f>
        <v>Курск</v>
      </c>
      <c r="F46" s="17">
        <f>'[8]BP-Wom'!E40</f>
        <v>41497</v>
      </c>
      <c r="G46" s="16" t="str">
        <f>'[8]BP-Wom'!F40</f>
        <v>Курск</v>
      </c>
    </row>
    <row r="47" spans="1:7" s="16" customFormat="1" x14ac:dyDescent="0.25">
      <c r="A47" s="16">
        <f>'[8]BP-Wom'!A41</f>
        <v>52</v>
      </c>
      <c r="B47" s="16">
        <f>'[8]BP-Wom'!B41</f>
        <v>90</v>
      </c>
      <c r="C47" s="16" t="str">
        <f>'[8]BP-Wom'!C41</f>
        <v>Блинкова Наталья/91</v>
      </c>
      <c r="D47" s="16" t="str">
        <f t="shared" si="0"/>
        <v>91</v>
      </c>
      <c r="E47" s="16" t="str">
        <f>'[8]BP-Wom'!D41</f>
        <v>Курск</v>
      </c>
      <c r="F47" s="17">
        <f>'[8]BP-Wom'!E41</f>
        <v>41497</v>
      </c>
      <c r="G47" s="16" t="str">
        <f>'[8]BP-Wom'!F41</f>
        <v>Курск</v>
      </c>
    </row>
    <row r="48" spans="1:7" s="16" customFormat="1" x14ac:dyDescent="0.25">
      <c r="A48" s="16">
        <f>'[8]BP-Wom'!A42</f>
        <v>56</v>
      </c>
      <c r="B48" s="16">
        <f>'[8]BP-Wom'!B42</f>
        <v>100</v>
      </c>
      <c r="C48" s="16" t="str">
        <f>'[8]BP-Wom'!C42</f>
        <v>Блинкова Наталья/91</v>
      </c>
      <c r="D48" s="16" t="str">
        <f t="shared" ref="D48:D54" si="3">RIGHT(C48,2)</f>
        <v>91</v>
      </c>
      <c r="E48" s="16" t="str">
        <f>'[8]BP-Wom'!D42</f>
        <v>Курск</v>
      </c>
      <c r="F48" s="17">
        <f>'[8]BP-Wom'!E42</f>
        <v>41619</v>
      </c>
      <c r="G48" s="16" t="str">
        <f>'[8]BP-Wom'!F42</f>
        <v>Курск</v>
      </c>
    </row>
    <row r="49" spans="1:7" s="16" customFormat="1" x14ac:dyDescent="0.25">
      <c r="A49" s="16">
        <f>'[8]BP-Wom'!A43</f>
        <v>60</v>
      </c>
      <c r="B49" s="16">
        <f>'[8]BP-Wom'!B43</f>
        <v>0</v>
      </c>
      <c r="C49" s="16">
        <f>'[8]BP-Wom'!C43</f>
        <v>0</v>
      </c>
      <c r="D49" s="16" t="str">
        <f t="shared" si="3"/>
        <v>0</v>
      </c>
      <c r="E49" s="16">
        <f>'[8]BP-Wom'!D43</f>
        <v>0</v>
      </c>
      <c r="F49" s="17">
        <f>'[8]BP-Wom'!E43</f>
        <v>0</v>
      </c>
      <c r="G49" s="16">
        <f>'[8]BP-Wom'!F43</f>
        <v>0</v>
      </c>
    </row>
    <row r="50" spans="1:7" s="16" customFormat="1" x14ac:dyDescent="0.25">
      <c r="A50" s="16">
        <f>'[8]BP-Wom'!A44</f>
        <v>67.5</v>
      </c>
      <c r="B50" s="16">
        <f>'[8]BP-Wom'!B44</f>
        <v>0</v>
      </c>
      <c r="C50" s="16">
        <f>'[8]BP-Wom'!C44</f>
        <v>0</v>
      </c>
      <c r="D50" s="16" t="str">
        <f t="shared" si="3"/>
        <v>0</v>
      </c>
      <c r="E50" s="16">
        <f>'[8]BP-Wom'!D44</f>
        <v>0</v>
      </c>
      <c r="F50" s="17">
        <f>'[8]BP-Wom'!E44</f>
        <v>0</v>
      </c>
      <c r="G50" s="16">
        <f>'[8]BP-Wom'!F44</f>
        <v>0</v>
      </c>
    </row>
    <row r="51" spans="1:7" s="16" customFormat="1" x14ac:dyDescent="0.25">
      <c r="A51" s="16">
        <f>'[8]BP-Wom'!A45</f>
        <v>75</v>
      </c>
      <c r="B51" s="16">
        <f>'[8]BP-Wom'!B45</f>
        <v>0</v>
      </c>
      <c r="C51" s="16">
        <f>'[8]BP-Wom'!C45</f>
        <v>0</v>
      </c>
      <c r="D51" s="16" t="str">
        <f t="shared" si="3"/>
        <v>0</v>
      </c>
      <c r="E51" s="16">
        <f>'[8]BP-Wom'!D45</f>
        <v>0</v>
      </c>
      <c r="F51" s="17">
        <f>'[8]BP-Wom'!E45</f>
        <v>0</v>
      </c>
      <c r="G51" s="16">
        <f>'[8]BP-Wom'!F45</f>
        <v>0</v>
      </c>
    </row>
    <row r="52" spans="1:7" s="16" customFormat="1" x14ac:dyDescent="0.25">
      <c r="A52" s="16">
        <f>'[8]BP-Wom'!A46</f>
        <v>82.5</v>
      </c>
      <c r="B52" s="16">
        <f>'[8]BP-Wom'!B46</f>
        <v>0</v>
      </c>
      <c r="C52" s="16">
        <f>'[8]BP-Wom'!C46</f>
        <v>0</v>
      </c>
      <c r="D52" s="16" t="str">
        <f t="shared" si="3"/>
        <v>0</v>
      </c>
      <c r="E52" s="16">
        <f>'[8]BP-Wom'!D46</f>
        <v>0</v>
      </c>
      <c r="F52" s="17">
        <f>'[8]BP-Wom'!E46</f>
        <v>0</v>
      </c>
      <c r="G52" s="16">
        <f>'[8]BP-Wom'!F46</f>
        <v>0</v>
      </c>
    </row>
    <row r="53" spans="1:7" s="16" customFormat="1" x14ac:dyDescent="0.25">
      <c r="A53" s="16">
        <f>'[8]BP-Wom'!A47</f>
        <v>90</v>
      </c>
      <c r="B53" s="16">
        <f>'[8]BP-Wom'!B47</f>
        <v>0</v>
      </c>
      <c r="C53" s="16">
        <f>'[8]BP-Wom'!C47</f>
        <v>0</v>
      </c>
      <c r="D53" s="16" t="str">
        <f t="shared" si="3"/>
        <v>0</v>
      </c>
      <c r="E53" s="16">
        <f>'[8]BP-Wom'!D47</f>
        <v>0</v>
      </c>
      <c r="F53" s="17">
        <f>'[8]BP-Wom'!E47</f>
        <v>0</v>
      </c>
      <c r="G53" s="16">
        <f>'[8]BP-Wom'!F47</f>
        <v>0</v>
      </c>
    </row>
    <row r="54" spans="1:7" s="16" customFormat="1" x14ac:dyDescent="0.25">
      <c r="A54" s="16" t="str">
        <f>'[8]BP-Wom'!A48</f>
        <v>90+</v>
      </c>
      <c r="B54" s="16">
        <f>'[8]BP-Wom'!B48</f>
        <v>0</v>
      </c>
      <c r="C54" s="16">
        <f>'[8]BP-Wom'!C48</f>
        <v>0</v>
      </c>
      <c r="D54" s="16" t="str">
        <f t="shared" si="3"/>
        <v>0</v>
      </c>
      <c r="E54" s="16">
        <f>'[8]BP-Wom'!D48</f>
        <v>0</v>
      </c>
      <c r="F54" s="17">
        <f>'[8]BP-Wom'!E48</f>
        <v>0</v>
      </c>
      <c r="G54" s="16">
        <f>'[8]BP-Wom'!F48</f>
        <v>0</v>
      </c>
    </row>
    <row r="55" spans="1:7" s="16" customFormat="1" x14ac:dyDescent="0.25">
      <c r="A55" s="16">
        <f>'[8]BP-Wom'!A49</f>
        <v>0</v>
      </c>
      <c r="B55" s="16">
        <f>'[8]BP-Wom'!B49</f>
        <v>0</v>
      </c>
      <c r="C55" s="16">
        <f>'[8]BP-Wom'!C49</f>
        <v>0</v>
      </c>
      <c r="D55" s="16" t="str">
        <f t="shared" si="0"/>
        <v>0</v>
      </c>
      <c r="E55" s="16">
        <f>'[8]BP-Wom'!D49</f>
        <v>0</v>
      </c>
      <c r="F55" s="17">
        <f>'[8]BP-Wom'!E49</f>
        <v>0</v>
      </c>
      <c r="G55" s="16">
        <f>'[8]BP-Wom'!F49</f>
        <v>0</v>
      </c>
    </row>
    <row r="56" spans="1:7" s="11" customFormat="1" x14ac:dyDescent="0.25">
      <c r="A56" s="11" t="s">
        <v>0</v>
      </c>
      <c r="B56" s="11">
        <v>0</v>
      </c>
      <c r="C56" s="11">
        <v>-2</v>
      </c>
      <c r="D56" s="11" t="str">
        <f>'[8]BP-Wom'!B50</f>
        <v>ЖЕНЩИНЫ</v>
      </c>
      <c r="F56" s="13"/>
    </row>
    <row r="57" spans="1:7" s="16" customFormat="1" x14ac:dyDescent="0.25">
      <c r="A57" s="16">
        <f>'[8]BP-Wom'!A51</f>
        <v>44</v>
      </c>
      <c r="B57" s="16">
        <f>'[8]BP-Wom'!B51</f>
        <v>0</v>
      </c>
      <c r="C57" s="16">
        <f>'[8]BP-Wom'!C51</f>
        <v>0</v>
      </c>
      <c r="D57" s="16" t="str">
        <f t="shared" si="0"/>
        <v>0</v>
      </c>
      <c r="E57" s="16">
        <f>'[8]BP-Wom'!D51</f>
        <v>0</v>
      </c>
      <c r="F57" s="17">
        <f>'[8]BP-Wom'!E51</f>
        <v>0</v>
      </c>
      <c r="G57" s="16">
        <f>'[8]BP-Wom'!F51</f>
        <v>0</v>
      </c>
    </row>
    <row r="58" spans="1:7" s="16" customFormat="1" x14ac:dyDescent="0.25">
      <c r="A58" s="16">
        <f>'[8]BP-Wom'!A52</f>
        <v>48</v>
      </c>
      <c r="B58" s="16">
        <f>'[8]BP-Wom'!B52</f>
        <v>87.5</v>
      </c>
      <c r="C58" s="16" t="str">
        <f>'[8]BP-Wom'!C52</f>
        <v>Длужневская  Владислава/2000</v>
      </c>
      <c r="D58" s="16" t="str">
        <f t="shared" si="0"/>
        <v>00</v>
      </c>
      <c r="E58" s="16" t="str">
        <f>'[8]BP-Wom'!D52</f>
        <v>Вологда</v>
      </c>
      <c r="F58" s="17">
        <f>'[8]BP-Wom'!E52</f>
        <v>41342</v>
      </c>
      <c r="G58" s="16" t="str">
        <f>'[8]BP-Wom'!F52</f>
        <v>Вологда</v>
      </c>
    </row>
    <row r="59" spans="1:7" s="16" customFormat="1" x14ac:dyDescent="0.25">
      <c r="A59" s="16">
        <f>'[8]BP-Wom'!A53</f>
        <v>52</v>
      </c>
      <c r="B59" s="16">
        <f>'[8]BP-Wom'!B53</f>
        <v>90</v>
      </c>
      <c r="C59" s="16" t="str">
        <f>'[8]BP-Wom'!C53</f>
        <v>Блинкова Наталья/91</v>
      </c>
      <c r="D59" s="16" t="str">
        <f t="shared" ref="D59:D66" si="4">RIGHT(C59,2)</f>
        <v>91</v>
      </c>
      <c r="E59" s="16" t="str">
        <f>'[8]BP-Wom'!D53</f>
        <v>Курск</v>
      </c>
      <c r="F59" s="17">
        <f>'[8]BP-Wom'!E53</f>
        <v>41497</v>
      </c>
      <c r="G59" s="16" t="str">
        <f>'[8]BP-Wom'!F53</f>
        <v>Курск</v>
      </c>
    </row>
    <row r="60" spans="1:7" s="16" customFormat="1" x14ac:dyDescent="0.25">
      <c r="A60" s="16">
        <f>'[8]BP-Wom'!A54</f>
        <v>56</v>
      </c>
      <c r="B60" s="16">
        <f>'[8]BP-Wom'!B54</f>
        <v>100</v>
      </c>
      <c r="C60" s="16" t="str">
        <f>'[8]BP-Wom'!C54</f>
        <v>Блинкова Наталья/91</v>
      </c>
      <c r="D60" s="16" t="str">
        <f t="shared" si="4"/>
        <v>91</v>
      </c>
      <c r="E60" s="16" t="str">
        <f>'[8]BP-Wom'!D54</f>
        <v>Курск</v>
      </c>
      <c r="F60" s="17">
        <f>'[8]BP-Wom'!E54</f>
        <v>41619</v>
      </c>
      <c r="G60" s="16" t="str">
        <f>'[8]BP-Wom'!F54</f>
        <v>Курск</v>
      </c>
    </row>
    <row r="61" spans="1:7" s="16" customFormat="1" x14ac:dyDescent="0.25">
      <c r="A61" s="16">
        <f>'[8]BP-Wom'!A55</f>
        <v>60</v>
      </c>
      <c r="B61" s="16">
        <f>'[8]BP-Wom'!B55</f>
        <v>105</v>
      </c>
      <c r="C61" s="16" t="str">
        <f>'[8]BP-Wom'!C55</f>
        <v>Баранова Кристина/88</v>
      </c>
      <c r="D61" s="16" t="str">
        <f t="shared" si="4"/>
        <v>88</v>
      </c>
      <c r="E61" s="16" t="str">
        <f>'[8]BP-Wom'!D55</f>
        <v>Новосибирск</v>
      </c>
      <c r="F61" s="17" t="str">
        <f>'[8]BP-Wom'!E55</f>
        <v>04.07.2014</v>
      </c>
      <c r="G61" s="16" t="str">
        <f>'[8]BP-Wom'!F55</f>
        <v>Новосибирск</v>
      </c>
    </row>
    <row r="62" spans="1:7" s="16" customFormat="1" x14ac:dyDescent="0.25">
      <c r="A62" s="16">
        <f>'[8]BP-Wom'!A56</f>
        <v>67.5</v>
      </c>
      <c r="B62" s="16">
        <f>'[8]BP-Wom'!B56</f>
        <v>97.5</v>
      </c>
      <c r="C62" s="16" t="str">
        <f>'[8]BP-Wom'!C56</f>
        <v>Оруджова Лидия/95</v>
      </c>
      <c r="D62" s="16" t="str">
        <f t="shared" si="4"/>
        <v>95</v>
      </c>
      <c r="E62" s="16" t="str">
        <f>'[8]BP-Wom'!D56</f>
        <v>Элиста</v>
      </c>
      <c r="F62" s="17" t="str">
        <f>'[8]BP-Wom'!E56</f>
        <v>19.07.2014</v>
      </c>
      <c r="G62" s="16" t="str">
        <f>'[8]BP-Wom'!F56</f>
        <v>Краснодар</v>
      </c>
    </row>
    <row r="63" spans="1:7" s="16" customFormat="1" x14ac:dyDescent="0.25">
      <c r="A63" s="16">
        <f>'[8]BP-Wom'!A57</f>
        <v>75</v>
      </c>
      <c r="B63" s="16">
        <f>'[8]BP-Wom'!B57</f>
        <v>55</v>
      </c>
      <c r="C63" s="16" t="str">
        <f>'[8]BP-Wom'!C57</f>
        <v>Мимонова Ольга/89</v>
      </c>
      <c r="D63" s="16" t="str">
        <f t="shared" si="4"/>
        <v>89</v>
      </c>
      <c r="E63" s="16" t="str">
        <f>'[8]BP-Wom'!D57</f>
        <v>Курск</v>
      </c>
      <c r="F63" s="17" t="str">
        <f>'[8]BP-Wom'!E57</f>
        <v>30.05.2014</v>
      </c>
      <c r="G63" s="16" t="str">
        <f>'[8]BP-Wom'!F57</f>
        <v>Курск</v>
      </c>
    </row>
    <row r="64" spans="1:7" s="16" customFormat="1" x14ac:dyDescent="0.25">
      <c r="A64" s="16">
        <f>'[8]BP-Wom'!A58</f>
        <v>82.5</v>
      </c>
      <c r="B64" s="16">
        <f>'[8]BP-Wom'!B58</f>
        <v>132.5</v>
      </c>
      <c r="C64" s="16" t="str">
        <f>'[8]BP-Wom'!C58</f>
        <v>Пуговкина Алла/75</v>
      </c>
      <c r="D64" s="16" t="str">
        <f t="shared" si="4"/>
        <v>75</v>
      </c>
      <c r="E64" s="16" t="str">
        <f>'[8]BP-Wom'!D58</f>
        <v>Москва</v>
      </c>
      <c r="F64" s="17" t="str">
        <f>'[8]BP-Wom'!E58</f>
        <v>24.08.2014</v>
      </c>
      <c r="G64" s="16" t="str">
        <f>'[8]BP-Wom'!F58</f>
        <v>Москва</v>
      </c>
    </row>
    <row r="65" spans="1:7" s="16" customFormat="1" x14ac:dyDescent="0.25">
      <c r="A65" s="16">
        <f>'[8]BP-Wom'!A59</f>
        <v>90</v>
      </c>
      <c r="B65" s="16">
        <f>'[8]BP-Wom'!B59</f>
        <v>0</v>
      </c>
      <c r="C65" s="16">
        <f>'[8]BP-Wom'!C59</f>
        <v>0</v>
      </c>
      <c r="D65" s="16" t="str">
        <f t="shared" si="4"/>
        <v>0</v>
      </c>
      <c r="E65" s="16">
        <f>'[8]BP-Wom'!D59</f>
        <v>0</v>
      </c>
      <c r="F65" s="17">
        <f>'[8]BP-Wom'!E59</f>
        <v>0</v>
      </c>
      <c r="G65" s="16">
        <f>'[8]BP-Wom'!F59</f>
        <v>0</v>
      </c>
    </row>
    <row r="66" spans="1:7" s="16" customFormat="1" x14ac:dyDescent="0.25">
      <c r="A66" s="16" t="str">
        <f>'[8]BP-Wom'!A60</f>
        <v>90+</v>
      </c>
      <c r="B66" s="16">
        <f>'[8]BP-Wom'!B60</f>
        <v>110</v>
      </c>
      <c r="C66" s="16" t="str">
        <f>'[8]BP-Wom'!C60</f>
        <v>Фролкова Ксения/73</v>
      </c>
      <c r="D66" s="16" t="str">
        <f t="shared" si="4"/>
        <v>73</v>
      </c>
      <c r="E66" s="16">
        <f>'[8]BP-Wom'!D60</f>
        <v>0</v>
      </c>
      <c r="F66" s="17">
        <f>'[8]BP-Wom'!E60</f>
        <v>41244</v>
      </c>
      <c r="G66" s="16" t="str">
        <f>'[8]BP-Wom'!F60</f>
        <v>Екатеринбург</v>
      </c>
    </row>
    <row r="67" spans="1:7" s="16" customFormat="1" x14ac:dyDescent="0.25">
      <c r="A67" s="16">
        <f>'[8]BP-Wom'!A61</f>
        <v>0</v>
      </c>
      <c r="B67" s="16">
        <f>'[8]BP-Wom'!B61</f>
        <v>0</v>
      </c>
      <c r="C67" s="16">
        <f>'[8]BP-Wom'!C61</f>
        <v>0</v>
      </c>
      <c r="D67" s="16" t="str">
        <f t="shared" si="0"/>
        <v>0</v>
      </c>
      <c r="E67" s="16">
        <f>'[8]BP-Wom'!D61</f>
        <v>0</v>
      </c>
      <c r="F67" s="17">
        <f>'[8]BP-Wom'!E61</f>
        <v>0</v>
      </c>
      <c r="G67" s="16">
        <f>'[8]BP-Wom'!F61</f>
        <v>0</v>
      </c>
    </row>
    <row r="68" spans="1:7" s="11" customFormat="1" x14ac:dyDescent="0.25">
      <c r="A68" s="11" t="s">
        <v>0</v>
      </c>
      <c r="B68" s="11">
        <v>0</v>
      </c>
      <c r="C68" s="11">
        <v>-4</v>
      </c>
      <c r="D68" s="11" t="str">
        <f>'[8]BP-Wom'!B62</f>
        <v>ЖЕНЩИНЫ - САБМАСТЕРС  (33 - 39)</v>
      </c>
      <c r="F68" s="13"/>
    </row>
    <row r="69" spans="1:7" s="16" customFormat="1" x14ac:dyDescent="0.25">
      <c r="A69" s="16">
        <f>'[8]BP-Wom'!A63</f>
        <v>44</v>
      </c>
      <c r="B69" s="16">
        <f>'[8]BP-Wom'!B63</f>
        <v>0</v>
      </c>
      <c r="C69" s="16">
        <f>'[8]BP-Wom'!C63</f>
        <v>0</v>
      </c>
      <c r="D69" s="16" t="str">
        <f t="shared" si="0"/>
        <v>0</v>
      </c>
      <c r="E69" s="16">
        <f>'[8]BP-Wom'!D63</f>
        <v>0</v>
      </c>
      <c r="F69" s="17">
        <f>'[8]BP-Wom'!E63</f>
        <v>0</v>
      </c>
      <c r="G69" s="16">
        <f>'[8]BP-Wom'!F63</f>
        <v>0</v>
      </c>
    </row>
    <row r="70" spans="1:7" s="16" customFormat="1" x14ac:dyDescent="0.25">
      <c r="A70" s="16">
        <f>'[8]BP-Wom'!A64</f>
        <v>48</v>
      </c>
      <c r="B70" s="16">
        <f>'[8]BP-Wom'!B64</f>
        <v>72.5</v>
      </c>
      <c r="C70" s="16" t="str">
        <f>'[8]BP-Wom'!C64</f>
        <v>Вахтерова Юлия/80</v>
      </c>
      <c r="D70" s="16" t="str">
        <f t="shared" ref="D70:D78" si="5">RIGHT(C70,2)</f>
        <v>80</v>
      </c>
      <c r="E70" s="16" t="str">
        <f>'[8]BP-Wom'!D64</f>
        <v>Благовещенск</v>
      </c>
      <c r="F70" s="17" t="str">
        <f>'[8]BP-Wom'!E64</f>
        <v>24.08.2014</v>
      </c>
      <c r="G70" s="16" t="str">
        <f>'[8]BP-Wom'!F64</f>
        <v>Москва</v>
      </c>
    </row>
    <row r="71" spans="1:7" s="16" customFormat="1" x14ac:dyDescent="0.25">
      <c r="A71" s="16">
        <f>'[8]BP-Wom'!A65</f>
        <v>52</v>
      </c>
      <c r="B71" s="16">
        <f>'[8]BP-Wom'!B65</f>
        <v>0</v>
      </c>
      <c r="C71" s="16">
        <f>'[8]BP-Wom'!C65</f>
        <v>0</v>
      </c>
      <c r="D71" s="16" t="str">
        <f t="shared" si="5"/>
        <v>0</v>
      </c>
      <c r="E71" s="16">
        <f>'[8]BP-Wom'!D65</f>
        <v>0</v>
      </c>
      <c r="F71" s="17">
        <f>'[8]BP-Wom'!E65</f>
        <v>0</v>
      </c>
      <c r="G71" s="16">
        <f>'[8]BP-Wom'!F65</f>
        <v>0</v>
      </c>
    </row>
    <row r="72" spans="1:7" s="16" customFormat="1" x14ac:dyDescent="0.25">
      <c r="A72" s="16">
        <f>'[8]BP-Wom'!A66</f>
        <v>56</v>
      </c>
      <c r="B72" s="16">
        <f>'[8]BP-Wom'!B66</f>
        <v>65</v>
      </c>
      <c r="C72" s="16" t="str">
        <f>'[8]BP-Wom'!C66</f>
        <v>Рыжих Ольга/79</v>
      </c>
      <c r="D72" s="16" t="str">
        <f t="shared" si="5"/>
        <v>79</v>
      </c>
      <c r="E72" s="16" t="str">
        <f>'[8]BP-Wom'!D66</f>
        <v>Курск</v>
      </c>
      <c r="F72" s="17" t="str">
        <f>'[8]BP-Wom'!E66</f>
        <v>30.05.2014</v>
      </c>
      <c r="G72" s="16" t="str">
        <f>'[8]BP-Wom'!F66</f>
        <v>Курск</v>
      </c>
    </row>
    <row r="73" spans="1:7" s="16" customFormat="1" x14ac:dyDescent="0.25">
      <c r="A73" s="16">
        <f>'[8]BP-Wom'!A67</f>
        <v>60</v>
      </c>
      <c r="B73" s="16">
        <f>'[8]BP-Wom'!B67</f>
        <v>0</v>
      </c>
      <c r="C73" s="16">
        <f>'[8]BP-Wom'!C67</f>
        <v>0</v>
      </c>
      <c r="D73" s="16" t="str">
        <f t="shared" si="5"/>
        <v>0</v>
      </c>
      <c r="E73" s="16">
        <f>'[8]BP-Wom'!D67</f>
        <v>0</v>
      </c>
      <c r="F73" s="17">
        <f>'[8]BP-Wom'!E67</f>
        <v>0</v>
      </c>
      <c r="G73" s="16">
        <f>'[8]BP-Wom'!F67</f>
        <v>0</v>
      </c>
    </row>
    <row r="74" spans="1:7" s="16" customFormat="1" x14ac:dyDescent="0.25">
      <c r="A74" s="16">
        <f>'[8]BP-Wom'!A68</f>
        <v>67.5</v>
      </c>
      <c r="B74" s="16">
        <f>'[8]BP-Wom'!B68</f>
        <v>0</v>
      </c>
      <c r="C74" s="16">
        <f>'[8]BP-Wom'!C68</f>
        <v>0</v>
      </c>
      <c r="D74" s="16" t="str">
        <f t="shared" si="5"/>
        <v>0</v>
      </c>
      <c r="E74" s="16">
        <f>'[8]BP-Wom'!D68</f>
        <v>0</v>
      </c>
      <c r="F74" s="17">
        <f>'[8]BP-Wom'!E68</f>
        <v>0</v>
      </c>
      <c r="G74" s="16">
        <f>'[8]BP-Wom'!F68</f>
        <v>0</v>
      </c>
    </row>
    <row r="75" spans="1:7" s="16" customFormat="1" x14ac:dyDescent="0.25">
      <c r="A75" s="16">
        <f>'[8]BP-Wom'!A69</f>
        <v>75</v>
      </c>
      <c r="B75" s="16">
        <f>'[8]BP-Wom'!B69</f>
        <v>0</v>
      </c>
      <c r="C75" s="16">
        <f>'[8]BP-Wom'!C69</f>
        <v>0</v>
      </c>
      <c r="D75" s="16" t="str">
        <f t="shared" si="5"/>
        <v>0</v>
      </c>
      <c r="E75" s="16">
        <f>'[8]BP-Wom'!D69</f>
        <v>0</v>
      </c>
      <c r="F75" s="17">
        <f>'[8]BP-Wom'!E69</f>
        <v>0</v>
      </c>
      <c r="G75" s="16">
        <f>'[8]BP-Wom'!F69</f>
        <v>0</v>
      </c>
    </row>
    <row r="76" spans="1:7" s="16" customFormat="1" x14ac:dyDescent="0.25">
      <c r="A76" s="16">
        <f>'[8]BP-Wom'!A70</f>
        <v>82.5</v>
      </c>
      <c r="B76" s="16">
        <f>'[8]BP-Wom'!B70</f>
        <v>132.5</v>
      </c>
      <c r="C76" s="16" t="str">
        <f>'[8]BP-Wom'!C70</f>
        <v>Пуговкина Алла/75</v>
      </c>
      <c r="D76" s="16" t="str">
        <f t="shared" si="5"/>
        <v>75</v>
      </c>
      <c r="E76" s="16" t="str">
        <f>'[8]BP-Wom'!D70</f>
        <v>Москва</v>
      </c>
      <c r="F76" s="17" t="str">
        <f>'[8]BP-Wom'!E70</f>
        <v>24.08.2014</v>
      </c>
      <c r="G76" s="16" t="str">
        <f>'[8]BP-Wom'!F70</f>
        <v>Москва</v>
      </c>
    </row>
    <row r="77" spans="1:7" s="16" customFormat="1" x14ac:dyDescent="0.25">
      <c r="A77" s="16">
        <f>'[8]BP-Wom'!A71</f>
        <v>90</v>
      </c>
      <c r="B77" s="16">
        <f>'[8]BP-Wom'!B71</f>
        <v>0</v>
      </c>
      <c r="C77" s="16">
        <f>'[8]BP-Wom'!C71</f>
        <v>0</v>
      </c>
      <c r="D77" s="16" t="str">
        <f t="shared" si="5"/>
        <v>0</v>
      </c>
      <c r="E77" s="16">
        <f>'[8]BP-Wom'!D71</f>
        <v>0</v>
      </c>
      <c r="F77" s="17">
        <f>'[8]BP-Wom'!E71</f>
        <v>0</v>
      </c>
      <c r="G77" s="16">
        <f>'[8]BP-Wom'!F71</f>
        <v>0</v>
      </c>
    </row>
    <row r="78" spans="1:7" s="16" customFormat="1" x14ac:dyDescent="0.25">
      <c r="A78" s="16" t="str">
        <f>'[8]BP-Wom'!A72</f>
        <v>90+</v>
      </c>
      <c r="B78" s="16">
        <f>'[8]BP-Wom'!B72</f>
        <v>0</v>
      </c>
      <c r="C78" s="16">
        <f>'[8]BP-Wom'!C72</f>
        <v>0</v>
      </c>
      <c r="D78" s="16" t="str">
        <f t="shared" si="5"/>
        <v>0</v>
      </c>
      <c r="E78" s="16">
        <f>'[8]BP-Wom'!D72</f>
        <v>0</v>
      </c>
      <c r="F78" s="17">
        <f>'[8]BP-Wom'!E72</f>
        <v>0</v>
      </c>
      <c r="G78" s="16">
        <f>'[8]BP-Wom'!F72</f>
        <v>0</v>
      </c>
    </row>
    <row r="79" spans="1:7" s="16" customFormat="1" x14ac:dyDescent="0.25">
      <c r="A79" s="16">
        <f>'[8]BP-Wom'!A73</f>
        <v>0</v>
      </c>
      <c r="B79" s="16">
        <f>'[8]BP-Wom'!B73</f>
        <v>0</v>
      </c>
      <c r="C79" s="16">
        <f>'[8]BP-Wom'!C73</f>
        <v>0</v>
      </c>
      <c r="D79" s="16" t="str">
        <f t="shared" ref="D79" si="6">RIGHT(C79,2)</f>
        <v>0</v>
      </c>
      <c r="E79" s="16">
        <f>'[8]BP-Wom'!D73</f>
        <v>0</v>
      </c>
      <c r="F79" s="17">
        <f>'[8]BP-Wom'!E73</f>
        <v>0</v>
      </c>
      <c r="G79" s="16">
        <f>'[8]BP-Wom'!F73</f>
        <v>0</v>
      </c>
    </row>
    <row r="80" spans="1:7" s="11" customFormat="1" x14ac:dyDescent="0.25">
      <c r="A80" s="11" t="s">
        <v>0</v>
      </c>
      <c r="B80" s="11">
        <v>0</v>
      </c>
      <c r="C80" s="11">
        <v>40</v>
      </c>
      <c r="D80" s="11" t="str">
        <f>'[8]BP-Wom'!B74</f>
        <v>МАСТЕРС - 1(40-44)</v>
      </c>
      <c r="F80" s="13"/>
    </row>
    <row r="81" spans="1:7" s="16" customFormat="1" x14ac:dyDescent="0.25">
      <c r="A81" s="16">
        <f>'[8]BP-Wom'!A75</f>
        <v>44</v>
      </c>
      <c r="B81" s="16">
        <f>'[8]BP-Wom'!B75</f>
        <v>0</v>
      </c>
      <c r="C81" s="16">
        <f>'[8]BP-Wom'!C75</f>
        <v>0</v>
      </c>
      <c r="D81" s="16" t="str">
        <f t="shared" ref="D81:D168" si="7">RIGHT(C81,2)</f>
        <v>0</v>
      </c>
      <c r="E81" s="16">
        <f>'[8]BP-Wom'!D75</f>
        <v>0</v>
      </c>
      <c r="F81" s="17">
        <f>'[8]BP-Wom'!E75</f>
        <v>0</v>
      </c>
      <c r="G81" s="16">
        <f>'[8]BP-Wom'!F75</f>
        <v>0</v>
      </c>
    </row>
    <row r="82" spans="1:7" s="16" customFormat="1" x14ac:dyDescent="0.25">
      <c r="A82" s="16">
        <f>'[8]BP-Wom'!A76</f>
        <v>48</v>
      </c>
      <c r="B82" s="16">
        <f>'[8]BP-Wom'!B76</f>
        <v>0</v>
      </c>
      <c r="C82" s="16">
        <f>'[8]BP-Wom'!C76</f>
        <v>0</v>
      </c>
      <c r="D82" s="16" t="str">
        <f t="shared" ref="D82:D85" si="8">RIGHT(C82,2)</f>
        <v>0</v>
      </c>
      <c r="E82" s="16">
        <f>'[8]BP-Wom'!D76</f>
        <v>0</v>
      </c>
      <c r="F82" s="17">
        <f>'[8]BP-Wom'!E76</f>
        <v>0</v>
      </c>
      <c r="G82" s="16">
        <f>'[8]BP-Wom'!F76</f>
        <v>0</v>
      </c>
    </row>
    <row r="83" spans="1:7" s="16" customFormat="1" x14ac:dyDescent="0.25">
      <c r="A83" s="16">
        <f>'[8]BP-Wom'!A77</f>
        <v>52</v>
      </c>
      <c r="B83" s="16">
        <f>'[8]BP-Wom'!B77</f>
        <v>0</v>
      </c>
      <c r="C83" s="16">
        <f>'[8]BP-Wom'!C77</f>
        <v>0</v>
      </c>
      <c r="D83" s="16" t="str">
        <f t="shared" si="8"/>
        <v>0</v>
      </c>
      <c r="E83" s="16">
        <f>'[8]BP-Wom'!D77</f>
        <v>0</v>
      </c>
      <c r="F83" s="17">
        <f>'[8]BP-Wom'!E77</f>
        <v>0</v>
      </c>
      <c r="G83" s="16">
        <f>'[8]BP-Wom'!F77</f>
        <v>0</v>
      </c>
    </row>
    <row r="84" spans="1:7" s="16" customFormat="1" x14ac:dyDescent="0.25">
      <c r="A84" s="16">
        <f>'[8]BP-Wom'!A78</f>
        <v>56</v>
      </c>
      <c r="B84" s="16">
        <f>'[8]BP-Wom'!B78</f>
        <v>0</v>
      </c>
      <c r="C84" s="16">
        <f>'[8]BP-Wom'!C78</f>
        <v>0</v>
      </c>
      <c r="D84" s="16" t="str">
        <f t="shared" si="8"/>
        <v>0</v>
      </c>
      <c r="E84" s="16">
        <f>'[8]BP-Wom'!D78</f>
        <v>0</v>
      </c>
      <c r="F84" s="17">
        <f>'[8]BP-Wom'!E78</f>
        <v>0</v>
      </c>
      <c r="G84" s="16">
        <f>'[8]BP-Wom'!F78</f>
        <v>0</v>
      </c>
    </row>
    <row r="85" spans="1:7" s="16" customFormat="1" x14ac:dyDescent="0.25">
      <c r="A85" s="16">
        <f>'[8]BP-Wom'!A79</f>
        <v>60</v>
      </c>
      <c r="B85" s="16">
        <f>'[8]BP-Wom'!B79</f>
        <v>0</v>
      </c>
      <c r="C85" s="16">
        <f>'[8]BP-Wom'!C79</f>
        <v>0</v>
      </c>
      <c r="D85" s="16" t="str">
        <f t="shared" si="8"/>
        <v>0</v>
      </c>
      <c r="E85" s="16">
        <f>'[8]BP-Wom'!D79</f>
        <v>0</v>
      </c>
      <c r="F85" s="17">
        <f>'[8]BP-Wom'!E79</f>
        <v>0</v>
      </c>
      <c r="G85" s="16">
        <f>'[8]BP-Wom'!F79</f>
        <v>0</v>
      </c>
    </row>
    <row r="86" spans="1:7" s="16" customFormat="1" x14ac:dyDescent="0.25">
      <c r="A86" s="16" t="str">
        <f>'[8]BP-Wom'!A80</f>
        <v>67.5</v>
      </c>
      <c r="B86" s="16">
        <f>'[8]BP-Wom'!B80</f>
        <v>82.5</v>
      </c>
      <c r="C86" s="16" t="str">
        <f>'[8]BP-Wom'!C80</f>
        <v>Николенко Анна/70</v>
      </c>
      <c r="D86" s="16" t="str">
        <f t="shared" ref="D86:D91" si="9">RIGHT(C86,2)</f>
        <v>70</v>
      </c>
      <c r="E86" s="16" t="str">
        <f>'[8]BP-Wom'!D80</f>
        <v>Москва</v>
      </c>
      <c r="F86" s="17">
        <f>'[8]BP-Wom'!E80</f>
        <v>41439</v>
      </c>
      <c r="G86" s="16" t="str">
        <f>'[8]BP-Wom'!F80</f>
        <v>Москва</v>
      </c>
    </row>
    <row r="87" spans="1:7" s="16" customFormat="1" x14ac:dyDescent="0.25">
      <c r="A87" s="16">
        <f>'[8]BP-Wom'!A81</f>
        <v>75</v>
      </c>
      <c r="B87" s="16">
        <f>'[8]BP-Wom'!B81</f>
        <v>0</v>
      </c>
      <c r="C87" s="16">
        <f>'[8]BP-Wom'!C81</f>
        <v>0</v>
      </c>
      <c r="D87" s="16" t="str">
        <f t="shared" si="9"/>
        <v>0</v>
      </c>
      <c r="E87" s="16">
        <f>'[8]BP-Wom'!D81</f>
        <v>0</v>
      </c>
      <c r="F87" s="17">
        <f>'[8]BP-Wom'!E81</f>
        <v>0</v>
      </c>
      <c r="G87" s="16">
        <f>'[8]BP-Wom'!F81</f>
        <v>0</v>
      </c>
    </row>
    <row r="88" spans="1:7" s="16" customFormat="1" x14ac:dyDescent="0.25">
      <c r="A88" s="16">
        <f>'[8]BP-Wom'!A82</f>
        <v>82.5</v>
      </c>
      <c r="B88" s="16">
        <f>'[8]BP-Wom'!B82</f>
        <v>0</v>
      </c>
      <c r="C88" s="16">
        <f>'[8]BP-Wom'!C82</f>
        <v>0</v>
      </c>
      <c r="D88" s="16" t="str">
        <f t="shared" si="9"/>
        <v>0</v>
      </c>
      <c r="E88" s="16">
        <f>'[8]BP-Wom'!D82</f>
        <v>0</v>
      </c>
      <c r="F88" s="17">
        <f>'[8]BP-Wom'!E82</f>
        <v>0</v>
      </c>
      <c r="G88" s="16">
        <f>'[8]BP-Wom'!F82</f>
        <v>0</v>
      </c>
    </row>
    <row r="89" spans="1:7" s="16" customFormat="1" x14ac:dyDescent="0.25">
      <c r="A89" s="16">
        <f>'[8]BP-Wom'!A83</f>
        <v>90</v>
      </c>
      <c r="B89" s="16">
        <f>'[8]BP-Wom'!B83</f>
        <v>0</v>
      </c>
      <c r="C89" s="16">
        <f>'[8]BP-Wom'!C83</f>
        <v>0</v>
      </c>
      <c r="D89" s="16" t="str">
        <f t="shared" si="9"/>
        <v>0</v>
      </c>
      <c r="E89" s="16">
        <f>'[8]BP-Wom'!D83</f>
        <v>0</v>
      </c>
      <c r="F89" s="17">
        <f>'[8]BP-Wom'!E83</f>
        <v>0</v>
      </c>
      <c r="G89" s="16">
        <f>'[8]BP-Wom'!F83</f>
        <v>0</v>
      </c>
    </row>
    <row r="90" spans="1:7" s="16" customFormat="1" x14ac:dyDescent="0.25">
      <c r="A90" s="16" t="str">
        <f>'[8]BP-Wom'!A84</f>
        <v>90+</v>
      </c>
      <c r="B90" s="16">
        <f>'[8]BP-Wom'!B84</f>
        <v>0</v>
      </c>
      <c r="C90" s="16">
        <f>'[8]BP-Wom'!C84</f>
        <v>0</v>
      </c>
      <c r="D90" s="16" t="str">
        <f t="shared" si="9"/>
        <v>0</v>
      </c>
      <c r="E90" s="16">
        <f>'[8]BP-Wom'!D84</f>
        <v>0</v>
      </c>
      <c r="F90" s="17">
        <f>'[8]BP-Wom'!E84</f>
        <v>0</v>
      </c>
      <c r="G90" s="16">
        <f>'[8]BP-Wom'!F84</f>
        <v>0</v>
      </c>
    </row>
    <row r="91" spans="1:7" s="16" customFormat="1" x14ac:dyDescent="0.25">
      <c r="A91" s="16">
        <f>'[8]BP-Wom'!A85</f>
        <v>0</v>
      </c>
      <c r="B91" s="16">
        <f>'[8]BP-Wom'!B85</f>
        <v>0</v>
      </c>
      <c r="C91" s="16">
        <f>'[8]BP-Wom'!C85</f>
        <v>0</v>
      </c>
      <c r="D91" s="16" t="str">
        <f t="shared" si="9"/>
        <v>0</v>
      </c>
      <c r="E91" s="16">
        <f>'[8]BP-Wom'!D85</f>
        <v>0</v>
      </c>
      <c r="F91" s="17">
        <f>'[8]BP-Wom'!E85</f>
        <v>0</v>
      </c>
      <c r="G91" s="16">
        <f>'[8]BP-Wom'!F85</f>
        <v>0</v>
      </c>
    </row>
    <row r="92" spans="1:7" s="11" customFormat="1" x14ac:dyDescent="0.25">
      <c r="A92" s="11" t="s">
        <v>0</v>
      </c>
      <c r="B92" s="11">
        <v>0</v>
      </c>
      <c r="C92" s="11">
        <v>45</v>
      </c>
      <c r="D92" s="11" t="str">
        <f>'[8]BP-Wom'!B86</f>
        <v>МАСТЕРС -2(45-49)</v>
      </c>
      <c r="F92" s="13"/>
    </row>
    <row r="93" spans="1:7" s="16" customFormat="1" x14ac:dyDescent="0.25">
      <c r="A93" s="16">
        <f>'[8]BP-Wom'!A87</f>
        <v>44</v>
      </c>
      <c r="B93" s="16">
        <f>'[8]BP-Wom'!B87</f>
        <v>0</v>
      </c>
      <c r="C93" s="16">
        <f>'[8]BP-Wom'!C87</f>
        <v>0</v>
      </c>
      <c r="D93" s="16" t="str">
        <f t="shared" si="7"/>
        <v>0</v>
      </c>
      <c r="E93" s="16">
        <f>'[8]BP-Wom'!D87</f>
        <v>0</v>
      </c>
      <c r="F93" s="17">
        <f>'[8]BP-Wom'!E87</f>
        <v>0</v>
      </c>
      <c r="G93" s="16">
        <f>'[8]BP-Wom'!F87</f>
        <v>0</v>
      </c>
    </row>
    <row r="94" spans="1:7" s="16" customFormat="1" x14ac:dyDescent="0.25">
      <c r="A94" s="16">
        <f>'[8]BP-Wom'!A88</f>
        <v>48</v>
      </c>
      <c r="B94" s="16">
        <f>'[8]BP-Wom'!B88</f>
        <v>65</v>
      </c>
      <c r="C94" s="16" t="str">
        <f>'[8]BP-Wom'!C88</f>
        <v>Мариева Наталья/68</v>
      </c>
      <c r="D94" s="16" t="str">
        <f t="shared" ref="D94:D97" si="10">RIGHT(C94,2)</f>
        <v>68</v>
      </c>
      <c r="E94" s="16" t="str">
        <f>'[8]BP-Wom'!D88</f>
        <v>Дмитров</v>
      </c>
      <c r="F94" s="17" t="str">
        <f>'[8]BP-Wom'!E88</f>
        <v>30.05.2014</v>
      </c>
      <c r="G94" s="16" t="str">
        <f>'[8]BP-Wom'!F88</f>
        <v>Курск</v>
      </c>
    </row>
    <row r="95" spans="1:7" s="16" customFormat="1" x14ac:dyDescent="0.25">
      <c r="A95" s="16">
        <f>'[8]BP-Wom'!A89</f>
        <v>52</v>
      </c>
      <c r="B95" s="16">
        <f>'[8]BP-Wom'!B89</f>
        <v>0</v>
      </c>
      <c r="C95" s="16">
        <f>'[8]BP-Wom'!C89</f>
        <v>0</v>
      </c>
      <c r="D95" s="16" t="str">
        <f t="shared" si="10"/>
        <v>0</v>
      </c>
      <c r="E95" s="16">
        <f>'[8]BP-Wom'!D89</f>
        <v>0</v>
      </c>
      <c r="F95" s="17">
        <f>'[8]BP-Wom'!E89</f>
        <v>0</v>
      </c>
      <c r="G95" s="16">
        <f>'[8]BP-Wom'!F89</f>
        <v>0</v>
      </c>
    </row>
    <row r="96" spans="1:7" s="16" customFormat="1" x14ac:dyDescent="0.25">
      <c r="A96" s="16">
        <f>'[8]BP-Wom'!A90</f>
        <v>56</v>
      </c>
      <c r="B96" s="16">
        <f>'[8]BP-Wom'!B90</f>
        <v>0</v>
      </c>
      <c r="C96" s="16">
        <f>'[8]BP-Wom'!C90</f>
        <v>0</v>
      </c>
      <c r="D96" s="16" t="str">
        <f t="shared" si="10"/>
        <v>0</v>
      </c>
      <c r="E96" s="16">
        <f>'[8]BP-Wom'!D90</f>
        <v>0</v>
      </c>
      <c r="F96" s="17">
        <f>'[8]BP-Wom'!E90</f>
        <v>0</v>
      </c>
      <c r="G96" s="16">
        <f>'[8]BP-Wom'!F90</f>
        <v>0</v>
      </c>
    </row>
    <row r="97" spans="1:7" s="16" customFormat="1" x14ac:dyDescent="0.25">
      <c r="A97" s="16">
        <f>'[8]BP-Wom'!A91</f>
        <v>60</v>
      </c>
      <c r="B97" s="16">
        <f>'[8]BP-Wom'!B91</f>
        <v>0</v>
      </c>
      <c r="C97" s="16">
        <f>'[8]BP-Wom'!C91</f>
        <v>0</v>
      </c>
      <c r="D97" s="16" t="str">
        <f t="shared" si="10"/>
        <v>0</v>
      </c>
      <c r="E97" s="16">
        <f>'[8]BP-Wom'!D91</f>
        <v>0</v>
      </c>
      <c r="F97" s="17">
        <f>'[8]BP-Wom'!E91</f>
        <v>0</v>
      </c>
      <c r="G97" s="16">
        <f>'[8]BP-Wom'!F91</f>
        <v>0</v>
      </c>
    </row>
    <row r="98" spans="1:7" s="16" customFormat="1" x14ac:dyDescent="0.25">
      <c r="A98" s="16" t="str">
        <f>'[8]BP-Wom'!A92</f>
        <v>67.5</v>
      </c>
      <c r="B98" s="16">
        <f>'[8]BP-Wom'!B92</f>
        <v>0</v>
      </c>
      <c r="C98" s="16">
        <f>'[8]BP-Wom'!C92</f>
        <v>0</v>
      </c>
      <c r="D98" s="16" t="str">
        <f t="shared" ref="D98:D103" si="11">RIGHT(C98,2)</f>
        <v>0</v>
      </c>
      <c r="E98" s="16">
        <f>'[8]BP-Wom'!D92</f>
        <v>0</v>
      </c>
      <c r="F98" s="17">
        <f>'[8]BP-Wom'!E92</f>
        <v>0</v>
      </c>
      <c r="G98" s="16">
        <f>'[8]BP-Wom'!F92</f>
        <v>0</v>
      </c>
    </row>
    <row r="99" spans="1:7" s="16" customFormat="1" x14ac:dyDescent="0.25">
      <c r="A99" s="16">
        <f>'[8]BP-Wom'!A93</f>
        <v>75</v>
      </c>
      <c r="B99" s="16">
        <f>'[8]BP-Wom'!B93</f>
        <v>0</v>
      </c>
      <c r="C99" s="16">
        <f>'[8]BP-Wom'!C93</f>
        <v>0</v>
      </c>
      <c r="D99" s="16" t="str">
        <f t="shared" si="11"/>
        <v>0</v>
      </c>
      <c r="E99" s="16">
        <f>'[8]BP-Wom'!D93</f>
        <v>0</v>
      </c>
      <c r="F99" s="17">
        <f>'[8]BP-Wom'!E93</f>
        <v>0</v>
      </c>
      <c r="G99" s="16">
        <f>'[8]BP-Wom'!F93</f>
        <v>0</v>
      </c>
    </row>
    <row r="100" spans="1:7" s="16" customFormat="1" x14ac:dyDescent="0.25">
      <c r="A100" s="16">
        <f>'[8]BP-Wom'!A94</f>
        <v>82.5</v>
      </c>
      <c r="B100" s="16">
        <f>'[8]BP-Wom'!B94</f>
        <v>0</v>
      </c>
      <c r="C100" s="16">
        <f>'[8]BP-Wom'!C94</f>
        <v>0</v>
      </c>
      <c r="D100" s="16" t="str">
        <f t="shared" si="11"/>
        <v>0</v>
      </c>
      <c r="E100" s="16">
        <f>'[8]BP-Wom'!D94</f>
        <v>0</v>
      </c>
      <c r="F100" s="17">
        <f>'[8]BP-Wom'!E94</f>
        <v>0</v>
      </c>
      <c r="G100" s="16">
        <f>'[8]BP-Wom'!F94</f>
        <v>0</v>
      </c>
    </row>
    <row r="101" spans="1:7" s="16" customFormat="1" x14ac:dyDescent="0.25">
      <c r="A101" s="16">
        <f>'[8]BP-Wom'!A95</f>
        <v>90</v>
      </c>
      <c r="B101" s="16">
        <f>'[8]BP-Wom'!B95</f>
        <v>0</v>
      </c>
      <c r="C101" s="16">
        <f>'[8]BP-Wom'!C95</f>
        <v>0</v>
      </c>
      <c r="D101" s="16" t="str">
        <f t="shared" si="11"/>
        <v>0</v>
      </c>
      <c r="E101" s="16">
        <f>'[8]BP-Wom'!D95</f>
        <v>0</v>
      </c>
      <c r="F101" s="17">
        <f>'[8]BP-Wom'!E95</f>
        <v>0</v>
      </c>
      <c r="G101" s="16">
        <f>'[8]BP-Wom'!F95</f>
        <v>0</v>
      </c>
    </row>
    <row r="102" spans="1:7" s="16" customFormat="1" x14ac:dyDescent="0.25">
      <c r="A102" s="16" t="str">
        <f>'[8]BP-Wom'!A96</f>
        <v>90+</v>
      </c>
      <c r="B102" s="16">
        <f>'[8]BP-Wom'!B96</f>
        <v>0</v>
      </c>
      <c r="C102" s="16">
        <f>'[8]BP-Wom'!C96</f>
        <v>0</v>
      </c>
      <c r="D102" s="16" t="str">
        <f t="shared" si="11"/>
        <v>0</v>
      </c>
      <c r="E102" s="16">
        <f>'[8]BP-Wom'!D96</f>
        <v>0</v>
      </c>
      <c r="F102" s="17">
        <f>'[8]BP-Wom'!E96</f>
        <v>0</v>
      </c>
      <c r="G102" s="16">
        <f>'[8]BP-Wom'!F96</f>
        <v>0</v>
      </c>
    </row>
    <row r="103" spans="1:7" s="16" customFormat="1" x14ac:dyDescent="0.25">
      <c r="A103" s="16">
        <f>'[8]BP-Wom'!A97</f>
        <v>0</v>
      </c>
      <c r="B103" s="16" t="str">
        <f>'[8]BP-Wom'!B97</f>
        <v>МАСТЕРС -3(50-54)</v>
      </c>
      <c r="C103" s="16">
        <f>'[8]BP-Wom'!C97</f>
        <v>0</v>
      </c>
      <c r="D103" s="16" t="str">
        <f t="shared" si="11"/>
        <v>0</v>
      </c>
      <c r="E103" s="16">
        <f>'[8]BP-Wom'!D97</f>
        <v>0</v>
      </c>
      <c r="F103" s="17">
        <f>'[8]BP-Wom'!E97</f>
        <v>0</v>
      </c>
      <c r="G103" s="16">
        <f>'[8]BP-Wom'!F97</f>
        <v>0</v>
      </c>
    </row>
    <row r="104" spans="1:7" s="11" customFormat="1" x14ac:dyDescent="0.25">
      <c r="A104" s="11" t="s">
        <v>0</v>
      </c>
      <c r="B104" s="11">
        <v>0</v>
      </c>
      <c r="C104" s="11">
        <v>50</v>
      </c>
      <c r="D104" s="11" t="str">
        <f>'[8]BP-Wom'!B97</f>
        <v>МАСТЕРС -3(50-54)</v>
      </c>
      <c r="F104" s="13"/>
    </row>
    <row r="105" spans="1:7" x14ac:dyDescent="0.25">
      <c r="A105">
        <f>'[8]BP-Wom'!A98</f>
        <v>44</v>
      </c>
      <c r="B105">
        <f>'[8]BP-Wom'!B98</f>
        <v>0</v>
      </c>
      <c r="C105">
        <f>'[8]BP-Wom'!C98</f>
        <v>0</v>
      </c>
      <c r="D105" t="str">
        <f t="shared" si="7"/>
        <v>0</v>
      </c>
      <c r="E105">
        <f>'[8]BP-Wom'!D98</f>
        <v>0</v>
      </c>
      <c r="F105" s="10">
        <f>'[8]BP-Wom'!E98</f>
        <v>0</v>
      </c>
      <c r="G105">
        <f>'[8]BP-Wom'!F98</f>
        <v>0</v>
      </c>
    </row>
    <row r="106" spans="1:7" x14ac:dyDescent="0.25">
      <c r="A106">
        <f>'[8]BP-Wom'!A99</f>
        <v>48</v>
      </c>
      <c r="B106">
        <f>'[8]BP-Wom'!B99</f>
        <v>0</v>
      </c>
      <c r="C106">
        <f>'[8]BP-Wom'!C99</f>
        <v>0</v>
      </c>
      <c r="D106" t="str">
        <f t="shared" ref="D106:D107" si="12">RIGHT(C106,2)</f>
        <v>0</v>
      </c>
      <c r="E106">
        <f>'[8]BP-Wom'!D99</f>
        <v>0</v>
      </c>
      <c r="F106" s="10">
        <f>'[8]BP-Wom'!E99</f>
        <v>0</v>
      </c>
      <c r="G106">
        <f>'[8]BP-Wom'!F99</f>
        <v>0</v>
      </c>
    </row>
    <row r="107" spans="1:7" x14ac:dyDescent="0.25">
      <c r="A107">
        <f>'[8]BP-Wom'!A100</f>
        <v>52</v>
      </c>
      <c r="B107">
        <f>'[8]BP-Wom'!B100</f>
        <v>0</v>
      </c>
      <c r="C107">
        <f>'[8]BP-Wom'!C100</f>
        <v>0</v>
      </c>
      <c r="D107" t="str">
        <f t="shared" si="12"/>
        <v>0</v>
      </c>
      <c r="E107">
        <f>'[8]BP-Wom'!D100</f>
        <v>0</v>
      </c>
      <c r="F107" s="10">
        <f>'[8]BP-Wom'!E100</f>
        <v>0</v>
      </c>
      <c r="G107">
        <f>'[8]BP-Wom'!F100</f>
        <v>0</v>
      </c>
    </row>
    <row r="108" spans="1:7" x14ac:dyDescent="0.25">
      <c r="A108">
        <f>'[8]BP-Wom'!A101</f>
        <v>56</v>
      </c>
      <c r="B108">
        <f>'[8]BP-Wom'!B101</f>
        <v>0</v>
      </c>
      <c r="C108">
        <f>'[8]BP-Wom'!C101</f>
        <v>0</v>
      </c>
      <c r="D108" t="str">
        <f t="shared" ref="D108:D115" si="13">RIGHT(C108,2)</f>
        <v>0</v>
      </c>
      <c r="E108">
        <f>'[8]BP-Wom'!D101</f>
        <v>0</v>
      </c>
      <c r="F108" s="10">
        <f>'[8]BP-Wom'!E101</f>
        <v>0</v>
      </c>
      <c r="G108">
        <f>'[8]BP-Wom'!F101</f>
        <v>0</v>
      </c>
    </row>
    <row r="109" spans="1:7" x14ac:dyDescent="0.25">
      <c r="A109">
        <f>'[8]BP-Wom'!A102</f>
        <v>60</v>
      </c>
      <c r="B109">
        <f>'[8]BP-Wom'!B102</f>
        <v>0</v>
      </c>
      <c r="C109">
        <f>'[8]BP-Wom'!C102</f>
        <v>0</v>
      </c>
      <c r="D109" t="str">
        <f t="shared" si="13"/>
        <v>0</v>
      </c>
      <c r="E109">
        <f>'[8]BP-Wom'!D102</f>
        <v>0</v>
      </c>
      <c r="F109" s="10">
        <f>'[8]BP-Wom'!E102</f>
        <v>0</v>
      </c>
      <c r="G109">
        <f>'[8]BP-Wom'!F102</f>
        <v>0</v>
      </c>
    </row>
    <row r="110" spans="1:7" x14ac:dyDescent="0.25">
      <c r="A110" t="str">
        <f>'[8]BP-Wom'!A103</f>
        <v>67.5</v>
      </c>
      <c r="B110">
        <f>'[8]BP-Wom'!B103</f>
        <v>0</v>
      </c>
      <c r="C110">
        <f>'[8]BP-Wom'!C103</f>
        <v>0</v>
      </c>
      <c r="D110" t="str">
        <f t="shared" si="13"/>
        <v>0</v>
      </c>
      <c r="E110">
        <f>'[8]BP-Wom'!D103</f>
        <v>0</v>
      </c>
      <c r="F110" s="10">
        <f>'[8]BP-Wom'!E103</f>
        <v>0</v>
      </c>
      <c r="G110">
        <f>'[8]BP-Wom'!F103</f>
        <v>0</v>
      </c>
    </row>
    <row r="111" spans="1:7" x14ac:dyDescent="0.25">
      <c r="A111">
        <f>'[8]BP-Wom'!A104</f>
        <v>75</v>
      </c>
      <c r="B111">
        <f>'[8]BP-Wom'!B104</f>
        <v>0</v>
      </c>
      <c r="C111">
        <f>'[8]BP-Wom'!C104</f>
        <v>0</v>
      </c>
      <c r="D111" t="str">
        <f t="shared" si="13"/>
        <v>0</v>
      </c>
      <c r="E111">
        <f>'[8]BP-Wom'!D104</f>
        <v>0</v>
      </c>
      <c r="F111" s="10">
        <f>'[8]BP-Wom'!E104</f>
        <v>0</v>
      </c>
      <c r="G111">
        <f>'[8]BP-Wom'!F104</f>
        <v>0</v>
      </c>
    </row>
    <row r="112" spans="1:7" x14ac:dyDescent="0.25">
      <c r="A112">
        <f>'[8]BP-Wom'!A105</f>
        <v>82.5</v>
      </c>
      <c r="B112">
        <f>'[8]BP-Wom'!B105</f>
        <v>0</v>
      </c>
      <c r="C112">
        <f>'[8]BP-Wom'!C105</f>
        <v>0</v>
      </c>
      <c r="D112" t="str">
        <f t="shared" si="13"/>
        <v>0</v>
      </c>
      <c r="E112">
        <f>'[8]BP-Wom'!D105</f>
        <v>0</v>
      </c>
      <c r="F112" s="10">
        <f>'[8]BP-Wom'!E105</f>
        <v>0</v>
      </c>
      <c r="G112">
        <f>'[8]BP-Wom'!F105</f>
        <v>0</v>
      </c>
    </row>
    <row r="113" spans="1:7" x14ac:dyDescent="0.25">
      <c r="A113">
        <f>'[8]BP-Wom'!A106</f>
        <v>90</v>
      </c>
      <c r="B113">
        <f>'[8]BP-Wom'!B106</f>
        <v>0</v>
      </c>
      <c r="C113">
        <f>'[8]BP-Wom'!C106</f>
        <v>0</v>
      </c>
      <c r="D113" t="str">
        <f t="shared" si="13"/>
        <v>0</v>
      </c>
      <c r="E113">
        <f>'[8]BP-Wom'!D106</f>
        <v>0</v>
      </c>
      <c r="F113" s="10">
        <f>'[8]BP-Wom'!E106</f>
        <v>0</v>
      </c>
      <c r="G113">
        <f>'[8]BP-Wom'!F106</f>
        <v>0</v>
      </c>
    </row>
    <row r="114" spans="1:7" x14ac:dyDescent="0.25">
      <c r="A114" t="str">
        <f>'[8]BP-Wom'!A107</f>
        <v>90+</v>
      </c>
      <c r="B114">
        <f>'[8]BP-Wom'!B107</f>
        <v>0</v>
      </c>
      <c r="C114">
        <f>'[8]BP-Wom'!C107</f>
        <v>0</v>
      </c>
      <c r="D114" t="str">
        <f t="shared" si="13"/>
        <v>0</v>
      </c>
      <c r="E114">
        <f>'[8]BP-Wom'!D107</f>
        <v>0</v>
      </c>
      <c r="F114" s="10">
        <f>'[8]BP-Wom'!E107</f>
        <v>0</v>
      </c>
      <c r="G114">
        <f>'[8]BP-Wom'!F107</f>
        <v>0</v>
      </c>
    </row>
    <row r="115" spans="1:7" x14ac:dyDescent="0.25">
      <c r="A115">
        <f>'[8]BP-Wom'!A108</f>
        <v>0</v>
      </c>
      <c r="B115">
        <f>'[8]BP-Wom'!B108</f>
        <v>0</v>
      </c>
      <c r="C115">
        <f>'[8]BP-Wom'!C108</f>
        <v>0</v>
      </c>
      <c r="D115" t="str">
        <f t="shared" si="13"/>
        <v>0</v>
      </c>
      <c r="E115">
        <f>'[8]BP-Wom'!D108</f>
        <v>0</v>
      </c>
      <c r="F115" s="10">
        <f>'[8]BP-Wom'!E108</f>
        <v>0</v>
      </c>
      <c r="G115">
        <f>'[8]BP-Wom'!F108</f>
        <v>0</v>
      </c>
    </row>
    <row r="116" spans="1:7" x14ac:dyDescent="0.25">
      <c r="A116">
        <f>'[8]BP-Wom'!A109</f>
        <v>0</v>
      </c>
      <c r="B116">
        <f>'[8]BP-Wom'!B109</f>
        <v>0</v>
      </c>
      <c r="C116">
        <f>'[8]BP-Wom'!C109</f>
        <v>0</v>
      </c>
      <c r="D116" t="str">
        <f t="shared" ref="D116:D133" si="14">RIGHT(C116,2)</f>
        <v>0</v>
      </c>
      <c r="E116">
        <f>'[8]BP-Wom'!D109</f>
        <v>0</v>
      </c>
      <c r="F116" s="10">
        <f>'[8]BP-Wom'!E109</f>
        <v>0</v>
      </c>
      <c r="G116">
        <f>'[8]BP-Wom'!F109</f>
        <v>0</v>
      </c>
    </row>
    <row r="117" spans="1:7" x14ac:dyDescent="0.25">
      <c r="A117">
        <f>'[8]BP-Wom'!A110</f>
        <v>0</v>
      </c>
      <c r="B117">
        <f>'[8]BP-Wom'!B110</f>
        <v>0</v>
      </c>
      <c r="C117">
        <f>'[8]BP-Wom'!C110</f>
        <v>0</v>
      </c>
      <c r="D117" t="str">
        <f t="shared" si="14"/>
        <v>0</v>
      </c>
      <c r="E117">
        <f>'[8]BP-Wom'!D110</f>
        <v>0</v>
      </c>
      <c r="F117" s="10">
        <f>'[8]BP-Wom'!E110</f>
        <v>0</v>
      </c>
      <c r="G117">
        <f>'[8]BP-Wom'!F110</f>
        <v>0</v>
      </c>
    </row>
    <row r="118" spans="1:7" x14ac:dyDescent="0.25">
      <c r="A118">
        <f>'[8]BP-Wom'!A111</f>
        <v>0</v>
      </c>
      <c r="B118">
        <f>'[8]BP-Wom'!B111</f>
        <v>0</v>
      </c>
      <c r="C118">
        <f>'[8]BP-Wom'!C111</f>
        <v>0</v>
      </c>
      <c r="D118" t="str">
        <f t="shared" si="14"/>
        <v>0</v>
      </c>
      <c r="E118">
        <f>'[8]BP-Wom'!D111</f>
        <v>0</v>
      </c>
      <c r="F118" s="10">
        <f>'[8]BP-Wom'!E111</f>
        <v>0</v>
      </c>
      <c r="G118">
        <f>'[8]BP-Wom'!F111</f>
        <v>0</v>
      </c>
    </row>
    <row r="119" spans="1:7" x14ac:dyDescent="0.25">
      <c r="A119">
        <f>'[8]BP-Wom'!A112</f>
        <v>0</v>
      </c>
      <c r="B119">
        <f>'[8]BP-Wom'!B112</f>
        <v>0</v>
      </c>
      <c r="C119">
        <f>'[8]BP-Wom'!C112</f>
        <v>0</v>
      </c>
      <c r="D119" t="str">
        <f t="shared" si="14"/>
        <v>0</v>
      </c>
      <c r="E119">
        <f>'[8]BP-Wom'!D112</f>
        <v>0</v>
      </c>
      <c r="F119" s="10">
        <f>'[8]BP-Wom'!E112</f>
        <v>0</v>
      </c>
      <c r="G119">
        <f>'[8]BP-Wom'!F112</f>
        <v>0</v>
      </c>
    </row>
    <row r="120" spans="1:7" x14ac:dyDescent="0.25">
      <c r="A120">
        <f>'[8]BP-Wom'!A113</f>
        <v>0</v>
      </c>
      <c r="B120">
        <f>'[8]BP-Wom'!B113</f>
        <v>0</v>
      </c>
      <c r="C120">
        <f>'[8]BP-Wom'!C113</f>
        <v>0</v>
      </c>
      <c r="D120" t="str">
        <f t="shared" si="14"/>
        <v>0</v>
      </c>
      <c r="E120">
        <f>'[8]BP-Wom'!D113</f>
        <v>0</v>
      </c>
      <c r="F120" s="10">
        <f>'[8]BP-Wom'!E113</f>
        <v>0</v>
      </c>
      <c r="G120">
        <f>'[8]BP-Wom'!F113</f>
        <v>0</v>
      </c>
    </row>
    <row r="121" spans="1:7" x14ac:dyDescent="0.25">
      <c r="A121">
        <f>'[8]BP-Wom'!A114</f>
        <v>0</v>
      </c>
      <c r="B121">
        <f>'[8]BP-Wom'!B114</f>
        <v>0</v>
      </c>
      <c r="C121">
        <f>'[8]BP-Wom'!C114</f>
        <v>0</v>
      </c>
      <c r="D121" t="str">
        <f t="shared" si="14"/>
        <v>0</v>
      </c>
      <c r="E121">
        <f>'[8]BP-Wom'!D114</f>
        <v>0</v>
      </c>
      <c r="F121" s="10">
        <f>'[8]BP-Wom'!E114</f>
        <v>0</v>
      </c>
      <c r="G121">
        <f>'[8]BP-Wom'!F114</f>
        <v>0</v>
      </c>
    </row>
    <row r="122" spans="1:7" x14ac:dyDescent="0.25">
      <c r="A122">
        <f>'[8]BP-Wom'!A115</f>
        <v>0</v>
      </c>
      <c r="B122">
        <f>'[8]BP-Wom'!B115</f>
        <v>0</v>
      </c>
      <c r="C122">
        <f>'[8]BP-Wom'!C115</f>
        <v>0</v>
      </c>
      <c r="D122" t="str">
        <f t="shared" si="14"/>
        <v>0</v>
      </c>
      <c r="E122">
        <f>'[8]BP-Wom'!D115</f>
        <v>0</v>
      </c>
      <c r="F122" s="10">
        <f>'[8]BP-Wom'!E115</f>
        <v>0</v>
      </c>
      <c r="G122">
        <f>'[8]BP-Wom'!F115</f>
        <v>0</v>
      </c>
    </row>
    <row r="123" spans="1:7" x14ac:dyDescent="0.25">
      <c r="A123">
        <f>'[8]BP-Wom'!A116</f>
        <v>0</v>
      </c>
      <c r="B123">
        <f>'[8]BP-Wom'!B116</f>
        <v>0</v>
      </c>
      <c r="C123">
        <f>'[8]BP-Wom'!C116</f>
        <v>0</v>
      </c>
      <c r="D123" t="str">
        <f t="shared" si="14"/>
        <v>0</v>
      </c>
      <c r="E123">
        <f>'[8]BP-Wom'!D116</f>
        <v>0</v>
      </c>
      <c r="F123" s="10">
        <f>'[8]BP-Wom'!E116</f>
        <v>0</v>
      </c>
      <c r="G123">
        <f>'[8]BP-Wom'!F116</f>
        <v>0</v>
      </c>
    </row>
    <row r="124" spans="1:7" x14ac:dyDescent="0.25">
      <c r="A124">
        <f>'[8]BP-Wom'!A117</f>
        <v>0</v>
      </c>
      <c r="B124">
        <f>'[8]BP-Wom'!B117</f>
        <v>0</v>
      </c>
      <c r="C124">
        <f>'[8]BP-Wom'!C117</f>
        <v>0</v>
      </c>
      <c r="D124" t="str">
        <f t="shared" si="14"/>
        <v>0</v>
      </c>
      <c r="E124">
        <f>'[8]BP-Wom'!D117</f>
        <v>0</v>
      </c>
      <c r="F124" s="10">
        <f>'[8]BP-Wom'!E117</f>
        <v>0</v>
      </c>
      <c r="G124">
        <f>'[8]BP-Wom'!F117</f>
        <v>0</v>
      </c>
    </row>
    <row r="125" spans="1:7" x14ac:dyDescent="0.25">
      <c r="A125">
        <f>'[8]BP-Wom'!A118</f>
        <v>0</v>
      </c>
      <c r="B125">
        <f>'[8]BP-Wom'!B118</f>
        <v>0</v>
      </c>
      <c r="C125">
        <f>'[8]BP-Wom'!C118</f>
        <v>0</v>
      </c>
      <c r="D125" t="str">
        <f t="shared" si="14"/>
        <v>0</v>
      </c>
      <c r="E125">
        <f>'[8]BP-Wom'!D118</f>
        <v>0</v>
      </c>
      <c r="F125" s="10">
        <f>'[8]BP-Wom'!E118</f>
        <v>0</v>
      </c>
      <c r="G125">
        <f>'[8]BP-Wom'!F118</f>
        <v>0</v>
      </c>
    </row>
    <row r="126" spans="1:7" x14ac:dyDescent="0.25">
      <c r="A126">
        <f>'[8]BP-Wom'!A119</f>
        <v>0</v>
      </c>
      <c r="B126">
        <f>'[8]BP-Wom'!B119</f>
        <v>0</v>
      </c>
      <c r="C126">
        <f>'[8]BP-Wom'!C119</f>
        <v>0</v>
      </c>
      <c r="D126" t="str">
        <f t="shared" si="14"/>
        <v>0</v>
      </c>
      <c r="E126">
        <f>'[8]BP-Wom'!D119</f>
        <v>0</v>
      </c>
      <c r="F126" s="10">
        <f>'[8]BP-Wom'!E119</f>
        <v>0</v>
      </c>
      <c r="G126">
        <f>'[8]BP-Wom'!F119</f>
        <v>0</v>
      </c>
    </row>
    <row r="127" spans="1:7" x14ac:dyDescent="0.25">
      <c r="A127">
        <f>'[8]BP-Wom'!A120</f>
        <v>0</v>
      </c>
      <c r="B127">
        <f>'[8]BP-Wom'!B120</f>
        <v>0</v>
      </c>
      <c r="C127">
        <f>'[8]BP-Wom'!C120</f>
        <v>0</v>
      </c>
      <c r="D127" t="str">
        <f t="shared" si="14"/>
        <v>0</v>
      </c>
      <c r="E127">
        <f>'[8]BP-Wom'!D120</f>
        <v>0</v>
      </c>
      <c r="F127" s="10">
        <f>'[8]BP-Wom'!E120</f>
        <v>0</v>
      </c>
      <c r="G127">
        <f>'[8]BP-Wom'!F120</f>
        <v>0</v>
      </c>
    </row>
    <row r="128" spans="1:7" x14ac:dyDescent="0.25">
      <c r="A128">
        <f>'[8]BP-Wom'!A121</f>
        <v>0</v>
      </c>
      <c r="B128">
        <f>'[8]BP-Wom'!B121</f>
        <v>0</v>
      </c>
      <c r="C128">
        <f>'[8]BP-Wom'!C121</f>
        <v>0</v>
      </c>
      <c r="D128" t="str">
        <f t="shared" si="14"/>
        <v>0</v>
      </c>
      <c r="E128">
        <f>'[8]BP-Wom'!D121</f>
        <v>0</v>
      </c>
      <c r="F128" s="10">
        <f>'[8]BP-Wom'!E121</f>
        <v>0</v>
      </c>
      <c r="G128">
        <f>'[8]BP-Wom'!F121</f>
        <v>0</v>
      </c>
    </row>
    <row r="129" spans="1:7" x14ac:dyDescent="0.25">
      <c r="A129">
        <f>'[8]BP-Wom'!A122</f>
        <v>0</v>
      </c>
      <c r="B129">
        <f>'[8]BP-Wom'!B122</f>
        <v>0</v>
      </c>
      <c r="C129">
        <f>'[8]BP-Wom'!C122</f>
        <v>0</v>
      </c>
      <c r="D129" t="str">
        <f t="shared" si="14"/>
        <v>0</v>
      </c>
      <c r="E129">
        <f>'[8]BP-Wom'!D122</f>
        <v>0</v>
      </c>
      <c r="F129" s="10">
        <f>'[8]BP-Wom'!E122</f>
        <v>0</v>
      </c>
      <c r="G129">
        <f>'[8]BP-Wom'!F122</f>
        <v>0</v>
      </c>
    </row>
    <row r="130" spans="1:7" x14ac:dyDescent="0.25">
      <c r="A130">
        <f>'[8]BP-Wom'!A123</f>
        <v>0</v>
      </c>
      <c r="B130">
        <f>'[8]BP-Wom'!B123</f>
        <v>0</v>
      </c>
      <c r="C130">
        <f>'[8]BP-Wom'!C123</f>
        <v>0</v>
      </c>
      <c r="D130" t="str">
        <f t="shared" si="14"/>
        <v>0</v>
      </c>
      <c r="E130">
        <f>'[8]BP-Wom'!D123</f>
        <v>0</v>
      </c>
      <c r="F130" s="10">
        <f>'[8]BP-Wom'!E123</f>
        <v>0</v>
      </c>
      <c r="G130">
        <f>'[8]BP-Wom'!F123</f>
        <v>0</v>
      </c>
    </row>
    <row r="131" spans="1:7" x14ac:dyDescent="0.25">
      <c r="A131">
        <f>'[8]BP-Wom'!A124</f>
        <v>0</v>
      </c>
      <c r="B131">
        <f>'[8]BP-Wom'!B124</f>
        <v>0</v>
      </c>
      <c r="C131">
        <f>'[8]BP-Wom'!C124</f>
        <v>0</v>
      </c>
      <c r="D131" t="str">
        <f t="shared" si="14"/>
        <v>0</v>
      </c>
      <c r="E131">
        <f>'[8]BP-Wom'!D124</f>
        <v>0</v>
      </c>
      <c r="F131" s="10">
        <f>'[8]BP-Wom'!E124</f>
        <v>0</v>
      </c>
      <c r="G131">
        <f>'[8]BP-Wom'!F124</f>
        <v>0</v>
      </c>
    </row>
    <row r="132" spans="1:7" x14ac:dyDescent="0.25">
      <c r="A132">
        <f>'[8]BP-Wom'!A125</f>
        <v>0</v>
      </c>
      <c r="B132">
        <f>'[8]BP-Wom'!B125</f>
        <v>0</v>
      </c>
      <c r="C132">
        <f>'[8]BP-Wom'!C125</f>
        <v>0</v>
      </c>
      <c r="D132" t="str">
        <f t="shared" si="14"/>
        <v>0</v>
      </c>
      <c r="E132">
        <f>'[8]BP-Wom'!D125</f>
        <v>0</v>
      </c>
      <c r="F132" s="10">
        <f>'[8]BP-Wom'!E125</f>
        <v>0</v>
      </c>
      <c r="G132">
        <f>'[8]BP-Wom'!F125</f>
        <v>0</v>
      </c>
    </row>
    <row r="133" spans="1:7" x14ac:dyDescent="0.25">
      <c r="A133">
        <f>'[8]BP-Wom'!A126</f>
        <v>0</v>
      </c>
      <c r="B133">
        <f>'[8]BP-Wom'!B126</f>
        <v>0</v>
      </c>
      <c r="C133">
        <f>'[8]BP-Wom'!C126</f>
        <v>0</v>
      </c>
      <c r="D133" t="str">
        <f t="shared" si="14"/>
        <v>0</v>
      </c>
      <c r="E133">
        <f>'[8]BP-Wom'!D126</f>
        <v>0</v>
      </c>
      <c r="F133" s="10">
        <f>'[8]BP-Wom'!E126</f>
        <v>0</v>
      </c>
      <c r="G133">
        <f>'[8]BP-Wom'!F126</f>
        <v>0</v>
      </c>
    </row>
    <row r="134" spans="1:7" x14ac:dyDescent="0.25">
      <c r="A134">
        <f>'[8]BP-Wom'!A127</f>
        <v>0</v>
      </c>
      <c r="B134">
        <f>'[8]BP-Wom'!B127</f>
        <v>0</v>
      </c>
      <c r="C134">
        <f>'[8]BP-Wom'!C127</f>
        <v>0</v>
      </c>
      <c r="D134" t="str">
        <f t="shared" ref="D134:D135" si="15">RIGHT(C134,2)</f>
        <v>0</v>
      </c>
      <c r="E134">
        <f>'[8]BP-Wom'!D127</f>
        <v>0</v>
      </c>
      <c r="F134" s="10">
        <f>'[8]BP-Wom'!E127</f>
        <v>0</v>
      </c>
      <c r="G134">
        <f>'[8]BP-Wom'!F127</f>
        <v>0</v>
      </c>
    </row>
    <row r="135" spans="1:7" x14ac:dyDescent="0.25">
      <c r="A135">
        <f>'[8]BP-Wom'!A128</f>
        <v>0</v>
      </c>
      <c r="B135">
        <f>'[8]BP-Wom'!B128</f>
        <v>0</v>
      </c>
      <c r="C135">
        <f>'[8]BP-Wom'!C128</f>
        <v>0</v>
      </c>
      <c r="D135" t="str">
        <f t="shared" si="15"/>
        <v>0</v>
      </c>
      <c r="E135">
        <f>'[8]BP-Wom'!D128</f>
        <v>0</v>
      </c>
      <c r="F135" s="10">
        <f>'[8]BP-Wom'!E128</f>
        <v>0</v>
      </c>
      <c r="G135">
        <f>'[8]BP-Wom'!F128</f>
        <v>0</v>
      </c>
    </row>
    <row r="140" spans="1:7" x14ac:dyDescent="0.25">
      <c r="B140" t="str">
        <f>'[8]BP-Men'!B1</f>
        <v>Рекорды AWPC - Россия-однослойная экипировка</v>
      </c>
    </row>
    <row r="141" spans="1:7" s="11" customFormat="1" x14ac:dyDescent="0.25">
      <c r="A141" s="11" t="s">
        <v>0</v>
      </c>
      <c r="B141" s="11">
        <v>1</v>
      </c>
      <c r="C141" s="11">
        <v>13</v>
      </c>
      <c r="D141" s="11" t="str">
        <f>'[8]BP-Men'!B2</f>
        <v>ЮНОШИ  (13 - 15)</v>
      </c>
      <c r="F141" s="13"/>
    </row>
    <row r="142" spans="1:7" x14ac:dyDescent="0.25">
      <c r="A142">
        <f>'[8]BP-Men'!A3</f>
        <v>52</v>
      </c>
      <c r="B142">
        <f>'[8]BP-Men'!B3</f>
        <v>70</v>
      </c>
      <c r="C142" t="str">
        <f>'[8]BP-Men'!C3</f>
        <v>Мамаев Максим/97</v>
      </c>
      <c r="D142" t="str">
        <f t="shared" si="7"/>
        <v>97</v>
      </c>
      <c r="E142" t="str">
        <f>'[8]BP-Men'!D3</f>
        <v>Ростов</v>
      </c>
      <c r="F142" s="10">
        <f>'[8]BP-Men'!E3</f>
        <v>41497</v>
      </c>
      <c r="G142" t="str">
        <f>'[8]BP-Men'!F3</f>
        <v>Курск</v>
      </c>
    </row>
    <row r="143" spans="1:7" x14ac:dyDescent="0.25">
      <c r="A143">
        <f>'[8]BP-Men'!A4</f>
        <v>56</v>
      </c>
      <c r="B143">
        <f>'[8]BP-Men'!B4</f>
        <v>0</v>
      </c>
      <c r="C143">
        <f>'[8]BP-Men'!C4</f>
        <v>0</v>
      </c>
      <c r="D143" t="str">
        <f t="shared" si="7"/>
        <v>0</v>
      </c>
      <c r="E143">
        <f>'[8]BP-Men'!D4</f>
        <v>0</v>
      </c>
      <c r="F143" s="10">
        <f>'[8]BP-Men'!E4</f>
        <v>0</v>
      </c>
      <c r="G143">
        <f>'[8]BP-Men'!F4</f>
        <v>0</v>
      </c>
    </row>
    <row r="144" spans="1:7" x14ac:dyDescent="0.25">
      <c r="A144">
        <f>'[8]BP-Men'!A5</f>
        <v>60</v>
      </c>
      <c r="B144">
        <f>'[8]BP-Men'!B5</f>
        <v>100</v>
      </c>
      <c r="C144" t="str">
        <f>'[8]BP-Men'!C5</f>
        <v>Кусочкин Вячеслав/97</v>
      </c>
      <c r="D144" t="str">
        <f t="shared" si="7"/>
        <v>97</v>
      </c>
      <c r="E144" t="str">
        <f>'[8]BP-Men'!D5</f>
        <v>Аша</v>
      </c>
      <c r="F144" s="10">
        <f>'[8]BP-Men'!E5</f>
        <v>41321</v>
      </c>
      <c r="G144" t="str">
        <f>'[8]BP-Men'!F5</f>
        <v>Екатеринбург</v>
      </c>
    </row>
    <row r="145" spans="1:7" x14ac:dyDescent="0.25">
      <c r="A145" t="str">
        <f>'[8]BP-Men'!A6</f>
        <v>67.5</v>
      </c>
      <c r="B145">
        <f>'[8]BP-Men'!B6</f>
        <v>132.5</v>
      </c>
      <c r="C145" t="str">
        <f>'[8]BP-Men'!C6</f>
        <v>Манджавидзе Борис/97</v>
      </c>
      <c r="D145" t="str">
        <f t="shared" si="7"/>
        <v>97</v>
      </c>
      <c r="E145" t="str">
        <f>'[8]BP-Men'!D6</f>
        <v>Константиновск</v>
      </c>
      <c r="F145" s="10">
        <f>'[8]BP-Men'!E6</f>
        <v>41439</v>
      </c>
      <c r="G145" t="str">
        <f>'[8]BP-Men'!F6</f>
        <v>Москва</v>
      </c>
    </row>
    <row r="146" spans="1:7" x14ac:dyDescent="0.25">
      <c r="A146">
        <f>'[8]BP-Men'!A7</f>
        <v>75</v>
      </c>
      <c r="B146">
        <f>'[8]BP-Men'!B7</f>
        <v>120</v>
      </c>
      <c r="C146" t="str">
        <f>'[8]BP-Men'!C7</f>
        <v>Кувшинов Илья/99</v>
      </c>
      <c r="D146" t="str">
        <f t="shared" si="7"/>
        <v>99</v>
      </c>
      <c r="E146" t="str">
        <f>'[8]BP-Men'!D7</f>
        <v>Москва</v>
      </c>
      <c r="F146" s="10" t="str">
        <f>'[8]BP-Men'!E7</f>
        <v>24.08.2014</v>
      </c>
      <c r="G146" t="str">
        <f>'[8]BP-Men'!F7</f>
        <v>Москва</v>
      </c>
    </row>
    <row r="147" spans="1:7" x14ac:dyDescent="0.25">
      <c r="A147">
        <f>'[8]BP-Men'!A8</f>
        <v>82.5</v>
      </c>
      <c r="B147">
        <f>'[8]BP-Men'!B8</f>
        <v>130</v>
      </c>
      <c r="C147" t="str">
        <f>'[8]BP-Men'!C8</f>
        <v>Зазулин Никита/98</v>
      </c>
      <c r="D147" t="str">
        <f t="shared" si="7"/>
        <v>98</v>
      </c>
      <c r="E147" t="str">
        <f>'[8]BP-Men'!D8</f>
        <v>Нефтекамск</v>
      </c>
      <c r="F147" s="10" t="str">
        <f>'[8]BP-Men'!E8</f>
        <v>08.02.2014</v>
      </c>
      <c r="G147" t="str">
        <f>'[8]BP-Men'!F8</f>
        <v>Екатеринбург</v>
      </c>
    </row>
    <row r="148" spans="1:7" x14ac:dyDescent="0.25">
      <c r="A148">
        <f>'[8]BP-Men'!A9</f>
        <v>90</v>
      </c>
      <c r="B148">
        <f>'[8]BP-Men'!B9</f>
        <v>0</v>
      </c>
      <c r="C148">
        <f>'[8]BP-Men'!C9</f>
        <v>0</v>
      </c>
      <c r="D148" t="str">
        <f t="shared" si="7"/>
        <v>0</v>
      </c>
      <c r="E148">
        <f>'[8]BP-Men'!D9</f>
        <v>0</v>
      </c>
      <c r="F148" s="10">
        <f>'[8]BP-Men'!E9</f>
        <v>0</v>
      </c>
      <c r="G148">
        <f>'[8]BP-Men'!F9</f>
        <v>0</v>
      </c>
    </row>
    <row r="149" spans="1:7" x14ac:dyDescent="0.25">
      <c r="A149">
        <f>'[8]BP-Men'!A10</f>
        <v>100</v>
      </c>
      <c r="B149">
        <f>'[8]BP-Men'!B10</f>
        <v>0</v>
      </c>
      <c r="C149">
        <f>'[8]BP-Men'!C10</f>
        <v>0</v>
      </c>
      <c r="D149" t="str">
        <f t="shared" si="7"/>
        <v>0</v>
      </c>
      <c r="E149">
        <f>'[8]BP-Men'!D10</f>
        <v>0</v>
      </c>
      <c r="F149" s="10">
        <f>'[8]BP-Men'!E10</f>
        <v>0</v>
      </c>
      <c r="G149">
        <f>'[8]BP-Men'!F10</f>
        <v>0</v>
      </c>
    </row>
    <row r="150" spans="1:7" x14ac:dyDescent="0.25">
      <c r="A150">
        <f>'[8]BP-Men'!A11</f>
        <v>110</v>
      </c>
      <c r="B150">
        <f>'[8]BP-Men'!B11</f>
        <v>0</v>
      </c>
      <c r="C150">
        <f>'[8]BP-Men'!C11</f>
        <v>0</v>
      </c>
      <c r="D150" t="str">
        <f t="shared" si="7"/>
        <v>0</v>
      </c>
      <c r="E150">
        <f>'[8]BP-Men'!D11</f>
        <v>0</v>
      </c>
      <c r="F150" s="10">
        <f>'[8]BP-Men'!E11</f>
        <v>0</v>
      </c>
      <c r="G150">
        <f>'[8]BP-Men'!F11</f>
        <v>0</v>
      </c>
    </row>
    <row r="151" spans="1:7" x14ac:dyDescent="0.25">
      <c r="A151">
        <f>'[8]BP-Men'!A12</f>
        <v>125</v>
      </c>
      <c r="B151">
        <f>'[8]BP-Men'!B12</f>
        <v>0</v>
      </c>
      <c r="C151">
        <f>'[8]BP-Men'!C12</f>
        <v>0</v>
      </c>
      <c r="D151" t="str">
        <f t="shared" si="7"/>
        <v>0</v>
      </c>
      <c r="E151">
        <f>'[8]BP-Men'!D12</f>
        <v>0</v>
      </c>
      <c r="F151" s="10">
        <f>'[8]BP-Men'!E12</f>
        <v>0</v>
      </c>
      <c r="G151">
        <f>'[8]BP-Men'!F12</f>
        <v>0</v>
      </c>
    </row>
    <row r="152" spans="1:7" x14ac:dyDescent="0.25">
      <c r="A152">
        <f>'[8]BP-Men'!A13</f>
        <v>140</v>
      </c>
      <c r="B152">
        <f>'[8]BP-Men'!B13</f>
        <v>0</v>
      </c>
      <c r="C152">
        <f>'[8]BP-Men'!C13</f>
        <v>0</v>
      </c>
      <c r="D152" t="str">
        <f t="shared" si="7"/>
        <v>0</v>
      </c>
      <c r="E152">
        <f>'[8]BP-Men'!D13</f>
        <v>0</v>
      </c>
      <c r="F152" s="10">
        <f>'[8]BP-Men'!E13</f>
        <v>0</v>
      </c>
      <c r="G152">
        <f>'[8]BP-Men'!F13</f>
        <v>0</v>
      </c>
    </row>
    <row r="153" spans="1:7" x14ac:dyDescent="0.25">
      <c r="A153" t="str">
        <f>'[8]BP-Men'!A14</f>
        <v>140+</v>
      </c>
      <c r="B153">
        <f>'[8]BP-Men'!B14</f>
        <v>0</v>
      </c>
      <c r="C153">
        <f>'[8]BP-Men'!C14</f>
        <v>0</v>
      </c>
      <c r="D153" t="str">
        <f t="shared" si="7"/>
        <v>0</v>
      </c>
      <c r="E153">
        <f>'[8]BP-Men'!D14</f>
        <v>0</v>
      </c>
      <c r="F153" s="10">
        <f>'[8]BP-Men'!E14</f>
        <v>0</v>
      </c>
      <c r="G153">
        <f>'[8]BP-Men'!F14</f>
        <v>0</v>
      </c>
    </row>
    <row r="154" spans="1:7" x14ac:dyDescent="0.25">
      <c r="B154">
        <f>'[8]BP-Men'!B15</f>
        <v>0</v>
      </c>
      <c r="C154">
        <f>'[8]BP-Men'!C15</f>
        <v>0</v>
      </c>
      <c r="D154" t="str">
        <f t="shared" si="7"/>
        <v>0</v>
      </c>
      <c r="E154">
        <f>'[8]BP-Men'!D15</f>
        <v>0</v>
      </c>
      <c r="F154" s="10">
        <f>'[8]BP-Men'!E15</f>
        <v>0</v>
      </c>
      <c r="G154">
        <f>'[8]BP-Men'!F15</f>
        <v>0</v>
      </c>
    </row>
    <row r="155" spans="1:7" s="11" customFormat="1" x14ac:dyDescent="0.25">
      <c r="A155" s="11" t="s">
        <v>0</v>
      </c>
      <c r="B155" s="11">
        <v>1</v>
      </c>
      <c r="C155" s="11">
        <v>16</v>
      </c>
      <c r="D155" s="11" t="str">
        <f>'[8]BP-Men'!B16</f>
        <v>ЮНОШИ  (16 - 17)</v>
      </c>
      <c r="F155" s="13"/>
    </row>
    <row r="156" spans="1:7" x14ac:dyDescent="0.25">
      <c r="A156">
        <f>'[8]BP-Men'!A17</f>
        <v>52</v>
      </c>
      <c r="B156">
        <f>'[8]BP-Men'!B17</f>
        <v>87.5</v>
      </c>
      <c r="C156" t="str">
        <f>'[8]BP-Men'!C17</f>
        <v>Поляков Максим/95</v>
      </c>
      <c r="D156" t="str">
        <f t="shared" si="7"/>
        <v>95</v>
      </c>
      <c r="E156" t="str">
        <f>'[8]BP-Men'!D17</f>
        <v>Новосибирск</v>
      </c>
      <c r="F156" s="10">
        <f>'[8]BP-Men'!E17</f>
        <v>40982</v>
      </c>
      <c r="G156" t="str">
        <f>'[8]BP-Men'!F17</f>
        <v>Екатеринбург</v>
      </c>
    </row>
    <row r="157" spans="1:7" x14ac:dyDescent="0.25">
      <c r="A157">
        <f>'[8]BP-Men'!A18</f>
        <v>56</v>
      </c>
      <c r="B157">
        <f>'[8]BP-Men'!B18</f>
        <v>100</v>
      </c>
      <c r="C157" t="str">
        <f>'[8]BP-Men'!C18</f>
        <v>Борзенков Максим/96</v>
      </c>
      <c r="D157" t="str">
        <f t="shared" si="7"/>
        <v>96</v>
      </c>
      <c r="E157" t="str">
        <f>'[8]BP-Men'!D18</f>
        <v>Курск</v>
      </c>
      <c r="F157" s="10" t="str">
        <f>'[8]BP-Men'!E18</f>
        <v>30.05.2014</v>
      </c>
      <c r="G157" t="str">
        <f>'[8]BP-Men'!F18</f>
        <v>Курск</v>
      </c>
    </row>
    <row r="158" spans="1:7" x14ac:dyDescent="0.25">
      <c r="A158">
        <f>'[8]BP-Men'!A19</f>
        <v>60</v>
      </c>
      <c r="B158">
        <f>'[8]BP-Men'!B19</f>
        <v>145</v>
      </c>
      <c r="C158" t="str">
        <f>'[8]BP-Men'!C19</f>
        <v>Телегин Никита/95</v>
      </c>
      <c r="D158" t="str">
        <f t="shared" si="7"/>
        <v>95</v>
      </c>
      <c r="E158" t="str">
        <f>'[8]BP-Men'!D19</f>
        <v>Алапаевск</v>
      </c>
      <c r="F158" s="10">
        <f>'[8]BP-Men'!E19</f>
        <v>40982</v>
      </c>
      <c r="G158" t="str">
        <f>'[8]BP-Men'!F19</f>
        <v>Екатеринбург</v>
      </c>
    </row>
    <row r="159" spans="1:7" x14ac:dyDescent="0.25">
      <c r="A159" t="str">
        <f>'[8]BP-Men'!A20</f>
        <v>67.5</v>
      </c>
      <c r="B159">
        <f>'[8]BP-Men'!B20</f>
        <v>137.5</v>
      </c>
      <c r="C159" t="str">
        <f>'[8]BP-Men'!C20</f>
        <v>Тонкоглаз Владимир/96</v>
      </c>
      <c r="D159" t="str">
        <f t="shared" si="7"/>
        <v>96</v>
      </c>
      <c r="E159" t="str">
        <f>'[8]BP-Men'!D20</f>
        <v>Волгоград</v>
      </c>
      <c r="F159" s="10">
        <f>'[8]BP-Men'!E20</f>
        <v>41439</v>
      </c>
      <c r="G159" t="str">
        <f>'[8]BP-Men'!F20</f>
        <v>Москва</v>
      </c>
    </row>
    <row r="160" spans="1:7" x14ac:dyDescent="0.25">
      <c r="A160">
        <f>'[8]BP-Men'!A21</f>
        <v>75</v>
      </c>
      <c r="B160">
        <f>'[8]BP-Men'!B21</f>
        <v>147.5</v>
      </c>
      <c r="C160" t="str">
        <f>'[8]BP-Men'!C21</f>
        <v>Кусочкин Вячеслав/97</v>
      </c>
      <c r="D160" t="str">
        <f t="shared" si="7"/>
        <v>97</v>
      </c>
      <c r="E160" t="str">
        <f>'[8]BP-Men'!D21</f>
        <v>Аша</v>
      </c>
      <c r="F160" s="10" t="str">
        <f>'[8]BP-Men'!E21</f>
        <v>08.02.2014</v>
      </c>
      <c r="G160" t="str">
        <f>'[8]BP-Men'!F21</f>
        <v>Екатеринбург</v>
      </c>
    </row>
    <row r="161" spans="1:7" x14ac:dyDescent="0.25">
      <c r="A161" t="str">
        <f>'[8]BP-Men'!A22</f>
        <v>82.5</v>
      </c>
      <c r="B161">
        <f>'[8]BP-Men'!B22</f>
        <v>127.5</v>
      </c>
      <c r="C161" t="str">
        <f>'[8]BP-Men'!C22</f>
        <v>Копытов Александр/96</v>
      </c>
      <c r="D161" t="str">
        <f t="shared" si="7"/>
        <v>96</v>
      </c>
      <c r="E161" t="str">
        <f>'[8]BP-Men'!D22</f>
        <v>Михайловск</v>
      </c>
      <c r="F161" s="10">
        <f>'[8]BP-Men'!E22</f>
        <v>41321</v>
      </c>
      <c r="G161" t="str">
        <f>'[8]BP-Men'!F22</f>
        <v>Екатеринбург</v>
      </c>
    </row>
    <row r="162" spans="1:7" x14ac:dyDescent="0.25">
      <c r="A162">
        <f>'[8]BP-Men'!A23</f>
        <v>90</v>
      </c>
      <c r="B162">
        <f>'[8]BP-Men'!B23</f>
        <v>0</v>
      </c>
      <c r="C162">
        <f>'[8]BP-Men'!C23</f>
        <v>0</v>
      </c>
      <c r="D162" t="str">
        <f t="shared" si="7"/>
        <v>0</v>
      </c>
      <c r="E162">
        <f>'[8]BP-Men'!D23</f>
        <v>0</v>
      </c>
      <c r="F162" s="10">
        <f>'[8]BP-Men'!E23</f>
        <v>0</v>
      </c>
      <c r="G162">
        <f>'[8]BP-Men'!F23</f>
        <v>0</v>
      </c>
    </row>
    <row r="163" spans="1:7" x14ac:dyDescent="0.25">
      <c r="A163">
        <f>'[8]BP-Men'!A24</f>
        <v>100</v>
      </c>
      <c r="B163">
        <f>'[8]BP-Men'!B24</f>
        <v>0</v>
      </c>
      <c r="C163">
        <f>'[8]BP-Men'!C24</f>
        <v>0</v>
      </c>
      <c r="D163" t="str">
        <f t="shared" si="7"/>
        <v>0</v>
      </c>
      <c r="E163">
        <f>'[8]BP-Men'!D24</f>
        <v>0</v>
      </c>
      <c r="F163" s="10">
        <f>'[8]BP-Men'!E24</f>
        <v>0</v>
      </c>
      <c r="G163">
        <f>'[8]BP-Men'!F24</f>
        <v>0</v>
      </c>
    </row>
    <row r="164" spans="1:7" x14ac:dyDescent="0.25">
      <c r="A164">
        <f>'[8]BP-Men'!A25</f>
        <v>110</v>
      </c>
      <c r="B164">
        <f>'[8]BP-Men'!B25</f>
        <v>0</v>
      </c>
      <c r="C164">
        <f>'[8]BP-Men'!C25</f>
        <v>0</v>
      </c>
      <c r="D164" t="str">
        <f t="shared" si="7"/>
        <v>0</v>
      </c>
      <c r="E164">
        <f>'[8]BP-Men'!D25</f>
        <v>0</v>
      </c>
      <c r="F164" s="10">
        <f>'[8]BP-Men'!E25</f>
        <v>0</v>
      </c>
      <c r="G164">
        <f>'[8]BP-Men'!F25</f>
        <v>0</v>
      </c>
    </row>
    <row r="165" spans="1:7" x14ac:dyDescent="0.25">
      <c r="A165">
        <f>'[8]BP-Men'!A26</f>
        <v>125</v>
      </c>
      <c r="B165">
        <f>'[8]BP-Men'!B26</f>
        <v>0</v>
      </c>
      <c r="C165">
        <f>'[8]BP-Men'!C26</f>
        <v>0</v>
      </c>
      <c r="D165" t="str">
        <f t="shared" si="7"/>
        <v>0</v>
      </c>
      <c r="E165">
        <f>'[8]BP-Men'!D26</f>
        <v>0</v>
      </c>
      <c r="F165" s="10">
        <f>'[8]BP-Men'!E26</f>
        <v>0</v>
      </c>
      <c r="G165">
        <f>'[8]BP-Men'!F26</f>
        <v>0</v>
      </c>
    </row>
    <row r="166" spans="1:7" x14ac:dyDescent="0.25">
      <c r="A166">
        <f>'[8]BP-Men'!A27</f>
        <v>140</v>
      </c>
      <c r="B166">
        <f>'[8]BP-Men'!B27</f>
        <v>0</v>
      </c>
      <c r="C166">
        <f>'[8]BP-Men'!C27</f>
        <v>0</v>
      </c>
      <c r="D166" t="str">
        <f t="shared" si="7"/>
        <v>0</v>
      </c>
      <c r="E166">
        <f>'[8]BP-Men'!D27</f>
        <v>0</v>
      </c>
      <c r="F166" s="10">
        <f>'[8]BP-Men'!E27</f>
        <v>0</v>
      </c>
      <c r="G166">
        <f>'[8]BP-Men'!F27</f>
        <v>0</v>
      </c>
    </row>
    <row r="167" spans="1:7" x14ac:dyDescent="0.25">
      <c r="A167" t="str">
        <f>'[8]BP-Men'!A28</f>
        <v>140+</v>
      </c>
      <c r="B167">
        <f>'[8]BP-Men'!B28</f>
        <v>0</v>
      </c>
      <c r="C167">
        <f>'[8]BP-Men'!C28</f>
        <v>0</v>
      </c>
      <c r="D167" t="str">
        <f t="shared" si="7"/>
        <v>0</v>
      </c>
      <c r="E167">
        <f>'[8]BP-Men'!D28</f>
        <v>0</v>
      </c>
      <c r="F167" s="10">
        <f>'[8]BP-Men'!E28</f>
        <v>0</v>
      </c>
      <c r="G167">
        <f>'[8]BP-Men'!F28</f>
        <v>0</v>
      </c>
    </row>
    <row r="168" spans="1:7" x14ac:dyDescent="0.25">
      <c r="B168">
        <f>'[8]BP-Men'!B29</f>
        <v>0</v>
      </c>
      <c r="C168">
        <f>'[8]BP-Men'!C29</f>
        <v>0</v>
      </c>
      <c r="D168" t="str">
        <f t="shared" si="7"/>
        <v>0</v>
      </c>
      <c r="E168">
        <f>'[8]BP-Men'!D29</f>
        <v>0</v>
      </c>
      <c r="F168" s="10">
        <f>'[8]BP-Men'!E29</f>
        <v>0</v>
      </c>
      <c r="G168">
        <f>'[8]BP-Men'!F29</f>
        <v>0</v>
      </c>
    </row>
    <row r="169" spans="1:7" s="11" customFormat="1" x14ac:dyDescent="0.25">
      <c r="A169" s="11" t="s">
        <v>0</v>
      </c>
      <c r="B169" s="11">
        <v>1</v>
      </c>
      <c r="C169" s="11">
        <v>18</v>
      </c>
      <c r="D169" s="11" t="str">
        <f>'[8]BP-Men'!B30</f>
        <v>ЮНОШИ  (18 - 19)</v>
      </c>
      <c r="F169" s="13"/>
    </row>
    <row r="170" spans="1:7" x14ac:dyDescent="0.25">
      <c r="A170">
        <f>'[8]BP-Men'!A31</f>
        <v>52</v>
      </c>
      <c r="B170">
        <f>'[8]BP-Men'!B31</f>
        <v>0</v>
      </c>
      <c r="C170">
        <f>'[8]BP-Men'!C31</f>
        <v>0</v>
      </c>
      <c r="D170" t="str">
        <f t="shared" ref="D170:D229" si="16">RIGHT(C170,2)</f>
        <v>0</v>
      </c>
      <c r="E170">
        <f>'[8]BP-Men'!D31</f>
        <v>0</v>
      </c>
      <c r="F170" s="10">
        <f>'[8]BP-Men'!E31</f>
        <v>0</v>
      </c>
      <c r="G170">
        <f>'[8]BP-Men'!F31</f>
        <v>0</v>
      </c>
    </row>
    <row r="171" spans="1:7" x14ac:dyDescent="0.25">
      <c r="A171">
        <f>'[8]BP-Men'!A32</f>
        <v>56</v>
      </c>
      <c r="B171">
        <f>'[8]BP-Men'!B32</f>
        <v>0</v>
      </c>
      <c r="C171">
        <f>'[8]BP-Men'!C32</f>
        <v>0</v>
      </c>
      <c r="D171" t="str">
        <f t="shared" si="16"/>
        <v>0</v>
      </c>
      <c r="E171">
        <f>'[8]BP-Men'!D32</f>
        <v>0</v>
      </c>
      <c r="F171" s="10">
        <f>'[8]BP-Men'!E32</f>
        <v>0</v>
      </c>
      <c r="G171">
        <f>'[8]BP-Men'!F32</f>
        <v>0</v>
      </c>
    </row>
    <row r="172" spans="1:7" x14ac:dyDescent="0.25">
      <c r="A172">
        <f>'[8]BP-Men'!A33</f>
        <v>60</v>
      </c>
      <c r="B172">
        <f>'[8]BP-Men'!B33</f>
        <v>145</v>
      </c>
      <c r="C172" t="str">
        <f>'[8]BP-Men'!C33</f>
        <v>Телегин Никита/95</v>
      </c>
      <c r="D172" t="str">
        <f t="shared" si="16"/>
        <v>95</v>
      </c>
      <c r="E172" t="str">
        <f>'[8]BP-Men'!D33</f>
        <v>Алапаевск</v>
      </c>
      <c r="F172" s="10">
        <f>'[8]BP-Men'!E33</f>
        <v>40982</v>
      </c>
      <c r="G172" t="str">
        <f>'[8]BP-Men'!F33</f>
        <v>Екатеринбург</v>
      </c>
    </row>
    <row r="173" spans="1:7" x14ac:dyDescent="0.25">
      <c r="A173" t="str">
        <f>'[8]BP-Men'!A34</f>
        <v>67.5</v>
      </c>
      <c r="B173">
        <f>'[8]BP-Men'!B34</f>
        <v>152.5</v>
      </c>
      <c r="C173" t="str">
        <f>'[8]BP-Men'!C34</f>
        <v>Клягин Иван/92</v>
      </c>
      <c r="D173" t="str">
        <f t="shared" si="16"/>
        <v>92</v>
      </c>
      <c r="E173" t="str">
        <f>'[8]BP-Men'!D34</f>
        <v>Екатеринбург</v>
      </c>
      <c r="F173" s="10">
        <f>'[8]BP-Men'!E34</f>
        <v>41244</v>
      </c>
      <c r="G173" t="str">
        <f>'[8]BP-Men'!F34</f>
        <v>Екатеринбург</v>
      </c>
    </row>
    <row r="174" spans="1:7" x14ac:dyDescent="0.25">
      <c r="A174">
        <f>'[8]BP-Men'!A35</f>
        <v>75</v>
      </c>
      <c r="B174">
        <f>'[8]BP-Men'!B35</f>
        <v>175</v>
      </c>
      <c r="C174" t="str">
        <f>'[8]BP-Men'!C35</f>
        <v>Медведев Ярослав/93</v>
      </c>
      <c r="D174" t="str">
        <f t="shared" si="16"/>
        <v>93</v>
      </c>
      <c r="E174" t="str">
        <f>'[8]BP-Men'!D35</f>
        <v>Вологда</v>
      </c>
      <c r="F174" s="10">
        <f>'[8]BP-Men'!E35</f>
        <v>41222</v>
      </c>
      <c r="G174" t="str">
        <f>'[8]BP-Men'!F35</f>
        <v>Вологда</v>
      </c>
    </row>
    <row r="175" spans="1:7" x14ac:dyDescent="0.25">
      <c r="A175" t="str">
        <f>'[8]BP-Men'!A36</f>
        <v>82.5</v>
      </c>
      <c r="B175">
        <f>'[8]BP-Men'!B36</f>
        <v>170</v>
      </c>
      <c r="C175" t="str">
        <f>'[8]BP-Men'!C36</f>
        <v>Карапетян Артуш/91</v>
      </c>
      <c r="D175" t="str">
        <f t="shared" si="16"/>
        <v>91</v>
      </c>
      <c r="E175" t="str">
        <f>'[8]BP-Men'!D36</f>
        <v>Екатеринбург</v>
      </c>
      <c r="F175" s="10">
        <f>'[8]BP-Men'!E36</f>
        <v>41244</v>
      </c>
      <c r="G175" t="str">
        <f>'[8]BP-Men'!F36</f>
        <v>Екатеринбург</v>
      </c>
    </row>
    <row r="176" spans="1:7" x14ac:dyDescent="0.25">
      <c r="A176">
        <f>'[8]BP-Men'!A37</f>
        <v>90</v>
      </c>
      <c r="B176">
        <f>'[8]BP-Men'!B37</f>
        <v>0</v>
      </c>
      <c r="C176">
        <f>'[8]BP-Men'!C37</f>
        <v>0</v>
      </c>
      <c r="D176" t="str">
        <f t="shared" si="16"/>
        <v>0</v>
      </c>
      <c r="E176">
        <f>'[8]BP-Men'!D37</f>
        <v>0</v>
      </c>
      <c r="F176" s="10">
        <f>'[8]BP-Men'!E37</f>
        <v>0</v>
      </c>
      <c r="G176">
        <f>'[8]BP-Men'!F37</f>
        <v>0</v>
      </c>
    </row>
    <row r="177" spans="1:7" x14ac:dyDescent="0.25">
      <c r="A177">
        <f>'[8]BP-Men'!A38</f>
        <v>100</v>
      </c>
      <c r="B177">
        <f>'[8]BP-Men'!B38</f>
        <v>170</v>
      </c>
      <c r="C177" t="str">
        <f>'[8]BP-Men'!C38</f>
        <v>Шатный Кирилл/94</v>
      </c>
      <c r="D177" t="str">
        <f t="shared" si="16"/>
        <v>94</v>
      </c>
      <c r="E177" t="str">
        <f>'[8]BP-Men'!D38</f>
        <v>Екатеринбург</v>
      </c>
      <c r="F177" s="10" t="str">
        <f>'[8]BP-Men'!E38</f>
        <v>08.02.2014</v>
      </c>
      <c r="G177" t="str">
        <f>'[8]BP-Men'!F38</f>
        <v>Екатеринбург</v>
      </c>
    </row>
    <row r="178" spans="1:7" x14ac:dyDescent="0.25">
      <c r="A178">
        <f>'[8]BP-Men'!A39</f>
        <v>110</v>
      </c>
      <c r="B178">
        <f>'[8]BP-Men'!B39</f>
        <v>210</v>
      </c>
      <c r="C178" t="str">
        <f>'[8]BP-Men'!C39</f>
        <v>Киселев Сергей/95</v>
      </c>
      <c r="D178" t="str">
        <f t="shared" si="16"/>
        <v>95</v>
      </c>
      <c r="E178" t="str">
        <f>'[8]BP-Men'!D39</f>
        <v>Москва</v>
      </c>
      <c r="F178" s="10" t="str">
        <f>'[8]BP-Men'!E39</f>
        <v>30.05.2014</v>
      </c>
      <c r="G178" t="str">
        <f>'[8]BP-Men'!F39</f>
        <v xml:space="preserve">Курск </v>
      </c>
    </row>
    <row r="179" spans="1:7" x14ac:dyDescent="0.25">
      <c r="A179">
        <f>'[8]BP-Men'!A40</f>
        <v>125</v>
      </c>
      <c r="B179">
        <f>'[8]BP-Men'!B40</f>
        <v>0</v>
      </c>
      <c r="C179">
        <f>'[8]BP-Men'!C40</f>
        <v>0</v>
      </c>
      <c r="D179" t="str">
        <f t="shared" si="16"/>
        <v>0</v>
      </c>
      <c r="E179">
        <f>'[8]BP-Men'!D40</f>
        <v>0</v>
      </c>
      <c r="F179" s="10">
        <f>'[8]BP-Men'!E40</f>
        <v>0</v>
      </c>
      <c r="G179">
        <f>'[8]BP-Men'!F40</f>
        <v>0</v>
      </c>
    </row>
    <row r="180" spans="1:7" x14ac:dyDescent="0.25">
      <c r="A180">
        <f>'[8]BP-Men'!A41</f>
        <v>140</v>
      </c>
      <c r="B180">
        <f>'[8]BP-Men'!B41</f>
        <v>0</v>
      </c>
      <c r="C180">
        <f>'[8]BP-Men'!C41</f>
        <v>0</v>
      </c>
      <c r="D180" t="str">
        <f t="shared" si="16"/>
        <v>0</v>
      </c>
      <c r="E180">
        <f>'[8]BP-Men'!D41</f>
        <v>0</v>
      </c>
      <c r="F180" s="10">
        <f>'[8]BP-Men'!E41</f>
        <v>0</v>
      </c>
      <c r="G180">
        <f>'[8]BP-Men'!F41</f>
        <v>0</v>
      </c>
    </row>
    <row r="181" spans="1:7" x14ac:dyDescent="0.25">
      <c r="A181" t="str">
        <f>'[8]BP-Men'!A42</f>
        <v>140+</v>
      </c>
      <c r="B181">
        <f>'[8]BP-Men'!B42</f>
        <v>0</v>
      </c>
      <c r="C181">
        <f>'[8]BP-Men'!C42</f>
        <v>0</v>
      </c>
      <c r="D181" t="str">
        <f t="shared" si="16"/>
        <v>0</v>
      </c>
      <c r="E181">
        <f>'[8]BP-Men'!D42</f>
        <v>0</v>
      </c>
      <c r="F181" s="10">
        <f>'[8]BP-Men'!E42</f>
        <v>0</v>
      </c>
      <c r="G181">
        <f>'[8]BP-Men'!F42</f>
        <v>0</v>
      </c>
    </row>
    <row r="182" spans="1:7" x14ac:dyDescent="0.25">
      <c r="B182">
        <f>'[8]BP-Men'!B43</f>
        <v>0</v>
      </c>
      <c r="C182">
        <f>'[8]BP-Men'!C43</f>
        <v>0</v>
      </c>
      <c r="D182" t="str">
        <f t="shared" si="16"/>
        <v>0</v>
      </c>
      <c r="E182">
        <f>'[8]BP-Men'!D43</f>
        <v>0</v>
      </c>
      <c r="F182" s="10">
        <f>'[8]BP-Men'!E43</f>
        <v>0</v>
      </c>
      <c r="G182">
        <f>'[8]BP-Men'!F43</f>
        <v>0</v>
      </c>
    </row>
    <row r="183" spans="1:7" s="11" customFormat="1" x14ac:dyDescent="0.25">
      <c r="A183" s="11" t="s">
        <v>0</v>
      </c>
      <c r="B183" s="11">
        <v>1</v>
      </c>
      <c r="C183" s="11">
        <v>20</v>
      </c>
      <c r="D183" s="11" t="str">
        <f>'[8]BP-Men'!B44</f>
        <v>ЮНИОРЫ  (20 - 23)</v>
      </c>
      <c r="F183" s="13"/>
    </row>
    <row r="184" spans="1:7" x14ac:dyDescent="0.25">
      <c r="A184">
        <f>'[8]BP-Men'!A45</f>
        <v>52</v>
      </c>
      <c r="B184">
        <f>'[8]BP-Men'!B45</f>
        <v>127.5</v>
      </c>
      <c r="C184" t="str">
        <f>'[8]BP-Men'!C45</f>
        <v>Сокушев Вадим/90</v>
      </c>
      <c r="D184" t="str">
        <f t="shared" si="16"/>
        <v>90</v>
      </c>
      <c r="E184" t="str">
        <f>'[8]BP-Men'!D45</f>
        <v>Новосибирск</v>
      </c>
      <c r="F184" s="10">
        <f>'[8]BP-Men'!E45</f>
        <v>41502</v>
      </c>
      <c r="G184" t="str">
        <f>'[8]BP-Men'!F45</f>
        <v>Новосибирск</v>
      </c>
    </row>
    <row r="185" spans="1:7" x14ac:dyDescent="0.25">
      <c r="A185">
        <f>'[8]BP-Men'!A46</f>
        <v>56</v>
      </c>
      <c r="B185">
        <f>'[8]BP-Men'!B46</f>
        <v>0</v>
      </c>
      <c r="C185">
        <f>'[8]BP-Men'!C46</f>
        <v>0</v>
      </c>
      <c r="D185" t="str">
        <f t="shared" si="16"/>
        <v>0</v>
      </c>
      <c r="E185">
        <f>'[8]BP-Men'!D46</f>
        <v>0</v>
      </c>
      <c r="F185" s="10">
        <f>'[8]BP-Men'!E46</f>
        <v>0</v>
      </c>
      <c r="G185">
        <f>'[8]BP-Men'!F46</f>
        <v>0</v>
      </c>
    </row>
    <row r="186" spans="1:7" x14ac:dyDescent="0.25">
      <c r="A186">
        <f>'[8]BP-Men'!A47</f>
        <v>60</v>
      </c>
      <c r="B186">
        <f>'[8]BP-Men'!B47</f>
        <v>0</v>
      </c>
      <c r="C186">
        <f>'[8]BP-Men'!C47</f>
        <v>0</v>
      </c>
      <c r="D186" t="str">
        <f t="shared" si="16"/>
        <v>0</v>
      </c>
      <c r="E186">
        <f>'[8]BP-Men'!D47</f>
        <v>0</v>
      </c>
      <c r="F186" s="10">
        <f>'[8]BP-Men'!E47</f>
        <v>0</v>
      </c>
      <c r="G186">
        <f>'[8]BP-Men'!F47</f>
        <v>0</v>
      </c>
    </row>
    <row r="187" spans="1:7" x14ac:dyDescent="0.25">
      <c r="A187" t="str">
        <f>'[8]BP-Men'!A48</f>
        <v>67.5</v>
      </c>
      <c r="B187">
        <f>'[8]BP-Men'!B48</f>
        <v>152.5</v>
      </c>
      <c r="C187" t="str">
        <f>'[8]BP-Men'!C48</f>
        <v>Клягин Иван/92</v>
      </c>
      <c r="D187" t="str">
        <f t="shared" si="16"/>
        <v>92</v>
      </c>
      <c r="E187" t="str">
        <f>'[8]BP-Men'!D48</f>
        <v>Екатеринбург</v>
      </c>
      <c r="F187" s="10">
        <f>'[8]BP-Men'!E48</f>
        <v>41244</v>
      </c>
      <c r="G187" t="str">
        <f>'[8]BP-Men'!F48</f>
        <v>Екатеринбург</v>
      </c>
    </row>
    <row r="188" spans="1:7" x14ac:dyDescent="0.25">
      <c r="A188">
        <f>'[8]BP-Men'!A49</f>
        <v>75</v>
      </c>
      <c r="B188">
        <f>'[8]BP-Men'!B49</f>
        <v>197.5</v>
      </c>
      <c r="C188" t="str">
        <f>'[8]BP-Men'!C49</f>
        <v>Березов Вадим/90</v>
      </c>
      <c r="D188" t="str">
        <f t="shared" si="16"/>
        <v>90</v>
      </c>
      <c r="E188" t="str">
        <f>'[8]BP-Men'!D49</f>
        <v>Новосибирск</v>
      </c>
      <c r="F188" s="10">
        <f>'[8]BP-Men'!E49</f>
        <v>41502</v>
      </c>
      <c r="G188" t="str">
        <f>'[8]BP-Men'!F49</f>
        <v>Новосибирск</v>
      </c>
    </row>
    <row r="189" spans="1:7" x14ac:dyDescent="0.25">
      <c r="A189" t="str">
        <f>'[8]BP-Men'!A50</f>
        <v>82.5</v>
      </c>
      <c r="B189">
        <f>'[8]BP-Men'!B50</f>
        <v>170</v>
      </c>
      <c r="C189" t="str">
        <f>'[8]BP-Men'!C50</f>
        <v>Карапетян Артуш/91</v>
      </c>
      <c r="D189" t="str">
        <f t="shared" si="16"/>
        <v>91</v>
      </c>
      <c r="E189" t="str">
        <f>'[8]BP-Men'!D50</f>
        <v>Екатеринбург</v>
      </c>
      <c r="F189" s="10">
        <f>'[8]BP-Men'!E50</f>
        <v>41244</v>
      </c>
      <c r="G189" t="str">
        <f>'[8]BP-Men'!F50</f>
        <v>Екатеринбург</v>
      </c>
    </row>
    <row r="190" spans="1:7" x14ac:dyDescent="0.25">
      <c r="A190">
        <f>'[8]BP-Men'!A51</f>
        <v>90</v>
      </c>
      <c r="B190">
        <f>'[8]BP-Men'!B51</f>
        <v>225</v>
      </c>
      <c r="C190" t="str">
        <f>'[8]BP-Men'!C51</f>
        <v>Якушевич Алексей/91</v>
      </c>
      <c r="D190" t="str">
        <f t="shared" si="16"/>
        <v>91</v>
      </c>
      <c r="E190" t="str">
        <f>'[8]BP-Men'!D51</f>
        <v>Мончегорск</v>
      </c>
      <c r="F190" s="10">
        <f>'[8]BP-Men'!E51</f>
        <v>41497</v>
      </c>
      <c r="G190" t="str">
        <f>'[8]BP-Men'!F51</f>
        <v>Курск</v>
      </c>
    </row>
    <row r="191" spans="1:7" x14ac:dyDescent="0.25">
      <c r="A191">
        <f>'[8]BP-Men'!A52</f>
        <v>100</v>
      </c>
      <c r="B191">
        <f>'[8]BP-Men'!B52</f>
        <v>202.5</v>
      </c>
      <c r="C191" t="str">
        <f>'[8]BP-Men'!C52</f>
        <v>Легчилин Роман/91</v>
      </c>
      <c r="D191" t="str">
        <f t="shared" si="16"/>
        <v>91</v>
      </c>
      <c r="E191" t="str">
        <f>'[8]BP-Men'!D52</f>
        <v>Кронштадт</v>
      </c>
      <c r="F191" s="10">
        <f>'[8]BP-Men'!E52</f>
        <v>41720</v>
      </c>
      <c r="G191" t="str">
        <f>'[8]BP-Men'!F52</f>
        <v>Вологда</v>
      </c>
    </row>
    <row r="192" spans="1:7" x14ac:dyDescent="0.25">
      <c r="A192">
        <f>'[8]BP-Men'!A53</f>
        <v>110</v>
      </c>
      <c r="B192">
        <f>'[8]BP-Men'!B53</f>
        <v>227.5</v>
      </c>
      <c r="C192" t="str">
        <f>'[8]BP-Men'!C53</f>
        <v>Федосеев Кирилл/92</v>
      </c>
      <c r="D192" t="str">
        <f t="shared" si="16"/>
        <v>92</v>
      </c>
      <c r="E192" t="str">
        <f>'[8]BP-Men'!D53</f>
        <v>с.Варна</v>
      </c>
      <c r="F192" s="10">
        <f>'[8]BP-Men'!E53</f>
        <v>41608</v>
      </c>
      <c r="G192" t="str">
        <f>'[8]BP-Men'!F53</f>
        <v>Екатеринбург</v>
      </c>
    </row>
    <row r="193" spans="1:7" x14ac:dyDescent="0.25">
      <c r="A193">
        <f>'[8]BP-Men'!A54</f>
        <v>125</v>
      </c>
      <c r="B193">
        <f>'[8]BP-Men'!B54</f>
        <v>0</v>
      </c>
      <c r="C193">
        <f>'[8]BP-Men'!C54</f>
        <v>0</v>
      </c>
      <c r="D193" t="str">
        <f t="shared" si="16"/>
        <v>0</v>
      </c>
      <c r="E193">
        <f>'[8]BP-Men'!D54</f>
        <v>0</v>
      </c>
      <c r="F193" s="10">
        <f>'[8]BP-Men'!E54</f>
        <v>0</v>
      </c>
      <c r="G193">
        <f>'[8]BP-Men'!F54</f>
        <v>0</v>
      </c>
    </row>
    <row r="194" spans="1:7" x14ac:dyDescent="0.25">
      <c r="A194">
        <f>'[8]BP-Men'!A55</f>
        <v>140</v>
      </c>
      <c r="B194">
        <f>'[8]BP-Men'!B55</f>
        <v>0</v>
      </c>
      <c r="C194">
        <f>'[8]BP-Men'!C55</f>
        <v>0</v>
      </c>
      <c r="D194" t="str">
        <f t="shared" si="16"/>
        <v>0</v>
      </c>
      <c r="E194">
        <f>'[8]BP-Men'!D55</f>
        <v>0</v>
      </c>
      <c r="F194" s="10">
        <f>'[8]BP-Men'!E55</f>
        <v>0</v>
      </c>
      <c r="G194">
        <f>'[8]BP-Men'!F55</f>
        <v>0</v>
      </c>
    </row>
    <row r="195" spans="1:7" x14ac:dyDescent="0.25">
      <c r="A195" t="str">
        <f>'[8]BP-Men'!A56</f>
        <v>140+</v>
      </c>
      <c r="B195">
        <f>'[8]BP-Men'!B56</f>
        <v>0</v>
      </c>
      <c r="C195">
        <f>'[8]BP-Men'!C56</f>
        <v>0</v>
      </c>
      <c r="D195" t="str">
        <f t="shared" si="16"/>
        <v>0</v>
      </c>
      <c r="E195">
        <f>'[8]BP-Men'!D56</f>
        <v>0</v>
      </c>
      <c r="F195" s="10">
        <f>'[8]BP-Men'!E56</f>
        <v>0</v>
      </c>
      <c r="G195">
        <f>'[8]BP-Men'!F56</f>
        <v>0</v>
      </c>
    </row>
    <row r="196" spans="1:7" x14ac:dyDescent="0.25">
      <c r="B196">
        <f>'[8]BP-Men'!B57</f>
        <v>0</v>
      </c>
      <c r="C196">
        <f>'[8]BP-Men'!C57</f>
        <v>0</v>
      </c>
      <c r="D196" t="str">
        <f t="shared" si="16"/>
        <v>0</v>
      </c>
      <c r="E196">
        <f>'[8]BP-Men'!D57</f>
        <v>0</v>
      </c>
      <c r="F196" s="10">
        <f>'[8]BP-Men'!E57</f>
        <v>0</v>
      </c>
      <c r="G196">
        <f>'[8]BP-Men'!F57</f>
        <v>0</v>
      </c>
    </row>
    <row r="197" spans="1:7" s="11" customFormat="1" x14ac:dyDescent="0.25">
      <c r="A197" s="11" t="s">
        <v>0</v>
      </c>
      <c r="B197" s="11">
        <v>1</v>
      </c>
      <c r="C197" s="11">
        <v>-2</v>
      </c>
      <c r="D197" s="11" t="str">
        <f>'[8]BP-Men'!B58</f>
        <v>МУЖЧИНЫ</v>
      </c>
      <c r="F197" s="13"/>
    </row>
    <row r="198" spans="1:7" x14ac:dyDescent="0.25">
      <c r="A198">
        <f>'[8]BP-Men'!A59</f>
        <v>52</v>
      </c>
      <c r="B198">
        <f>'[8]BP-Men'!B59</f>
        <v>130</v>
      </c>
      <c r="C198" t="str">
        <f>'[8]BP-Men'!C59</f>
        <v>Сокушев Вадим/90</v>
      </c>
      <c r="D198" t="str">
        <f t="shared" si="16"/>
        <v>90</v>
      </c>
      <c r="E198" t="str">
        <f>'[8]BP-Men'!D59</f>
        <v>Новосибирск</v>
      </c>
      <c r="F198" s="10" t="str">
        <f>'[8]BP-Men'!E59</f>
        <v>04.07.2014</v>
      </c>
      <c r="G198" t="str">
        <f>'[8]BP-Men'!F59</f>
        <v>Новосибирск</v>
      </c>
    </row>
    <row r="199" spans="1:7" x14ac:dyDescent="0.25">
      <c r="A199">
        <f>'[8]BP-Men'!A60</f>
        <v>56</v>
      </c>
      <c r="B199">
        <f>'[8]BP-Men'!B60</f>
        <v>100</v>
      </c>
      <c r="C199" t="str">
        <f>'[8]BP-Men'!C60</f>
        <v>Борзенков Максим/96</v>
      </c>
      <c r="D199" t="str">
        <f t="shared" si="16"/>
        <v>96</v>
      </c>
      <c r="E199" t="str">
        <f>'[8]BP-Men'!D60</f>
        <v>Курск</v>
      </c>
      <c r="F199" s="10" t="str">
        <f>'[8]BP-Men'!E60</f>
        <v>30.05.2014</v>
      </c>
      <c r="G199" t="str">
        <f>'[8]BP-Men'!F60</f>
        <v>Курск</v>
      </c>
    </row>
    <row r="200" spans="1:7" x14ac:dyDescent="0.25">
      <c r="A200">
        <f>'[8]BP-Men'!A61</f>
        <v>60</v>
      </c>
      <c r="B200">
        <f>'[8]BP-Men'!B61</f>
        <v>125</v>
      </c>
      <c r="C200" t="str">
        <f>'[8]BP-Men'!C61</f>
        <v>Федоров Александр/76</v>
      </c>
      <c r="D200" t="str">
        <f t="shared" si="16"/>
        <v>76</v>
      </c>
      <c r="E200" t="str">
        <f>'[8]BP-Men'!D61</f>
        <v>п.Шатурторф</v>
      </c>
      <c r="F200" s="10">
        <f>'[8]BP-Men'!E61</f>
        <v>41257</v>
      </c>
      <c r="G200" t="str">
        <f>'[8]BP-Men'!F61</f>
        <v>Суздаль</v>
      </c>
    </row>
    <row r="201" spans="1:7" x14ac:dyDescent="0.25">
      <c r="A201" t="str">
        <f>'[8]BP-Men'!A62</f>
        <v>67.5</v>
      </c>
      <c r="B201">
        <f>'[8]BP-Men'!B62</f>
        <v>200.5</v>
      </c>
      <c r="C201" t="str">
        <f>'[8]BP-Men'!C62</f>
        <v xml:space="preserve">Суфиянов Айрат/84 </v>
      </c>
      <c r="D201" t="str">
        <f t="shared" si="16"/>
        <v xml:space="preserve">4 </v>
      </c>
      <c r="E201" t="str">
        <f>'[8]BP-Men'!D62</f>
        <v>Нефтекамск</v>
      </c>
      <c r="F201" s="10" t="str">
        <f>'[8]BP-Men'!E62</f>
        <v>24.08.2014</v>
      </c>
      <c r="G201" t="str">
        <f>'[8]BP-Men'!F62</f>
        <v>Москва</v>
      </c>
    </row>
    <row r="202" spans="1:7" x14ac:dyDescent="0.25">
      <c r="A202">
        <f>'[8]BP-Men'!A63</f>
        <v>75</v>
      </c>
      <c r="B202">
        <f>'[8]BP-Men'!B63</f>
        <v>232.5</v>
      </c>
      <c r="C202" t="str">
        <f>'[8]BP-Men'!C63</f>
        <v>Соколов Николай/79</v>
      </c>
      <c r="D202" t="str">
        <f t="shared" si="16"/>
        <v>79</v>
      </c>
      <c r="E202" t="str">
        <f>'[8]BP-Men'!D63</f>
        <v>Одинцово</v>
      </c>
      <c r="F202" s="10" t="str">
        <f>'[8]BP-Men'!E63</f>
        <v>24.08.2014</v>
      </c>
      <c r="G202" t="str">
        <f>'[8]BP-Men'!F63</f>
        <v>Москва</v>
      </c>
    </row>
    <row r="203" spans="1:7" x14ac:dyDescent="0.25">
      <c r="A203" t="str">
        <f>'[8]BP-Men'!A64</f>
        <v>82.5</v>
      </c>
      <c r="B203">
        <f>'[8]BP-Men'!B64</f>
        <v>222.5</v>
      </c>
      <c r="C203" t="str">
        <f>'[8]BP-Men'!C64</f>
        <v>Тишковский Владимир/86</v>
      </c>
      <c r="D203" t="str">
        <f t="shared" si="16"/>
        <v>86</v>
      </c>
      <c r="E203" t="str">
        <f>'[8]BP-Men'!D64</f>
        <v>Светлый Яр</v>
      </c>
      <c r="F203" s="10" t="str">
        <f>'[8]BP-Men'!E64</f>
        <v>24.08.2014</v>
      </c>
      <c r="G203" t="str">
        <f>'[8]BP-Men'!F64</f>
        <v>Москва</v>
      </c>
    </row>
    <row r="204" spans="1:7" x14ac:dyDescent="0.25">
      <c r="A204">
        <f>'[8]BP-Men'!A65</f>
        <v>90</v>
      </c>
      <c r="B204">
        <f>'[8]BP-Men'!B65</f>
        <v>245</v>
      </c>
      <c r="C204" t="str">
        <f>'[8]BP-Men'!C65</f>
        <v>Винниченко Сергей/74</v>
      </c>
      <c r="D204" t="str">
        <f t="shared" si="16"/>
        <v>74</v>
      </c>
      <c r="E204" t="str">
        <f>'[8]BP-Men'!D65</f>
        <v>Туарсе</v>
      </c>
      <c r="F204" s="10" t="str">
        <f>'[8]BP-Men'!E65</f>
        <v>24.08.2014</v>
      </c>
      <c r="G204" t="str">
        <f>'[8]BP-Men'!F65</f>
        <v>Москва</v>
      </c>
    </row>
    <row r="205" spans="1:7" x14ac:dyDescent="0.25">
      <c r="A205">
        <f>'[8]BP-Men'!A66</f>
        <v>100</v>
      </c>
      <c r="B205">
        <f>'[8]BP-Men'!B66</f>
        <v>292.5</v>
      </c>
      <c r="C205" t="str">
        <f>'[8]BP-Men'!C66</f>
        <v>Абдуллин Марат/85</v>
      </c>
      <c r="D205" t="str">
        <f t="shared" si="16"/>
        <v>85</v>
      </c>
      <c r="E205" t="str">
        <f>'[8]BP-Men'!D66</f>
        <v>Москва</v>
      </c>
      <c r="F205" s="10" t="str">
        <f>'[8]BP-Men'!E66</f>
        <v>24.08.2014</v>
      </c>
      <c r="G205" t="str">
        <f>'[8]BP-Men'!F66</f>
        <v>Москва</v>
      </c>
    </row>
    <row r="206" spans="1:7" x14ac:dyDescent="0.25">
      <c r="A206">
        <f>'[8]BP-Men'!A67</f>
        <v>110</v>
      </c>
      <c r="B206">
        <f>'[8]BP-Men'!B67</f>
        <v>282.5</v>
      </c>
      <c r="C206" t="str">
        <f>'[8]BP-Men'!C67</f>
        <v>Кузнецов Константин/72</v>
      </c>
      <c r="D206" t="str">
        <f t="shared" si="16"/>
        <v>72</v>
      </c>
      <c r="E206" t="str">
        <f>'[8]BP-Men'!D67</f>
        <v>Екатеринбург</v>
      </c>
      <c r="F206" s="10">
        <f>'[8]BP-Men'!E67</f>
        <v>41608</v>
      </c>
      <c r="G206" t="str">
        <f>'[8]BP-Men'!F67</f>
        <v>Екатеринбург</v>
      </c>
    </row>
    <row r="207" spans="1:7" x14ac:dyDescent="0.25">
      <c r="A207">
        <f>'[8]BP-Men'!A68</f>
        <v>125</v>
      </c>
      <c r="B207">
        <f>'[8]BP-Men'!B68</f>
        <v>260</v>
      </c>
      <c r="C207" t="str">
        <f>'[8]BP-Men'!C68</f>
        <v>Жуков Андрей/76</v>
      </c>
      <c r="D207" t="str">
        <f t="shared" si="16"/>
        <v>76</v>
      </c>
      <c r="E207" t="str">
        <f>'[8]BP-Men'!D68</f>
        <v>Петрозаводск</v>
      </c>
      <c r="F207" s="10">
        <f>'[8]BP-Men'!E68</f>
        <v>41222</v>
      </c>
      <c r="G207" t="str">
        <f>'[8]BP-Men'!F68</f>
        <v>Вологда</v>
      </c>
    </row>
    <row r="208" spans="1:7" x14ac:dyDescent="0.25">
      <c r="A208">
        <f>'[8]BP-Men'!A69</f>
        <v>140</v>
      </c>
      <c r="B208">
        <f>'[8]BP-Men'!B69</f>
        <v>300</v>
      </c>
      <c r="C208" t="str">
        <f>'[8]BP-Men'!C69</f>
        <v>Колесниченко Сергей/79</v>
      </c>
      <c r="D208" t="str">
        <f t="shared" si="16"/>
        <v>79</v>
      </c>
      <c r="E208" t="str">
        <f>'[8]BP-Men'!D69</f>
        <v>Екатеринбург</v>
      </c>
      <c r="F208" s="10" t="str">
        <f>'[8]BP-Men'!E69</f>
        <v>09.08.2014</v>
      </c>
      <c r="G208" t="str">
        <f>'[8]BP-Men'!F69</f>
        <v>Екатеринбург</v>
      </c>
    </row>
    <row r="209" spans="1:7" x14ac:dyDescent="0.25">
      <c r="A209" t="str">
        <f>'[8]BP-Men'!A70</f>
        <v>140+</v>
      </c>
      <c r="B209">
        <f>'[8]BP-Men'!B70</f>
        <v>270</v>
      </c>
      <c r="C209" t="str">
        <f>'[8]BP-Men'!C70</f>
        <v>Бергерт Лев/66</v>
      </c>
      <c r="D209" t="str">
        <f t="shared" si="16"/>
        <v>66</v>
      </c>
      <c r="E209" t="str">
        <f>'[8]BP-Men'!D70</f>
        <v>Заволжье</v>
      </c>
      <c r="F209" s="10" t="str">
        <f>'[8]BP-Men'!E70</f>
        <v>24.08.2014</v>
      </c>
      <c r="G209" t="str">
        <f>'[8]BP-Men'!F70</f>
        <v>Москва</v>
      </c>
    </row>
    <row r="210" spans="1:7" x14ac:dyDescent="0.25">
      <c r="B210">
        <f>'[8]BP-Men'!B71</f>
        <v>0</v>
      </c>
      <c r="C210">
        <f>'[8]BP-Men'!C71</f>
        <v>0</v>
      </c>
      <c r="D210" t="str">
        <f t="shared" si="16"/>
        <v>0</v>
      </c>
      <c r="E210">
        <f>'[8]BP-Men'!D71</f>
        <v>0</v>
      </c>
      <c r="F210" s="10">
        <f>'[8]BP-Men'!E71</f>
        <v>0</v>
      </c>
      <c r="G210">
        <f>'[8]BP-Men'!F71</f>
        <v>0</v>
      </c>
    </row>
    <row r="211" spans="1:7" s="11" customFormat="1" x14ac:dyDescent="0.25">
      <c r="A211" s="11" t="s">
        <v>0</v>
      </c>
      <c r="B211" s="11">
        <v>1</v>
      </c>
      <c r="C211" s="11">
        <v>-4</v>
      </c>
      <c r="D211" s="11" t="str">
        <f>'[8]BP-Men'!B72</f>
        <v>МУЖЧИНЫ - САБМАСТЕРС  (33 - 39)</v>
      </c>
      <c r="F211" s="13"/>
    </row>
    <row r="212" spans="1:7" x14ac:dyDescent="0.25">
      <c r="A212">
        <f>'[8]BP-Men'!A73</f>
        <v>52</v>
      </c>
      <c r="B212">
        <f>'[8]BP-Men'!B73</f>
        <v>0</v>
      </c>
      <c r="C212">
        <f>'[8]BP-Men'!C73</f>
        <v>0</v>
      </c>
      <c r="D212" t="str">
        <f t="shared" si="16"/>
        <v>0</v>
      </c>
      <c r="E212">
        <f>'[8]BP-Men'!D73</f>
        <v>0</v>
      </c>
      <c r="F212" s="10">
        <f>'[8]BP-Men'!E73</f>
        <v>0</v>
      </c>
      <c r="G212">
        <f>'[8]BP-Men'!F73</f>
        <v>0</v>
      </c>
    </row>
    <row r="213" spans="1:7" x14ac:dyDescent="0.25">
      <c r="A213">
        <f>'[8]BP-Men'!A74</f>
        <v>56</v>
      </c>
      <c r="B213">
        <f>'[8]BP-Men'!B74</f>
        <v>0</v>
      </c>
      <c r="C213">
        <f>'[8]BP-Men'!C74</f>
        <v>0</v>
      </c>
      <c r="D213" t="str">
        <f t="shared" si="16"/>
        <v>0</v>
      </c>
      <c r="E213">
        <f>'[8]BP-Men'!D74</f>
        <v>0</v>
      </c>
      <c r="F213" s="10">
        <f>'[8]BP-Men'!E74</f>
        <v>0</v>
      </c>
      <c r="G213">
        <f>'[8]BP-Men'!F74</f>
        <v>0</v>
      </c>
    </row>
    <row r="214" spans="1:7" x14ac:dyDescent="0.25">
      <c r="A214">
        <f>'[8]BP-Men'!A75</f>
        <v>60</v>
      </c>
      <c r="B214">
        <f>'[8]BP-Men'!B75</f>
        <v>125</v>
      </c>
      <c r="C214" t="str">
        <f>'[8]BP-Men'!C75</f>
        <v>Федоров Александр/76</v>
      </c>
      <c r="D214" t="str">
        <f t="shared" si="16"/>
        <v>76</v>
      </c>
      <c r="E214" t="str">
        <f>'[8]BP-Men'!D75</f>
        <v>п.Шатурторф</v>
      </c>
      <c r="F214" s="10">
        <f>'[8]BP-Men'!E75</f>
        <v>41257</v>
      </c>
      <c r="G214" t="str">
        <f>'[8]BP-Men'!F75</f>
        <v>Суздаль</v>
      </c>
    </row>
    <row r="215" spans="1:7" x14ac:dyDescent="0.25">
      <c r="A215" t="str">
        <f>'[8]BP-Men'!A76</f>
        <v>67.5</v>
      </c>
      <c r="B215">
        <f>'[8]BP-Men'!B76</f>
        <v>157.5</v>
      </c>
      <c r="C215" t="str">
        <f>'[8]BP-Men'!C76</f>
        <v>Лысяков Сергей/80</v>
      </c>
      <c r="D215" t="str">
        <f t="shared" si="16"/>
        <v>80</v>
      </c>
      <c r="E215" t="str">
        <f>'[8]BP-Men'!D76</f>
        <v>Екатеринбург</v>
      </c>
      <c r="F215" s="10" t="str">
        <f>'[8]BP-Men'!E76</f>
        <v>09.08.2014</v>
      </c>
      <c r="G215" t="str">
        <f>'[8]BP-Men'!F76</f>
        <v>Екатеринбург</v>
      </c>
    </row>
    <row r="216" spans="1:7" x14ac:dyDescent="0.25">
      <c r="A216">
        <f>'[8]BP-Men'!A77</f>
        <v>75</v>
      </c>
      <c r="B216">
        <f>'[8]BP-Men'!B77</f>
        <v>232.5</v>
      </c>
      <c r="C216" t="str">
        <f>'[8]BP-Men'!C77</f>
        <v>Соколов Николай/79</v>
      </c>
      <c r="D216" t="str">
        <f t="shared" si="16"/>
        <v>79</v>
      </c>
      <c r="E216" t="str">
        <f>'[8]BP-Men'!D77</f>
        <v>Одинцово</v>
      </c>
      <c r="F216" s="10" t="str">
        <f>'[8]BP-Men'!E77</f>
        <v>24.08.2014</v>
      </c>
      <c r="G216" t="str">
        <f>'[8]BP-Men'!F77</f>
        <v>Москва</v>
      </c>
    </row>
    <row r="217" spans="1:7" x14ac:dyDescent="0.25">
      <c r="A217" t="str">
        <f>'[8]BP-Men'!A78</f>
        <v>82.5</v>
      </c>
      <c r="B217">
        <f>'[8]BP-Men'!B78</f>
        <v>220</v>
      </c>
      <c r="C217" t="str">
        <f>'[8]BP-Men'!C78</f>
        <v>Хачатурян Армен/78</v>
      </c>
      <c r="D217" t="str">
        <f t="shared" si="16"/>
        <v>78</v>
      </c>
      <c r="E217" t="str">
        <f>'[8]BP-Men'!D78</f>
        <v>Туапсе</v>
      </c>
      <c r="F217" s="10" t="str">
        <f>'[8]BP-Men'!E78</f>
        <v>24.08.2014</v>
      </c>
      <c r="G217" t="str">
        <f>'[8]BP-Men'!F78</f>
        <v>Москва</v>
      </c>
    </row>
    <row r="218" spans="1:7" x14ac:dyDescent="0.25">
      <c r="A218">
        <f>'[8]BP-Men'!A79</f>
        <v>90</v>
      </c>
      <c r="B218">
        <f>'[8]BP-Men'!B79</f>
        <v>245</v>
      </c>
      <c r="C218" t="str">
        <f>'[8]BP-Men'!C79</f>
        <v>Винниченко Сергей/74</v>
      </c>
      <c r="D218" t="str">
        <f t="shared" si="16"/>
        <v>74</v>
      </c>
      <c r="E218" t="str">
        <f>'[8]BP-Men'!D79</f>
        <v>Туарсе</v>
      </c>
      <c r="F218" s="10" t="str">
        <f>'[8]BP-Men'!E79</f>
        <v>24.08.2014</v>
      </c>
      <c r="G218" t="str">
        <f>'[8]BP-Men'!F79</f>
        <v>Москва</v>
      </c>
    </row>
    <row r="219" spans="1:7" x14ac:dyDescent="0.25">
      <c r="A219">
        <f>'[8]BP-Men'!A80</f>
        <v>100</v>
      </c>
      <c r="B219">
        <f>'[8]BP-Men'!B80</f>
        <v>265</v>
      </c>
      <c r="C219" t="str">
        <f>'[8]BP-Men'!C80</f>
        <v>Каширин Алексей/73</v>
      </c>
      <c r="D219" t="str">
        <f t="shared" si="16"/>
        <v>73</v>
      </c>
      <c r="E219" t="str">
        <f>'[8]BP-Men'!D80</f>
        <v xml:space="preserve">Петрозаводск </v>
      </c>
      <c r="F219" s="10">
        <f>'[8]BP-Men'!E80</f>
        <v>41439</v>
      </c>
      <c r="G219" t="str">
        <f>'[8]BP-Men'!F80</f>
        <v>Москва</v>
      </c>
    </row>
    <row r="220" spans="1:7" x14ac:dyDescent="0.25">
      <c r="A220">
        <f>'[8]BP-Men'!A81</f>
        <v>110</v>
      </c>
      <c r="B220">
        <f>'[8]BP-Men'!B81</f>
        <v>262.5</v>
      </c>
      <c r="C220" t="str">
        <f>'[8]BP-Men'!C81</f>
        <v>Евстигнеев Михаил/76</v>
      </c>
      <c r="D220" t="str">
        <f t="shared" si="16"/>
        <v>76</v>
      </c>
      <c r="E220" t="str">
        <f>'[8]BP-Men'!D81</f>
        <v>Москва</v>
      </c>
      <c r="F220" s="10" t="str">
        <f>'[8]BP-Men'!E81</f>
        <v>24.08.2014</v>
      </c>
      <c r="G220" t="str">
        <f>'[8]BP-Men'!F81</f>
        <v>Москва</v>
      </c>
    </row>
    <row r="221" spans="1:7" x14ac:dyDescent="0.25">
      <c r="A221">
        <f>'[8]BP-Men'!A82</f>
        <v>125</v>
      </c>
      <c r="B221">
        <f>'[8]BP-Men'!B82</f>
        <v>260</v>
      </c>
      <c r="C221" t="str">
        <f>'[8]BP-Men'!C82</f>
        <v>Жуков Андрей/76</v>
      </c>
      <c r="D221" t="str">
        <f t="shared" si="16"/>
        <v>76</v>
      </c>
      <c r="E221" t="str">
        <f>'[8]BP-Men'!D82</f>
        <v>Петрозаводск</v>
      </c>
      <c r="F221" s="10">
        <f>'[8]BP-Men'!E82</f>
        <v>41222</v>
      </c>
      <c r="G221" t="str">
        <f>'[8]BP-Men'!F82</f>
        <v>Вологда</v>
      </c>
    </row>
    <row r="222" spans="1:7" x14ac:dyDescent="0.25">
      <c r="A222">
        <f>'[8]BP-Men'!A83</f>
        <v>140</v>
      </c>
      <c r="B222">
        <f>'[8]BP-Men'!B83</f>
        <v>300</v>
      </c>
      <c r="C222" t="str">
        <f>'[8]BP-Men'!C83</f>
        <v>Колесниченко Сергей/79</v>
      </c>
      <c r="D222" t="str">
        <f t="shared" si="16"/>
        <v>79</v>
      </c>
      <c r="E222" t="str">
        <f>'[8]BP-Men'!D83</f>
        <v>Екатеринбург</v>
      </c>
      <c r="F222" s="10" t="str">
        <f>'[8]BP-Men'!E83</f>
        <v>09.08.2014</v>
      </c>
      <c r="G222" t="str">
        <f>'[8]BP-Men'!F83</f>
        <v>Екатеринбург</v>
      </c>
    </row>
    <row r="223" spans="1:7" x14ac:dyDescent="0.25">
      <c r="A223" t="str">
        <f>'[8]BP-Men'!A84</f>
        <v>140+</v>
      </c>
      <c r="B223">
        <f>'[8]BP-Men'!B84</f>
        <v>240</v>
      </c>
      <c r="C223" t="str">
        <f>'[8]BP-Men'!C84</f>
        <v>Горбунов Алексей/79</v>
      </c>
      <c r="D223" t="str">
        <f t="shared" si="16"/>
        <v>79</v>
      </c>
      <c r="E223" t="str">
        <f>'[8]BP-Men'!D84</f>
        <v>Екатеринбург</v>
      </c>
      <c r="F223" s="10">
        <f>'[8]BP-Men'!E84</f>
        <v>41244</v>
      </c>
      <c r="G223" t="str">
        <f>'[8]BP-Men'!F84</f>
        <v>Екатеринбург</v>
      </c>
    </row>
    <row r="224" spans="1:7" x14ac:dyDescent="0.25">
      <c r="B224">
        <f>'[8]BP-Men'!B85</f>
        <v>0</v>
      </c>
      <c r="C224">
        <f>'[8]BP-Men'!C85</f>
        <v>0</v>
      </c>
      <c r="D224" t="str">
        <f t="shared" si="16"/>
        <v>0</v>
      </c>
      <c r="E224">
        <f>'[8]BP-Men'!D85</f>
        <v>0</v>
      </c>
      <c r="F224" s="10">
        <f>'[8]BP-Men'!E85</f>
        <v>0</v>
      </c>
      <c r="G224">
        <f>'[8]BP-Men'!F85</f>
        <v>0</v>
      </c>
    </row>
    <row r="225" spans="1:7" s="11" customFormat="1" x14ac:dyDescent="0.25">
      <c r="A225" s="11" t="s">
        <v>0</v>
      </c>
      <c r="B225" s="11">
        <v>1</v>
      </c>
      <c r="C225" s="11">
        <v>40</v>
      </c>
      <c r="D225" s="11" t="str">
        <f>'[8]BP-Men'!B86</f>
        <v>МУЖЧИНЫ - МАСТЕРС  1(40 - 44)</v>
      </c>
      <c r="F225" s="13"/>
    </row>
    <row r="226" spans="1:7" x14ac:dyDescent="0.25">
      <c r="A226">
        <f>'[8]BP-Men'!A87</f>
        <v>52</v>
      </c>
      <c r="B226">
        <f>'[8]BP-Men'!B87</f>
        <v>0</v>
      </c>
      <c r="C226">
        <f>'[8]BP-Men'!C87</f>
        <v>0</v>
      </c>
      <c r="D226" t="str">
        <f t="shared" si="16"/>
        <v>0</v>
      </c>
      <c r="E226">
        <f>'[8]BP-Men'!D87</f>
        <v>0</v>
      </c>
      <c r="F226" s="10">
        <f>'[8]BP-Men'!E87</f>
        <v>0</v>
      </c>
      <c r="G226">
        <f>'[8]BP-Men'!F87</f>
        <v>0</v>
      </c>
    </row>
    <row r="227" spans="1:7" x14ac:dyDescent="0.25">
      <c r="A227">
        <f>'[8]BP-Men'!A88</f>
        <v>56</v>
      </c>
      <c r="B227">
        <f>'[8]BP-Men'!B88</f>
        <v>0</v>
      </c>
      <c r="C227">
        <f>'[8]BP-Men'!C88</f>
        <v>0</v>
      </c>
      <c r="D227" t="str">
        <f t="shared" si="16"/>
        <v>0</v>
      </c>
      <c r="E227">
        <f>'[8]BP-Men'!D88</f>
        <v>0</v>
      </c>
      <c r="F227" s="10">
        <f>'[8]BP-Men'!E88</f>
        <v>0</v>
      </c>
      <c r="G227">
        <f>'[8]BP-Men'!F88</f>
        <v>0</v>
      </c>
    </row>
    <row r="228" spans="1:7" x14ac:dyDescent="0.25">
      <c r="A228">
        <f>'[8]BP-Men'!A89</f>
        <v>60</v>
      </c>
      <c r="B228">
        <f>'[8]BP-Men'!B89</f>
        <v>0</v>
      </c>
      <c r="C228">
        <f>'[8]BP-Men'!C89</f>
        <v>0</v>
      </c>
      <c r="D228" t="str">
        <f t="shared" si="16"/>
        <v>0</v>
      </c>
      <c r="E228">
        <f>'[8]BP-Men'!D89</f>
        <v>0</v>
      </c>
      <c r="F228" s="10">
        <f>'[8]BP-Men'!E89</f>
        <v>0</v>
      </c>
      <c r="G228">
        <f>'[8]BP-Men'!F89</f>
        <v>0</v>
      </c>
    </row>
    <row r="229" spans="1:7" x14ac:dyDescent="0.25">
      <c r="A229">
        <f>'[8]BP-Men'!A90</f>
        <v>67.5</v>
      </c>
      <c r="B229">
        <f>'[8]BP-Men'!B90</f>
        <v>160</v>
      </c>
      <c r="C229" t="str">
        <f>'[8]BP-Men'!C90</f>
        <v>Миронов Олег/70</v>
      </c>
      <c r="D229" t="str">
        <f t="shared" si="16"/>
        <v>70</v>
      </c>
      <c r="E229" t="str">
        <f>'[8]BP-Men'!D90</f>
        <v>Екатеринбург</v>
      </c>
      <c r="F229" s="10">
        <f>'[8]BP-Men'!E90</f>
        <v>41608</v>
      </c>
      <c r="G229" t="str">
        <f>'[8]BP-Men'!F90</f>
        <v>Екатеринбург</v>
      </c>
    </row>
    <row r="230" spans="1:7" x14ac:dyDescent="0.25">
      <c r="A230">
        <f>'[8]BP-Men'!A91</f>
        <v>75</v>
      </c>
      <c r="B230">
        <f>'[8]BP-Men'!B91</f>
        <v>155</v>
      </c>
      <c r="C230" t="str">
        <f>'[8]BP-Men'!C91</f>
        <v>Лапынин Владимир/70</v>
      </c>
      <c r="D230" t="str">
        <f t="shared" ref="D230:D238" si="17">RIGHT(C230,2)</f>
        <v>70</v>
      </c>
      <c r="E230" t="str">
        <f>'[8]BP-Men'!D91</f>
        <v>Дальнегорск</v>
      </c>
      <c r="F230" s="10" t="str">
        <f>'[8]BP-Men'!E91</f>
        <v>23.08.2014</v>
      </c>
      <c r="G230" t="str">
        <f>'[8]BP-Men'!F91</f>
        <v>Москва</v>
      </c>
    </row>
    <row r="231" spans="1:7" x14ac:dyDescent="0.25">
      <c r="A231" t="str">
        <f>'[8]BP-Men'!A92</f>
        <v>82.5</v>
      </c>
      <c r="B231">
        <f>'[8]BP-Men'!B92</f>
        <v>162.5</v>
      </c>
      <c r="C231" t="str">
        <f>'[8]BP-Men'!C92</f>
        <v>Юрьев Валентин/71</v>
      </c>
      <c r="D231" t="str">
        <f t="shared" si="17"/>
        <v>71</v>
      </c>
      <c r="E231" t="str">
        <f>'[8]BP-Men'!D92</f>
        <v>Нижнекамск</v>
      </c>
      <c r="F231" s="10">
        <f>'[8]BP-Men'!E92</f>
        <v>40982</v>
      </c>
      <c r="G231" t="str">
        <f>'[8]BP-Men'!F92</f>
        <v>Екатеринбург</v>
      </c>
    </row>
    <row r="232" spans="1:7" x14ac:dyDescent="0.25">
      <c r="A232">
        <f>'[8]BP-Men'!A93</f>
        <v>90</v>
      </c>
      <c r="B232">
        <f>'[8]BP-Men'!B93</f>
        <v>240</v>
      </c>
      <c r="C232" t="str">
        <f>'[8]BP-Men'!C93</f>
        <v>Кончаков Владимир/73</v>
      </c>
      <c r="D232" t="str">
        <f t="shared" si="17"/>
        <v>73</v>
      </c>
      <c r="E232" t="str">
        <f>'[8]BP-Men'!D93</f>
        <v>Новосибирск</v>
      </c>
      <c r="F232" s="10" t="str">
        <f>'[8]BP-Men'!E93</f>
        <v>04.07.2014</v>
      </c>
      <c r="G232" t="str">
        <f>'[8]BP-Men'!F93</f>
        <v>Новосибирск</v>
      </c>
    </row>
    <row r="233" spans="1:7" x14ac:dyDescent="0.25">
      <c r="A233">
        <f>'[8]BP-Men'!A94</f>
        <v>100</v>
      </c>
      <c r="B233">
        <f>'[8]BP-Men'!B94</f>
        <v>260</v>
      </c>
      <c r="C233" t="str">
        <f>'[8]BP-Men'!C94</f>
        <v>Сынков Василий/72</v>
      </c>
      <c r="D233" t="str">
        <f t="shared" si="17"/>
        <v>72</v>
      </c>
      <c r="E233" t="str">
        <f>'[8]BP-Men'!D94</f>
        <v>Томск</v>
      </c>
      <c r="F233" s="10">
        <f>'[8]BP-Men'!E94</f>
        <v>41502</v>
      </c>
      <c r="G233" t="str">
        <f>'[8]BP-Men'!F94</f>
        <v>Новосибирск</v>
      </c>
    </row>
    <row r="234" spans="1:7" x14ac:dyDescent="0.25">
      <c r="A234">
        <f>'[8]BP-Men'!A95</f>
        <v>110</v>
      </c>
      <c r="B234">
        <f>'[8]BP-Men'!B95</f>
        <v>225</v>
      </c>
      <c r="C234" t="str">
        <f>'[8]BP-Men'!C95</f>
        <v>Дедевшин Станислав/69</v>
      </c>
      <c r="D234" t="str">
        <f t="shared" si="17"/>
        <v>69</v>
      </c>
      <c r="E234" t="str">
        <f>'[8]BP-Men'!D95</f>
        <v>Когалым</v>
      </c>
      <c r="F234" s="10" t="str">
        <f>'[8]BP-Men'!E95</f>
        <v>24.08.2014</v>
      </c>
      <c r="G234" t="str">
        <f>'[8]BP-Men'!F95</f>
        <v>Москва</v>
      </c>
    </row>
    <row r="235" spans="1:7" x14ac:dyDescent="0.25">
      <c r="A235">
        <f>'[8]BP-Men'!A96</f>
        <v>125</v>
      </c>
      <c r="B235">
        <f>'[8]BP-Men'!B96</f>
        <v>212.5</v>
      </c>
      <c r="C235" t="str">
        <f>'[8]BP-Men'!C96</f>
        <v>Сибилев Евгений/70</v>
      </c>
      <c r="D235" t="str">
        <f t="shared" si="17"/>
        <v>70</v>
      </c>
      <c r="E235" t="str">
        <f>'[8]BP-Men'!D96</f>
        <v>Ноябрьск</v>
      </c>
      <c r="F235" s="10" t="str">
        <f>'[8]BP-Men'!E96</f>
        <v>24.08.2014</v>
      </c>
      <c r="G235" t="str">
        <f>'[8]BP-Men'!F96</f>
        <v>Москва</v>
      </c>
    </row>
    <row r="236" spans="1:7" x14ac:dyDescent="0.25">
      <c r="A236">
        <f>'[8]BP-Men'!A97</f>
        <v>140</v>
      </c>
      <c r="B236">
        <f>'[8]BP-Men'!B97</f>
        <v>0</v>
      </c>
      <c r="C236">
        <f>'[8]BP-Men'!C97</f>
        <v>0</v>
      </c>
      <c r="D236" t="str">
        <f t="shared" si="17"/>
        <v>0</v>
      </c>
      <c r="E236">
        <f>'[8]BP-Men'!D97</f>
        <v>0</v>
      </c>
      <c r="F236" s="10">
        <f>'[8]BP-Men'!E97</f>
        <v>0</v>
      </c>
      <c r="G236">
        <f>'[8]BP-Men'!F97</f>
        <v>0</v>
      </c>
    </row>
    <row r="237" spans="1:7" x14ac:dyDescent="0.25">
      <c r="A237" t="str">
        <f>'[8]BP-Men'!A98</f>
        <v>140+</v>
      </c>
      <c r="B237">
        <f>'[8]BP-Men'!B98</f>
        <v>197.5</v>
      </c>
      <c r="C237" t="str">
        <f>'[8]BP-Men'!C98</f>
        <v>Смирнов Юрий/71</v>
      </c>
      <c r="D237" t="str">
        <f t="shared" si="17"/>
        <v>71</v>
      </c>
      <c r="E237" t="str">
        <f>'[8]BP-Men'!D98</f>
        <v>Сосногорск</v>
      </c>
      <c r="F237" s="10" t="str">
        <f>'[8]BP-Men'!E98</f>
        <v>24.08.2014</v>
      </c>
      <c r="G237" t="str">
        <f>'[8]BP-Men'!F98</f>
        <v>Москва</v>
      </c>
    </row>
    <row r="238" spans="1:7" s="16" customFormat="1" x14ac:dyDescent="0.25">
      <c r="A238" s="16">
        <f>'[8]BP-Men'!A99</f>
        <v>0</v>
      </c>
      <c r="B238" s="16">
        <f>'[8]BP-Men'!B99</f>
        <v>0</v>
      </c>
      <c r="C238" s="16">
        <f>'[8]BP-Men'!C99</f>
        <v>0</v>
      </c>
      <c r="D238" s="16" t="str">
        <f t="shared" si="17"/>
        <v>0</v>
      </c>
      <c r="E238" s="16">
        <f>'[8]BP-Men'!D99</f>
        <v>0</v>
      </c>
      <c r="F238" s="17">
        <f>'[8]BP-Men'!E99</f>
        <v>0</v>
      </c>
      <c r="G238" s="16">
        <f>'[8]BP-Men'!F99</f>
        <v>0</v>
      </c>
    </row>
    <row r="239" spans="1:7" s="11" customFormat="1" x14ac:dyDescent="0.25">
      <c r="A239" s="11" t="s">
        <v>0</v>
      </c>
      <c r="B239" s="11">
        <v>1</v>
      </c>
      <c r="C239" s="11">
        <v>45</v>
      </c>
      <c r="D239" s="11" t="str">
        <f>'[8]BP-Men'!B100</f>
        <v>МУЖЧИНЫ - МАСТЕРС  2(45 - 49)</v>
      </c>
      <c r="F239" s="13"/>
    </row>
    <row r="240" spans="1:7" x14ac:dyDescent="0.25">
      <c r="A240">
        <f>'[8]BP-Men'!A101</f>
        <v>52</v>
      </c>
      <c r="B240">
        <f>'[8]BP-Men'!B101</f>
        <v>0</v>
      </c>
      <c r="C240">
        <f>'[8]BP-Men'!C101</f>
        <v>0</v>
      </c>
      <c r="D240" t="str">
        <f t="shared" ref="D240:D297" si="18">RIGHT(C240,2)</f>
        <v>0</v>
      </c>
      <c r="E240">
        <f>'[8]BP-Men'!D101</f>
        <v>0</v>
      </c>
      <c r="F240" s="10">
        <f>'[8]BP-Men'!E101</f>
        <v>0</v>
      </c>
      <c r="G240">
        <f>'[8]BP-Men'!F101</f>
        <v>0</v>
      </c>
    </row>
    <row r="241" spans="1:7" x14ac:dyDescent="0.25">
      <c r="A241">
        <f>'[8]BP-Men'!A102</f>
        <v>56</v>
      </c>
      <c r="B241">
        <f>'[8]BP-Men'!B102</f>
        <v>0</v>
      </c>
      <c r="C241">
        <f>'[8]BP-Men'!C102</f>
        <v>0</v>
      </c>
      <c r="D241" t="str">
        <f t="shared" si="18"/>
        <v>0</v>
      </c>
      <c r="E241">
        <f>'[8]BP-Men'!D102</f>
        <v>0</v>
      </c>
      <c r="F241" s="10">
        <f>'[8]BP-Men'!E102</f>
        <v>0</v>
      </c>
      <c r="G241">
        <f>'[8]BP-Men'!F102</f>
        <v>0</v>
      </c>
    </row>
    <row r="242" spans="1:7" x14ac:dyDescent="0.25">
      <c r="A242">
        <f>'[8]BP-Men'!A103</f>
        <v>60</v>
      </c>
      <c r="B242">
        <f>'[8]BP-Men'!B103</f>
        <v>0</v>
      </c>
      <c r="C242">
        <f>'[8]BP-Men'!C103</f>
        <v>0</v>
      </c>
      <c r="D242" t="str">
        <f t="shared" si="18"/>
        <v>0</v>
      </c>
      <c r="E242">
        <f>'[8]BP-Men'!D103</f>
        <v>0</v>
      </c>
      <c r="F242" s="10">
        <f>'[8]BP-Men'!E103</f>
        <v>0</v>
      </c>
      <c r="G242">
        <f>'[8]BP-Men'!F103</f>
        <v>0</v>
      </c>
    </row>
    <row r="243" spans="1:7" x14ac:dyDescent="0.25">
      <c r="A243">
        <f>'[8]BP-Men'!A104</f>
        <v>67.5</v>
      </c>
      <c r="B243">
        <f>'[8]BP-Men'!B104</f>
        <v>0</v>
      </c>
      <c r="C243">
        <f>'[8]BP-Men'!C104</f>
        <v>0</v>
      </c>
      <c r="D243" t="str">
        <f t="shared" ref="D243:D251" si="19">RIGHT(C243,2)</f>
        <v>0</v>
      </c>
      <c r="E243">
        <f>'[8]BP-Men'!D104</f>
        <v>0</v>
      </c>
      <c r="F243" s="10">
        <f>'[8]BP-Men'!E104</f>
        <v>0</v>
      </c>
      <c r="G243">
        <f>'[8]BP-Men'!F104</f>
        <v>0</v>
      </c>
    </row>
    <row r="244" spans="1:7" x14ac:dyDescent="0.25">
      <c r="A244">
        <f>'[8]BP-Men'!A105</f>
        <v>75</v>
      </c>
      <c r="B244">
        <f>'[8]BP-Men'!B105</f>
        <v>147.5</v>
      </c>
      <c r="C244" t="str">
        <f>'[8]BP-Men'!C105</f>
        <v>Баштанов Игорь/67</v>
      </c>
      <c r="D244" t="str">
        <f t="shared" si="19"/>
        <v>67</v>
      </c>
      <c r="E244" t="str">
        <f>'[8]BP-Men'!D105</f>
        <v>Кемерово</v>
      </c>
      <c r="F244" s="10" t="str">
        <f>'[8]BP-Men'!E105</f>
        <v>04.07.2014</v>
      </c>
      <c r="G244" t="str">
        <f>'[8]BP-Men'!F105</f>
        <v>Новосибирск</v>
      </c>
    </row>
    <row r="245" spans="1:7" x14ac:dyDescent="0.25">
      <c r="A245" t="str">
        <f>'[8]BP-Men'!A106</f>
        <v>82.5</v>
      </c>
      <c r="B245">
        <f>'[8]BP-Men'!B106</f>
        <v>0</v>
      </c>
      <c r="C245">
        <f>'[8]BP-Men'!C106</f>
        <v>0</v>
      </c>
      <c r="D245" t="str">
        <f t="shared" si="19"/>
        <v>0</v>
      </c>
      <c r="E245">
        <f>'[8]BP-Men'!D106</f>
        <v>0</v>
      </c>
      <c r="F245" s="10">
        <f>'[8]BP-Men'!E106</f>
        <v>0</v>
      </c>
      <c r="G245">
        <f>'[8]BP-Men'!F106</f>
        <v>0</v>
      </c>
    </row>
    <row r="246" spans="1:7" x14ac:dyDescent="0.25">
      <c r="A246">
        <f>'[8]BP-Men'!A107</f>
        <v>90</v>
      </c>
      <c r="B246">
        <f>'[8]BP-Men'!B107</f>
        <v>175</v>
      </c>
      <c r="C246" t="str">
        <f>'[8]BP-Men'!C107</f>
        <v>Чертушкин Дмитрий/65</v>
      </c>
      <c r="D246" t="str">
        <f t="shared" si="19"/>
        <v>65</v>
      </c>
      <c r="E246" t="str">
        <f>'[8]BP-Men'!D107</f>
        <v>Екатеринбург</v>
      </c>
      <c r="F246" s="10">
        <f>'[8]BP-Men'!E107</f>
        <v>41608</v>
      </c>
      <c r="G246" t="str">
        <f>'[8]BP-Men'!F107</f>
        <v>Екатеринбург</v>
      </c>
    </row>
    <row r="247" spans="1:7" x14ac:dyDescent="0.25">
      <c r="A247">
        <f>'[8]BP-Men'!A108</f>
        <v>100</v>
      </c>
      <c r="B247">
        <f>'[8]BP-Men'!B108</f>
        <v>207.5</v>
      </c>
      <c r="C247" t="str">
        <f>'[8]BP-Men'!C108</f>
        <v>Соломичев Игорь/67</v>
      </c>
      <c r="D247" t="str">
        <f t="shared" si="19"/>
        <v>67</v>
      </c>
      <c r="E247" t="str">
        <f>'[8]BP-Men'!D108</f>
        <v>Смоленск</v>
      </c>
      <c r="F247" s="10" t="str">
        <f>'[8]BP-Men'!E108</f>
        <v>24.08.2014</v>
      </c>
      <c r="G247" t="str">
        <f>'[8]BP-Men'!F108</f>
        <v>Москва</v>
      </c>
    </row>
    <row r="248" spans="1:7" x14ac:dyDescent="0.25">
      <c r="A248">
        <f>'[8]BP-Men'!A109</f>
        <v>110</v>
      </c>
      <c r="B248">
        <f>'[8]BP-Men'!B109</f>
        <v>202.5</v>
      </c>
      <c r="C248" t="str">
        <f>'[8]BP-Men'!C109</f>
        <v>Терентьев Александр/69</v>
      </c>
      <c r="D248" t="str">
        <f t="shared" si="19"/>
        <v>69</v>
      </c>
      <c r="E248" t="str">
        <f>'[8]BP-Men'!D109</f>
        <v>Березовский</v>
      </c>
      <c r="F248" s="10" t="str">
        <f>'[8]BP-Men'!E109</f>
        <v>24.08.2014</v>
      </c>
      <c r="G248" t="str">
        <f>'[8]BP-Men'!F109</f>
        <v>Москва</v>
      </c>
    </row>
    <row r="249" spans="1:7" x14ac:dyDescent="0.25">
      <c r="A249">
        <f>'[8]BP-Men'!A110</f>
        <v>125</v>
      </c>
      <c r="B249">
        <f>'[8]BP-Men'!B110</f>
        <v>240</v>
      </c>
      <c r="C249" t="str">
        <f>'[8]BP-Men'!C110</f>
        <v>Пономарев Александр/67</v>
      </c>
      <c r="D249" t="str">
        <f t="shared" si="19"/>
        <v>67</v>
      </c>
      <c r="E249" t="str">
        <f>'[8]BP-Men'!D110</f>
        <v>Екатеринбург</v>
      </c>
      <c r="F249" s="10">
        <f>'[8]BP-Men'!E110</f>
        <v>41608</v>
      </c>
      <c r="G249" t="str">
        <f>'[8]BP-Men'!F110</f>
        <v>Екатеринбург</v>
      </c>
    </row>
    <row r="250" spans="1:7" x14ac:dyDescent="0.25">
      <c r="A250">
        <f>'[8]BP-Men'!A111</f>
        <v>140</v>
      </c>
      <c r="B250">
        <f>'[8]BP-Men'!B111</f>
        <v>0</v>
      </c>
      <c r="C250">
        <f>'[8]BP-Men'!C111</f>
        <v>0</v>
      </c>
      <c r="D250" t="str">
        <f t="shared" si="19"/>
        <v>0</v>
      </c>
      <c r="E250">
        <f>'[8]BP-Men'!D111</f>
        <v>0</v>
      </c>
      <c r="F250" s="10">
        <f>'[8]BP-Men'!E111</f>
        <v>0</v>
      </c>
      <c r="G250">
        <f>'[8]BP-Men'!F111</f>
        <v>0</v>
      </c>
    </row>
    <row r="251" spans="1:7" s="16" customFormat="1" x14ac:dyDescent="0.25">
      <c r="A251" s="16" t="str">
        <f>'[8]BP-Men'!A112</f>
        <v>140+</v>
      </c>
      <c r="B251" s="16">
        <f>'[8]BP-Men'!B112</f>
        <v>270</v>
      </c>
      <c r="C251" s="16" t="str">
        <f>'[8]BP-Men'!C112</f>
        <v>Бергерт Лев/66</v>
      </c>
      <c r="D251" s="16" t="str">
        <f t="shared" si="19"/>
        <v>66</v>
      </c>
      <c r="E251" s="16" t="str">
        <f>'[8]BP-Men'!D112</f>
        <v>Заволжье</v>
      </c>
      <c r="F251" s="17" t="str">
        <f>'[8]BP-Men'!E112</f>
        <v>24.08.2014</v>
      </c>
      <c r="G251" s="16" t="str">
        <f>'[8]BP-Men'!F112</f>
        <v>Москва</v>
      </c>
    </row>
    <row r="252" spans="1:7" x14ac:dyDescent="0.25">
      <c r="A252">
        <f>'[8]BP-Men'!A113</f>
        <v>0</v>
      </c>
      <c r="B252">
        <f>'[8]BP-Men'!B113</f>
        <v>0</v>
      </c>
      <c r="C252">
        <f>'[8]BP-Men'!C113</f>
        <v>0</v>
      </c>
      <c r="D252" t="str">
        <f t="shared" si="18"/>
        <v>0</v>
      </c>
      <c r="E252">
        <f>'[8]BP-Men'!D113</f>
        <v>0</v>
      </c>
      <c r="F252" s="10">
        <f>'[8]BP-Men'!E113</f>
        <v>0</v>
      </c>
      <c r="G252">
        <f>'[8]BP-Men'!F113</f>
        <v>0</v>
      </c>
    </row>
    <row r="253" spans="1:7" s="11" customFormat="1" x14ac:dyDescent="0.25">
      <c r="A253" s="11" t="s">
        <v>0</v>
      </c>
      <c r="B253" s="11">
        <v>1</v>
      </c>
      <c r="C253" s="11">
        <v>50</v>
      </c>
      <c r="D253" s="11" t="str">
        <f>'[8]BP-Men'!B114</f>
        <v>МУЖЧИНЫ - МАСТЕРС  3(50 - 54)</v>
      </c>
      <c r="F253" s="13"/>
    </row>
    <row r="254" spans="1:7" x14ac:dyDescent="0.25">
      <c r="A254">
        <f>'[8]BP-Men'!A115</f>
        <v>52</v>
      </c>
      <c r="B254">
        <f>'[8]BP-Men'!B115</f>
        <v>0</v>
      </c>
      <c r="C254">
        <f>'[8]BP-Men'!C115</f>
        <v>0</v>
      </c>
      <c r="D254" t="str">
        <f t="shared" si="18"/>
        <v>0</v>
      </c>
      <c r="E254">
        <f>'[8]BP-Men'!D115</f>
        <v>0</v>
      </c>
      <c r="F254" s="10">
        <f>'[8]BP-Men'!E115</f>
        <v>0</v>
      </c>
      <c r="G254">
        <f>'[8]BP-Men'!F115</f>
        <v>0</v>
      </c>
    </row>
    <row r="255" spans="1:7" x14ac:dyDescent="0.25">
      <c r="A255">
        <f>'[8]BP-Men'!A116</f>
        <v>56</v>
      </c>
      <c r="B255">
        <f>'[8]BP-Men'!B116</f>
        <v>0</v>
      </c>
      <c r="C255">
        <f>'[8]BP-Men'!C116</f>
        <v>0</v>
      </c>
      <c r="D255" t="str">
        <f t="shared" si="18"/>
        <v>0</v>
      </c>
      <c r="E255">
        <f>'[8]BP-Men'!D116</f>
        <v>0</v>
      </c>
      <c r="F255" s="10">
        <f>'[8]BP-Men'!E116</f>
        <v>0</v>
      </c>
      <c r="G255">
        <f>'[8]BP-Men'!F116</f>
        <v>0</v>
      </c>
    </row>
    <row r="256" spans="1:7" x14ac:dyDescent="0.25">
      <c r="A256">
        <f>'[8]BP-Men'!A117</f>
        <v>60</v>
      </c>
      <c r="B256">
        <f>'[8]BP-Men'!B117</f>
        <v>0</v>
      </c>
      <c r="C256">
        <f>'[8]BP-Men'!C117</f>
        <v>0</v>
      </c>
      <c r="D256" t="str">
        <f t="shared" ref="D256:D265" si="20">RIGHT(C256,2)</f>
        <v>0</v>
      </c>
      <c r="E256">
        <f>'[8]BP-Men'!D117</f>
        <v>0</v>
      </c>
      <c r="F256" s="10">
        <f>'[8]BP-Men'!E117</f>
        <v>0</v>
      </c>
      <c r="G256">
        <f>'[8]BP-Men'!F117</f>
        <v>0</v>
      </c>
    </row>
    <row r="257" spans="1:7" x14ac:dyDescent="0.25">
      <c r="A257" t="str">
        <f>'[8]BP-Men'!A118</f>
        <v>67.5</v>
      </c>
      <c r="B257">
        <f>'[8]BP-Men'!B118</f>
        <v>0</v>
      </c>
      <c r="C257">
        <f>'[8]BP-Men'!C118</f>
        <v>0</v>
      </c>
      <c r="D257" t="str">
        <f t="shared" si="20"/>
        <v>0</v>
      </c>
      <c r="E257">
        <f>'[8]BP-Men'!D118</f>
        <v>0</v>
      </c>
      <c r="F257" s="10">
        <f>'[8]BP-Men'!E118</f>
        <v>0</v>
      </c>
      <c r="G257">
        <f>'[8]BP-Men'!F118</f>
        <v>0</v>
      </c>
    </row>
    <row r="258" spans="1:7" x14ac:dyDescent="0.25">
      <c r="A258">
        <f>'[8]BP-Men'!A119</f>
        <v>75</v>
      </c>
      <c r="B258">
        <f>'[8]BP-Men'!B119</f>
        <v>0</v>
      </c>
      <c r="C258">
        <f>'[8]BP-Men'!C119</f>
        <v>0</v>
      </c>
      <c r="D258" t="str">
        <f t="shared" si="20"/>
        <v>0</v>
      </c>
      <c r="E258">
        <f>'[8]BP-Men'!D119</f>
        <v>0</v>
      </c>
      <c r="F258" s="10">
        <f>'[8]BP-Men'!E119</f>
        <v>0</v>
      </c>
      <c r="G258">
        <f>'[8]BP-Men'!F119</f>
        <v>0</v>
      </c>
    </row>
    <row r="259" spans="1:7" x14ac:dyDescent="0.25">
      <c r="A259" t="str">
        <f>'[8]BP-Men'!A120</f>
        <v>82.5</v>
      </c>
      <c r="B259">
        <f>'[8]BP-Men'!B120</f>
        <v>162.5</v>
      </c>
      <c r="C259" t="str">
        <f>'[8]BP-Men'!C120</f>
        <v>Кожин Борис/60</v>
      </c>
      <c r="D259" t="str">
        <f t="shared" si="20"/>
        <v>60</v>
      </c>
      <c r="E259" t="str">
        <f>'[8]BP-Men'!D120</f>
        <v>Тюмень</v>
      </c>
      <c r="F259" s="10">
        <f>'[8]BP-Men'!E120</f>
        <v>41502</v>
      </c>
      <c r="G259" t="str">
        <f>'[8]BP-Men'!F120</f>
        <v>Новосибирск</v>
      </c>
    </row>
    <row r="260" spans="1:7" x14ac:dyDescent="0.25">
      <c r="A260">
        <f>'[8]BP-Men'!A121</f>
        <v>90</v>
      </c>
      <c r="B260">
        <f>'[8]BP-Men'!B121</f>
        <v>150</v>
      </c>
      <c r="C260" t="str">
        <f>'[8]BP-Men'!C121</f>
        <v>Левченко Михаил/60</v>
      </c>
      <c r="D260" t="str">
        <f t="shared" si="20"/>
        <v>60</v>
      </c>
      <c r="E260" t="str">
        <f>'[8]BP-Men'!D121</f>
        <v>Кемерово</v>
      </c>
      <c r="F260" s="10">
        <f>'[8]BP-Men'!E121</f>
        <v>41502</v>
      </c>
      <c r="G260" t="str">
        <f>'[8]BP-Men'!F121</f>
        <v>Новосибирск</v>
      </c>
    </row>
    <row r="261" spans="1:7" x14ac:dyDescent="0.25">
      <c r="A261">
        <f>'[8]BP-Men'!A122</f>
        <v>100</v>
      </c>
      <c r="B261">
        <f>'[8]BP-Men'!B122</f>
        <v>162.5</v>
      </c>
      <c r="C261" t="str">
        <f>'[8]BP-Men'!C122</f>
        <v>Франк Вячеслав/62</v>
      </c>
      <c r="D261" t="str">
        <f t="shared" si="20"/>
        <v>62</v>
      </c>
      <c r="E261" t="str">
        <f>'[8]BP-Men'!D122</f>
        <v>Павлово</v>
      </c>
      <c r="F261" s="10" t="str">
        <f>'[8]BP-Men'!E122</f>
        <v>24.08.2014</v>
      </c>
      <c r="G261" t="str">
        <f>'[8]BP-Men'!F122</f>
        <v>Москва</v>
      </c>
    </row>
    <row r="262" spans="1:7" x14ac:dyDescent="0.25">
      <c r="A262">
        <f>'[8]BP-Men'!A123</f>
        <v>110</v>
      </c>
      <c r="B262">
        <f>'[8]BP-Men'!B123</f>
        <v>200</v>
      </c>
      <c r="C262" t="str">
        <f>'[8]BP-Men'!C123</f>
        <v>Пивоваров Олег/63</v>
      </c>
      <c r="D262" t="str">
        <f t="shared" si="20"/>
        <v>63</v>
      </c>
      <c r="E262" t="str">
        <f>'[8]BP-Men'!D123</f>
        <v>Казань</v>
      </c>
      <c r="F262" s="10" t="str">
        <f>'[8]BP-Men'!E123</f>
        <v>24.08.2014</v>
      </c>
      <c r="G262" t="str">
        <f>'[8]BP-Men'!F123</f>
        <v>Москва</v>
      </c>
    </row>
    <row r="263" spans="1:7" x14ac:dyDescent="0.25">
      <c r="A263">
        <f>'[8]BP-Men'!A124</f>
        <v>125</v>
      </c>
      <c r="B263">
        <f>'[8]BP-Men'!B124</f>
        <v>195</v>
      </c>
      <c r="C263" t="str">
        <f>'[8]BP-Men'!C124</f>
        <v>Фахрутдинов Равиль/62</v>
      </c>
      <c r="D263" t="str">
        <f t="shared" si="20"/>
        <v>62</v>
      </c>
      <c r="E263" t="str">
        <f>'[8]BP-Men'!D124</f>
        <v>Екатеринбург</v>
      </c>
      <c r="F263" s="10" t="str">
        <f>'[8]BP-Men'!E124</f>
        <v>24.08.2014</v>
      </c>
      <c r="G263" t="str">
        <f>'[8]BP-Men'!F124</f>
        <v>Москва</v>
      </c>
    </row>
    <row r="264" spans="1:7" s="16" customFormat="1" x14ac:dyDescent="0.25">
      <c r="A264" s="16">
        <f>'[8]BP-Men'!A125</f>
        <v>140</v>
      </c>
      <c r="B264" s="16">
        <f>'[8]BP-Men'!B125</f>
        <v>0</v>
      </c>
      <c r="C264" s="16">
        <f>'[8]BP-Men'!C125</f>
        <v>0</v>
      </c>
      <c r="D264" s="16" t="str">
        <f t="shared" si="20"/>
        <v>0</v>
      </c>
      <c r="E264" s="16">
        <f>'[8]BP-Men'!D125</f>
        <v>0</v>
      </c>
      <c r="F264" s="17">
        <f>'[8]BP-Men'!E125</f>
        <v>0</v>
      </c>
      <c r="G264" s="16">
        <f>'[8]BP-Men'!F125</f>
        <v>0</v>
      </c>
    </row>
    <row r="265" spans="1:7" x14ac:dyDescent="0.25">
      <c r="A265" t="str">
        <f>'[8]BP-Men'!A126</f>
        <v>140+</v>
      </c>
      <c r="B265">
        <f>'[8]BP-Men'!B126</f>
        <v>0</v>
      </c>
      <c r="C265">
        <f>'[8]BP-Men'!C126</f>
        <v>0</v>
      </c>
      <c r="D265" t="str">
        <f t="shared" si="20"/>
        <v>0</v>
      </c>
      <c r="E265">
        <f>'[8]BP-Men'!D126</f>
        <v>0</v>
      </c>
      <c r="F265" s="10">
        <f>'[8]BP-Men'!E126</f>
        <v>0</v>
      </c>
      <c r="G265">
        <f>'[8]BP-Men'!F126</f>
        <v>0</v>
      </c>
    </row>
    <row r="266" spans="1:7" x14ac:dyDescent="0.25">
      <c r="A266">
        <f>'[8]BP-Men'!A127</f>
        <v>0</v>
      </c>
      <c r="B266">
        <f>'[8]BP-Men'!B127</f>
        <v>0</v>
      </c>
      <c r="C266">
        <f>'[8]BP-Men'!C127</f>
        <v>0</v>
      </c>
      <c r="D266" t="str">
        <f t="shared" si="18"/>
        <v>0</v>
      </c>
      <c r="E266">
        <f>'[8]BP-Men'!D127</f>
        <v>0</v>
      </c>
      <c r="F266" s="10">
        <f>'[8]BP-Men'!E127</f>
        <v>0</v>
      </c>
      <c r="G266">
        <f>'[8]BP-Men'!F127</f>
        <v>0</v>
      </c>
    </row>
    <row r="267" spans="1:7" s="11" customFormat="1" x14ac:dyDescent="0.25">
      <c r="A267" s="11" t="s">
        <v>0</v>
      </c>
      <c r="B267" s="11">
        <v>1</v>
      </c>
      <c r="C267" s="11">
        <v>55</v>
      </c>
      <c r="D267" s="11" t="str">
        <f>'[8]BP-Men'!B128</f>
        <v>МУЖЧИНЫ - МАСТЕРС  4(55 - 59)</v>
      </c>
      <c r="F267" s="13"/>
    </row>
    <row r="268" spans="1:7" x14ac:dyDescent="0.25">
      <c r="A268">
        <f>'[8]BP-Men'!A129</f>
        <v>52</v>
      </c>
      <c r="B268">
        <f>'[8]BP-Men'!B129</f>
        <v>0</v>
      </c>
      <c r="C268">
        <f>'[8]BP-Men'!C129</f>
        <v>0</v>
      </c>
      <c r="D268" t="str">
        <f t="shared" si="18"/>
        <v>0</v>
      </c>
      <c r="E268">
        <f>'[8]BP-Men'!D129</f>
        <v>0</v>
      </c>
      <c r="F268" s="10">
        <f>'[8]BP-Men'!E129</f>
        <v>0</v>
      </c>
      <c r="G268">
        <f>'[8]BP-Men'!F129</f>
        <v>0</v>
      </c>
    </row>
    <row r="269" spans="1:7" x14ac:dyDescent="0.25">
      <c r="A269">
        <f>'[8]BP-Men'!A130</f>
        <v>56</v>
      </c>
      <c r="B269">
        <f>'[8]BP-Men'!B130</f>
        <v>0</v>
      </c>
      <c r="C269">
        <f>'[8]BP-Men'!C130</f>
        <v>0</v>
      </c>
      <c r="D269" t="str">
        <f t="shared" si="18"/>
        <v>0</v>
      </c>
      <c r="E269">
        <f>'[8]BP-Men'!D130</f>
        <v>0</v>
      </c>
      <c r="F269" s="10">
        <f>'[8]BP-Men'!E130</f>
        <v>0</v>
      </c>
      <c r="G269">
        <f>'[8]BP-Men'!F130</f>
        <v>0</v>
      </c>
    </row>
    <row r="270" spans="1:7" x14ac:dyDescent="0.25">
      <c r="A270">
        <f>'[8]BP-Men'!A131</f>
        <v>60</v>
      </c>
      <c r="B270">
        <f>'[8]BP-Men'!B131</f>
        <v>0</v>
      </c>
      <c r="C270">
        <f>'[8]BP-Men'!C131</f>
        <v>0</v>
      </c>
      <c r="D270" t="str">
        <f t="shared" ref="D270:D279" si="21">RIGHT(C270,2)</f>
        <v>0</v>
      </c>
      <c r="E270">
        <f>'[8]BP-Men'!D131</f>
        <v>0</v>
      </c>
      <c r="F270" s="10">
        <f>'[8]BP-Men'!E131</f>
        <v>0</v>
      </c>
      <c r="G270">
        <f>'[8]BP-Men'!F131</f>
        <v>0</v>
      </c>
    </row>
    <row r="271" spans="1:7" x14ac:dyDescent="0.25">
      <c r="A271">
        <f>'[8]BP-Men'!A132</f>
        <v>67.5</v>
      </c>
      <c r="B271">
        <f>'[8]BP-Men'!B132</f>
        <v>0</v>
      </c>
      <c r="C271">
        <f>'[8]BP-Men'!C132</f>
        <v>0</v>
      </c>
      <c r="D271" t="str">
        <f t="shared" si="21"/>
        <v>0</v>
      </c>
      <c r="E271">
        <f>'[8]BP-Men'!D132</f>
        <v>0</v>
      </c>
      <c r="F271" s="10">
        <f>'[8]BP-Men'!E132</f>
        <v>0</v>
      </c>
      <c r="G271">
        <f>'[8]BP-Men'!F132</f>
        <v>0</v>
      </c>
    </row>
    <row r="272" spans="1:7" x14ac:dyDescent="0.25">
      <c r="A272">
        <f>'[8]BP-Men'!A133</f>
        <v>75</v>
      </c>
      <c r="B272">
        <f>'[8]BP-Men'!B133</f>
        <v>0</v>
      </c>
      <c r="C272">
        <f>'[8]BP-Men'!C133</f>
        <v>0</v>
      </c>
      <c r="D272" t="str">
        <f t="shared" si="21"/>
        <v>0</v>
      </c>
      <c r="E272">
        <f>'[8]BP-Men'!D133</f>
        <v>0</v>
      </c>
      <c r="F272" s="10">
        <f>'[8]BP-Men'!E133</f>
        <v>0</v>
      </c>
      <c r="G272">
        <f>'[8]BP-Men'!F133</f>
        <v>0</v>
      </c>
    </row>
    <row r="273" spans="1:7" x14ac:dyDescent="0.25">
      <c r="A273">
        <f>'[8]BP-Men'!A134</f>
        <v>82.5</v>
      </c>
      <c r="B273">
        <f>'[8]BP-Men'!B134</f>
        <v>162.5</v>
      </c>
      <c r="C273" t="str">
        <f>'[8]BP-Men'!C134</f>
        <v>Петров Игорь/</v>
      </c>
      <c r="D273" t="str">
        <f t="shared" si="21"/>
        <v>ь/</v>
      </c>
      <c r="E273" t="str">
        <f>'[8]BP-Men'!D134</f>
        <v>Санкт-Петербург</v>
      </c>
      <c r="F273" s="10">
        <f>'[8]BP-Men'!E134</f>
        <v>41342</v>
      </c>
      <c r="G273" t="str">
        <f>'[8]BP-Men'!F134</f>
        <v>Вологда</v>
      </c>
    </row>
    <row r="274" spans="1:7" x14ac:dyDescent="0.25">
      <c r="A274">
        <f>'[8]BP-Men'!A135</f>
        <v>90</v>
      </c>
      <c r="B274">
        <f>'[8]BP-Men'!B135</f>
        <v>190</v>
      </c>
      <c r="C274" t="str">
        <f>'[8]BP-Men'!C135</f>
        <v>Макаров Александр/57</v>
      </c>
      <c r="D274" t="str">
        <f t="shared" si="21"/>
        <v>57</v>
      </c>
      <c r="E274" t="str">
        <f>'[8]BP-Men'!D135</f>
        <v>Железногорск</v>
      </c>
      <c r="F274" s="10">
        <f>'[8]BP-Men'!E135</f>
        <v>41619</v>
      </c>
      <c r="G274" t="str">
        <f>'[8]BP-Men'!F135</f>
        <v>Курск</v>
      </c>
    </row>
    <row r="275" spans="1:7" x14ac:dyDescent="0.25">
      <c r="A275">
        <f>'[8]BP-Men'!A136</f>
        <v>100</v>
      </c>
      <c r="B275">
        <f>'[8]BP-Men'!B136</f>
        <v>165</v>
      </c>
      <c r="C275" t="str">
        <f>'[8]BP-Men'!C136</f>
        <v>Чернозипунников Евгений/56</v>
      </c>
      <c r="D275" t="str">
        <f t="shared" si="21"/>
        <v>56</v>
      </c>
      <c r="E275" t="str">
        <f>'[8]BP-Men'!D136</f>
        <v>Екатеринбург</v>
      </c>
      <c r="F275" s="10" t="str">
        <f>'[8]BP-Men'!E136</f>
        <v>09.08.2014</v>
      </c>
      <c r="G275" t="str">
        <f>'[8]BP-Men'!F136</f>
        <v>Екатеринбург</v>
      </c>
    </row>
    <row r="276" spans="1:7" s="16" customFormat="1" x14ac:dyDescent="0.25">
      <c r="A276" s="16">
        <f>'[8]BP-Men'!A137</f>
        <v>110</v>
      </c>
      <c r="B276" s="16">
        <f>'[8]BP-Men'!B137</f>
        <v>0</v>
      </c>
      <c r="C276" s="16">
        <f>'[8]BP-Men'!C137</f>
        <v>0</v>
      </c>
      <c r="D276" s="16" t="str">
        <f t="shared" si="21"/>
        <v>0</v>
      </c>
      <c r="E276" s="16">
        <f>'[8]BP-Men'!D137</f>
        <v>0</v>
      </c>
      <c r="F276" s="17">
        <f>'[8]BP-Men'!E137</f>
        <v>0</v>
      </c>
      <c r="G276" s="16">
        <f>'[8]BP-Men'!F137</f>
        <v>0</v>
      </c>
    </row>
    <row r="277" spans="1:7" s="16" customFormat="1" x14ac:dyDescent="0.25">
      <c r="A277" s="16">
        <f>'[8]BP-Men'!A138</f>
        <v>125</v>
      </c>
      <c r="B277" s="16">
        <f>'[8]BP-Men'!B138</f>
        <v>0</v>
      </c>
      <c r="C277" s="16">
        <f>'[8]BP-Men'!C138</f>
        <v>0</v>
      </c>
      <c r="D277" s="16" t="str">
        <f t="shared" si="21"/>
        <v>0</v>
      </c>
      <c r="E277" s="16">
        <f>'[8]BP-Men'!D138</f>
        <v>0</v>
      </c>
      <c r="F277" s="17">
        <f>'[8]BP-Men'!E138</f>
        <v>0</v>
      </c>
      <c r="G277" s="16">
        <f>'[8]BP-Men'!F138</f>
        <v>0</v>
      </c>
    </row>
    <row r="278" spans="1:7" x14ac:dyDescent="0.25">
      <c r="A278">
        <f>'[8]BP-Men'!A139</f>
        <v>140</v>
      </c>
      <c r="B278">
        <f>'[8]BP-Men'!B139</f>
        <v>0</v>
      </c>
      <c r="C278">
        <f>'[8]BP-Men'!C139</f>
        <v>0</v>
      </c>
      <c r="D278" t="str">
        <f t="shared" si="21"/>
        <v>0</v>
      </c>
      <c r="E278">
        <f>'[8]BP-Men'!D139</f>
        <v>0</v>
      </c>
      <c r="F278" s="10">
        <f>'[8]BP-Men'!E139</f>
        <v>0</v>
      </c>
      <c r="G278">
        <f>'[8]BP-Men'!F139</f>
        <v>0</v>
      </c>
    </row>
    <row r="279" spans="1:7" x14ac:dyDescent="0.25">
      <c r="A279" t="str">
        <f>'[8]BP-Men'!A140</f>
        <v>140+</v>
      </c>
      <c r="B279">
        <f>'[8]BP-Men'!B140</f>
        <v>0</v>
      </c>
      <c r="C279">
        <f>'[8]BP-Men'!C140</f>
        <v>0</v>
      </c>
      <c r="D279" t="str">
        <f t="shared" si="21"/>
        <v>0</v>
      </c>
      <c r="E279">
        <f>'[8]BP-Men'!D140</f>
        <v>0</v>
      </c>
      <c r="F279" s="10">
        <f>'[8]BP-Men'!E140</f>
        <v>0</v>
      </c>
      <c r="G279">
        <f>'[8]BP-Men'!F140</f>
        <v>0</v>
      </c>
    </row>
    <row r="280" spans="1:7" x14ac:dyDescent="0.25">
      <c r="A280">
        <f>'[8]BP-Men'!A141</f>
        <v>0</v>
      </c>
      <c r="B280">
        <f>'[8]BP-Men'!B141</f>
        <v>0</v>
      </c>
      <c r="C280">
        <f>'[8]BP-Men'!C141</f>
        <v>0</v>
      </c>
      <c r="D280" t="str">
        <f t="shared" si="18"/>
        <v>0</v>
      </c>
      <c r="E280">
        <f>'[8]BP-Men'!D141</f>
        <v>0</v>
      </c>
      <c r="F280" s="10">
        <f>'[8]BP-Men'!E141</f>
        <v>0</v>
      </c>
      <c r="G280">
        <f>'[8]BP-Men'!F141</f>
        <v>0</v>
      </c>
    </row>
    <row r="281" spans="1:7" s="11" customFormat="1" x14ac:dyDescent="0.25">
      <c r="A281" s="11" t="s">
        <v>0</v>
      </c>
      <c r="B281" s="11">
        <v>1</v>
      </c>
      <c r="C281" s="11">
        <v>60</v>
      </c>
      <c r="D281" s="11" t="str">
        <f>'[8]BP-Men'!B142</f>
        <v>МУЖЧИНЫ - МАСТЕРС  5(60 - 64)</v>
      </c>
      <c r="F281" s="13"/>
    </row>
    <row r="282" spans="1:7" x14ac:dyDescent="0.25">
      <c r="A282">
        <f>'[8]BP-Men'!A143</f>
        <v>52</v>
      </c>
      <c r="B282">
        <f>'[8]BP-Men'!B143</f>
        <v>0</v>
      </c>
      <c r="C282">
        <f>'[8]BP-Men'!C143</f>
        <v>0</v>
      </c>
      <c r="D282" t="str">
        <f t="shared" si="18"/>
        <v>0</v>
      </c>
      <c r="E282">
        <f>'[8]BP-Men'!D143</f>
        <v>0</v>
      </c>
      <c r="F282" s="10">
        <f>'[8]BP-Men'!E143</f>
        <v>0</v>
      </c>
      <c r="G282">
        <f>'[8]BP-Men'!F143</f>
        <v>0</v>
      </c>
    </row>
    <row r="283" spans="1:7" x14ac:dyDescent="0.25">
      <c r="A283">
        <f>'[8]BP-Men'!A144</f>
        <v>56</v>
      </c>
      <c r="B283">
        <f>'[8]BP-Men'!B144</f>
        <v>0</v>
      </c>
      <c r="C283">
        <f>'[8]BP-Men'!C144</f>
        <v>0</v>
      </c>
      <c r="D283" t="str">
        <f t="shared" si="18"/>
        <v>0</v>
      </c>
      <c r="E283">
        <f>'[8]BP-Men'!D144</f>
        <v>0</v>
      </c>
      <c r="F283" s="10">
        <f>'[8]BP-Men'!E144</f>
        <v>0</v>
      </c>
      <c r="G283">
        <f>'[8]BP-Men'!F144</f>
        <v>0</v>
      </c>
    </row>
    <row r="284" spans="1:7" x14ac:dyDescent="0.25">
      <c r="A284">
        <f>'[8]BP-Men'!A145</f>
        <v>60</v>
      </c>
      <c r="B284">
        <f>'[8]BP-Men'!B145</f>
        <v>0</v>
      </c>
      <c r="C284">
        <f>'[8]BP-Men'!C145</f>
        <v>0</v>
      </c>
      <c r="D284" t="str">
        <f t="shared" ref="D284:D293" si="22">RIGHT(C284,2)</f>
        <v>0</v>
      </c>
      <c r="E284">
        <f>'[8]BP-Men'!D145</f>
        <v>0</v>
      </c>
      <c r="F284" s="10">
        <f>'[8]BP-Men'!E145</f>
        <v>0</v>
      </c>
      <c r="G284">
        <f>'[8]BP-Men'!F145</f>
        <v>0</v>
      </c>
    </row>
    <row r="285" spans="1:7" x14ac:dyDescent="0.25">
      <c r="A285">
        <f>'[8]BP-Men'!A146</f>
        <v>67.5</v>
      </c>
      <c r="B285">
        <f>'[8]BP-Men'!B146</f>
        <v>0</v>
      </c>
      <c r="C285">
        <f>'[8]BP-Men'!C146</f>
        <v>0</v>
      </c>
      <c r="D285" t="str">
        <f t="shared" si="22"/>
        <v>0</v>
      </c>
      <c r="E285">
        <f>'[8]BP-Men'!D146</f>
        <v>0</v>
      </c>
      <c r="F285" s="10">
        <f>'[8]BP-Men'!E146</f>
        <v>0</v>
      </c>
      <c r="G285">
        <f>'[8]BP-Men'!F146</f>
        <v>0</v>
      </c>
    </row>
    <row r="286" spans="1:7" x14ac:dyDescent="0.25">
      <c r="A286">
        <f>'[8]BP-Men'!A147</f>
        <v>75</v>
      </c>
      <c r="B286">
        <f>'[8]BP-Men'!B147</f>
        <v>0</v>
      </c>
      <c r="C286">
        <f>'[8]BP-Men'!C147</f>
        <v>0</v>
      </c>
      <c r="D286" t="str">
        <f t="shared" si="22"/>
        <v>0</v>
      </c>
      <c r="E286">
        <f>'[8]BP-Men'!D147</f>
        <v>0</v>
      </c>
      <c r="F286" s="10">
        <f>'[8]BP-Men'!E147</f>
        <v>0</v>
      </c>
      <c r="G286">
        <f>'[8]BP-Men'!F147</f>
        <v>0</v>
      </c>
    </row>
    <row r="287" spans="1:7" x14ac:dyDescent="0.25">
      <c r="A287">
        <f>'[8]BP-Men'!A148</f>
        <v>82.5</v>
      </c>
      <c r="B287">
        <f>'[8]BP-Men'!B148</f>
        <v>150</v>
      </c>
      <c r="C287" t="str">
        <f>'[8]BP-Men'!C148</f>
        <v>Гончаров Сергей/52</v>
      </c>
      <c r="D287" t="str">
        <f t="shared" si="22"/>
        <v>52</v>
      </c>
      <c r="E287" t="str">
        <f>'[8]BP-Men'!D148</f>
        <v>Москва</v>
      </c>
      <c r="F287" s="10" t="str">
        <f>'[8]BP-Men'!E148</f>
        <v>24.08.2014</v>
      </c>
      <c r="G287" t="str">
        <f>'[8]BP-Men'!F148</f>
        <v>Москва</v>
      </c>
    </row>
    <row r="288" spans="1:7" x14ac:dyDescent="0.25">
      <c r="A288">
        <f>'[8]BP-Men'!A149</f>
        <v>90</v>
      </c>
      <c r="B288">
        <f>'[8]BP-Men'!B149</f>
        <v>145</v>
      </c>
      <c r="C288" t="str">
        <f>'[8]BP-Men'!C149</f>
        <v>Верхоланцев Валерий/53</v>
      </c>
      <c r="D288" t="str">
        <f t="shared" si="22"/>
        <v>53</v>
      </c>
      <c r="E288" t="str">
        <f>'[8]BP-Men'!D149</f>
        <v>Томск</v>
      </c>
      <c r="F288" s="10" t="str">
        <f>'[8]BP-Men'!E149</f>
        <v>04.07.2014</v>
      </c>
      <c r="G288" t="str">
        <f>'[8]BP-Men'!F149</f>
        <v>Новосибирск</v>
      </c>
    </row>
    <row r="289" spans="1:7" x14ac:dyDescent="0.25">
      <c r="A289">
        <f>'[8]BP-Men'!A150</f>
        <v>100</v>
      </c>
      <c r="B289">
        <f>'[8]BP-Men'!B150</f>
        <v>0</v>
      </c>
      <c r="C289">
        <f>'[8]BP-Men'!C150</f>
        <v>0</v>
      </c>
      <c r="D289" t="str">
        <f t="shared" si="22"/>
        <v>0</v>
      </c>
      <c r="E289">
        <f>'[8]BP-Men'!D150</f>
        <v>0</v>
      </c>
      <c r="F289" s="10">
        <f>'[8]BP-Men'!E150</f>
        <v>0</v>
      </c>
      <c r="G289">
        <f>'[8]BP-Men'!F150</f>
        <v>0</v>
      </c>
    </row>
    <row r="290" spans="1:7" s="16" customFormat="1" x14ac:dyDescent="0.25">
      <c r="A290" s="16">
        <f>'[8]BP-Men'!A151</f>
        <v>110</v>
      </c>
      <c r="B290" s="16">
        <f>'[8]BP-Men'!B151</f>
        <v>0</v>
      </c>
      <c r="C290" s="16">
        <f>'[8]BP-Men'!C151</f>
        <v>0</v>
      </c>
      <c r="D290" s="16" t="str">
        <f t="shared" si="22"/>
        <v>0</v>
      </c>
      <c r="E290" s="16">
        <f>'[8]BP-Men'!D151</f>
        <v>0</v>
      </c>
      <c r="F290" s="17">
        <f>'[8]BP-Men'!E151</f>
        <v>0</v>
      </c>
      <c r="G290" s="16">
        <f>'[8]BP-Men'!F151</f>
        <v>0</v>
      </c>
    </row>
    <row r="291" spans="1:7" x14ac:dyDescent="0.25">
      <c r="A291">
        <f>'[8]BP-Men'!A152</f>
        <v>125</v>
      </c>
      <c r="B291">
        <f>'[8]BP-Men'!B152</f>
        <v>0</v>
      </c>
      <c r="C291">
        <f>'[8]BP-Men'!C152</f>
        <v>0</v>
      </c>
      <c r="D291" t="str">
        <f t="shared" si="22"/>
        <v>0</v>
      </c>
      <c r="E291">
        <f>'[8]BP-Men'!D152</f>
        <v>0</v>
      </c>
      <c r="F291" s="10">
        <f>'[8]BP-Men'!E152</f>
        <v>0</v>
      </c>
      <c r="G291">
        <f>'[8]BP-Men'!F152</f>
        <v>0</v>
      </c>
    </row>
    <row r="292" spans="1:7" x14ac:dyDescent="0.25">
      <c r="A292">
        <f>'[8]BP-Men'!A153</f>
        <v>140</v>
      </c>
      <c r="B292">
        <f>'[8]BP-Men'!B153</f>
        <v>0</v>
      </c>
      <c r="C292">
        <f>'[8]BP-Men'!C153</f>
        <v>0</v>
      </c>
      <c r="D292" t="str">
        <f t="shared" si="22"/>
        <v>0</v>
      </c>
      <c r="E292">
        <f>'[8]BP-Men'!D153</f>
        <v>0</v>
      </c>
      <c r="F292" s="10">
        <f>'[8]BP-Men'!E153</f>
        <v>0</v>
      </c>
      <c r="G292">
        <f>'[8]BP-Men'!F153</f>
        <v>0</v>
      </c>
    </row>
    <row r="293" spans="1:7" x14ac:dyDescent="0.25">
      <c r="A293" t="str">
        <f>'[8]BP-Men'!A154</f>
        <v>140+</v>
      </c>
      <c r="B293">
        <f>'[8]BP-Men'!B154</f>
        <v>0</v>
      </c>
      <c r="C293">
        <f>'[8]BP-Men'!C154</f>
        <v>0</v>
      </c>
      <c r="D293" t="str">
        <f t="shared" si="22"/>
        <v>0</v>
      </c>
      <c r="E293">
        <f>'[8]BP-Men'!D154</f>
        <v>0</v>
      </c>
      <c r="F293" s="10">
        <f>'[8]BP-Men'!E154</f>
        <v>0</v>
      </c>
      <c r="G293">
        <f>'[8]BP-Men'!F154</f>
        <v>0</v>
      </c>
    </row>
    <row r="294" spans="1:7" x14ac:dyDescent="0.25">
      <c r="A294">
        <f>'[8]BP-Men'!A155</f>
        <v>0</v>
      </c>
      <c r="B294">
        <f>'[8]BP-Men'!B155</f>
        <v>0</v>
      </c>
      <c r="C294">
        <f>'[8]BP-Men'!C155</f>
        <v>0</v>
      </c>
      <c r="D294" t="str">
        <f t="shared" si="18"/>
        <v>0</v>
      </c>
      <c r="E294">
        <f>'[8]BP-Men'!D155</f>
        <v>0</v>
      </c>
      <c r="F294" s="10">
        <f>'[8]BP-Men'!E155</f>
        <v>0</v>
      </c>
      <c r="G294">
        <f>'[8]BP-Men'!F155</f>
        <v>0</v>
      </c>
    </row>
    <row r="295" spans="1:7" s="11" customFormat="1" x14ac:dyDescent="0.25">
      <c r="A295" s="11" t="s">
        <v>0</v>
      </c>
      <c r="B295" s="11">
        <v>1</v>
      </c>
      <c r="C295" s="11">
        <v>65</v>
      </c>
      <c r="D295" s="11" t="str">
        <f>'[8]BP-Men'!B156</f>
        <v>МУЖЧИНЫ - МАСТЕРС  6(65 - 69)</v>
      </c>
      <c r="F295" s="13"/>
    </row>
    <row r="296" spans="1:7" x14ac:dyDescent="0.25">
      <c r="A296">
        <f>'[8]BP-Men'!A157</f>
        <v>52</v>
      </c>
      <c r="B296">
        <f>'[8]BP-Men'!B157</f>
        <v>0</v>
      </c>
      <c r="C296">
        <f>'[8]BP-Men'!C157</f>
        <v>0</v>
      </c>
      <c r="D296" t="str">
        <f t="shared" si="18"/>
        <v>0</v>
      </c>
      <c r="E296">
        <f>'[8]BP-Men'!D157</f>
        <v>0</v>
      </c>
      <c r="F296" s="10">
        <f>'[8]BP-Men'!E157</f>
        <v>0</v>
      </c>
      <c r="G296">
        <f>'[8]BP-Men'!F157</f>
        <v>0</v>
      </c>
    </row>
    <row r="297" spans="1:7" x14ac:dyDescent="0.25">
      <c r="A297">
        <f>'[8]BP-Men'!A158</f>
        <v>56</v>
      </c>
      <c r="B297">
        <f>'[8]BP-Men'!B158</f>
        <v>0</v>
      </c>
      <c r="C297">
        <f>'[8]BP-Men'!C158</f>
        <v>0</v>
      </c>
      <c r="D297" t="str">
        <f t="shared" si="18"/>
        <v>0</v>
      </c>
      <c r="E297">
        <f>'[8]BP-Men'!D158</f>
        <v>0</v>
      </c>
      <c r="F297" s="10">
        <f>'[8]BP-Men'!E158</f>
        <v>0</v>
      </c>
      <c r="G297">
        <f>'[8]BP-Men'!F158</f>
        <v>0</v>
      </c>
    </row>
    <row r="298" spans="1:7" x14ac:dyDescent="0.25">
      <c r="A298">
        <f>'[8]BP-Men'!A159</f>
        <v>60</v>
      </c>
      <c r="B298">
        <f>'[8]BP-Men'!B159</f>
        <v>0</v>
      </c>
      <c r="C298">
        <f>'[8]BP-Men'!C159</f>
        <v>0</v>
      </c>
      <c r="D298" t="str">
        <f t="shared" ref="D298:D315" si="23">RIGHT(C298,2)</f>
        <v>0</v>
      </c>
      <c r="E298">
        <f>'[8]BP-Men'!D159</f>
        <v>0</v>
      </c>
      <c r="F298" s="10">
        <f>'[8]BP-Men'!E159</f>
        <v>0</v>
      </c>
      <c r="G298">
        <f>'[8]BP-Men'!F159</f>
        <v>0</v>
      </c>
    </row>
    <row r="299" spans="1:7" x14ac:dyDescent="0.25">
      <c r="A299">
        <f>'[8]BP-Men'!A160</f>
        <v>67.5</v>
      </c>
      <c r="B299">
        <f>'[8]BP-Men'!B160</f>
        <v>0</v>
      </c>
      <c r="C299">
        <f>'[8]BP-Men'!C160</f>
        <v>0</v>
      </c>
      <c r="D299" t="str">
        <f t="shared" si="23"/>
        <v>0</v>
      </c>
      <c r="E299">
        <f>'[8]BP-Men'!D160</f>
        <v>0</v>
      </c>
      <c r="F299" s="10">
        <f>'[8]BP-Men'!E160</f>
        <v>0</v>
      </c>
      <c r="G299">
        <f>'[8]BP-Men'!F160</f>
        <v>0</v>
      </c>
    </row>
    <row r="300" spans="1:7" x14ac:dyDescent="0.25">
      <c r="A300">
        <f>'[8]BP-Men'!A161</f>
        <v>75</v>
      </c>
      <c r="B300">
        <f>'[8]BP-Men'!B161</f>
        <v>0</v>
      </c>
      <c r="C300">
        <f>'[8]BP-Men'!C161</f>
        <v>0</v>
      </c>
      <c r="D300" t="str">
        <f t="shared" si="23"/>
        <v>0</v>
      </c>
      <c r="E300">
        <f>'[8]BP-Men'!D161</f>
        <v>0</v>
      </c>
      <c r="F300" s="10">
        <f>'[8]BP-Men'!E161</f>
        <v>0</v>
      </c>
      <c r="G300">
        <f>'[8]BP-Men'!F161</f>
        <v>0</v>
      </c>
    </row>
    <row r="301" spans="1:7" x14ac:dyDescent="0.25">
      <c r="A301" t="str">
        <f>'[8]BP-Men'!A162</f>
        <v>82.5</v>
      </c>
      <c r="B301">
        <f>'[8]BP-Men'!B162</f>
        <v>97.5</v>
      </c>
      <c r="C301" t="str">
        <f>'[8]BP-Men'!C162</f>
        <v>Журкин Евгений/45</v>
      </c>
      <c r="D301" t="str">
        <f t="shared" si="23"/>
        <v>45</v>
      </c>
      <c r="E301" t="str">
        <f>'[8]BP-Men'!D162</f>
        <v>Дмитров</v>
      </c>
      <c r="F301" s="10" t="str">
        <f>'[8]BP-Men'!E162</f>
        <v>24.08.2014</v>
      </c>
      <c r="G301" t="str">
        <f>'[8]BP-Men'!F162</f>
        <v>Москва</v>
      </c>
    </row>
    <row r="302" spans="1:7" s="16" customFormat="1" x14ac:dyDescent="0.25">
      <c r="A302" s="16">
        <f>'[8]BP-Men'!A163</f>
        <v>90</v>
      </c>
      <c r="B302" s="16">
        <f>'[8]BP-Men'!B163</f>
        <v>0</v>
      </c>
      <c r="C302" s="16">
        <f>'[8]BP-Men'!C163</f>
        <v>0</v>
      </c>
      <c r="D302" s="16" t="str">
        <f t="shared" ref="D302:D307" si="24">RIGHT(C302,2)</f>
        <v>0</v>
      </c>
      <c r="E302" s="16">
        <f>'[8]BP-Men'!D163</f>
        <v>0</v>
      </c>
      <c r="F302" s="17">
        <f>'[8]BP-Men'!E163</f>
        <v>0</v>
      </c>
      <c r="G302" s="16">
        <f>'[8]BP-Men'!F163</f>
        <v>0</v>
      </c>
    </row>
    <row r="303" spans="1:7" s="16" customFormat="1" x14ac:dyDescent="0.25">
      <c r="A303" s="16">
        <f>'[8]BP-Men'!A164</f>
        <v>100</v>
      </c>
      <c r="B303" s="16">
        <f>'[8]BP-Men'!B164</f>
        <v>135</v>
      </c>
      <c r="C303" s="16" t="str">
        <f>'[8]BP-Men'!C164</f>
        <v>Обмелюхин Геннадий/48</v>
      </c>
      <c r="D303" s="16" t="str">
        <f t="shared" si="24"/>
        <v>48</v>
      </c>
      <c r="E303" s="16" t="str">
        <f>'[8]BP-Men'!D164</f>
        <v>Серпухов</v>
      </c>
      <c r="F303" s="17" t="str">
        <f>'[8]BP-Men'!E164</f>
        <v>24.08.2014</v>
      </c>
      <c r="G303" s="16" t="str">
        <f>'[8]BP-Men'!F164</f>
        <v>Москва</v>
      </c>
    </row>
    <row r="304" spans="1:7" x14ac:dyDescent="0.25">
      <c r="A304">
        <f>'[8]BP-Men'!A165</f>
        <v>110</v>
      </c>
      <c r="B304">
        <f>'[8]BP-Men'!B165</f>
        <v>0</v>
      </c>
      <c r="C304">
        <f>'[8]BP-Men'!C165</f>
        <v>0</v>
      </c>
      <c r="D304" t="str">
        <f t="shared" si="24"/>
        <v>0</v>
      </c>
      <c r="E304">
        <f>'[8]BP-Men'!D165</f>
        <v>0</v>
      </c>
      <c r="F304" s="10">
        <f>'[8]BP-Men'!E165</f>
        <v>0</v>
      </c>
      <c r="G304">
        <f>'[8]BP-Men'!F165</f>
        <v>0</v>
      </c>
    </row>
    <row r="305" spans="1:7" x14ac:dyDescent="0.25">
      <c r="A305">
        <f>'[8]BP-Men'!A166</f>
        <v>125</v>
      </c>
      <c r="B305">
        <f>'[8]BP-Men'!B166</f>
        <v>0</v>
      </c>
      <c r="C305">
        <f>'[8]BP-Men'!C166</f>
        <v>0</v>
      </c>
      <c r="D305" t="str">
        <f t="shared" si="24"/>
        <v>0</v>
      </c>
      <c r="E305">
        <f>'[8]BP-Men'!D166</f>
        <v>0</v>
      </c>
      <c r="F305" s="10">
        <f>'[8]BP-Men'!E166</f>
        <v>0</v>
      </c>
      <c r="G305">
        <f>'[8]BP-Men'!F166</f>
        <v>0</v>
      </c>
    </row>
    <row r="306" spans="1:7" x14ac:dyDescent="0.25">
      <c r="A306">
        <f>'[8]BP-Men'!A167</f>
        <v>140</v>
      </c>
      <c r="B306">
        <f>'[8]BP-Men'!B167</f>
        <v>0</v>
      </c>
      <c r="C306">
        <f>'[8]BP-Men'!C167</f>
        <v>0</v>
      </c>
      <c r="D306" t="str">
        <f t="shared" si="24"/>
        <v>0</v>
      </c>
      <c r="E306">
        <f>'[8]BP-Men'!D167</f>
        <v>0</v>
      </c>
      <c r="F306" s="10">
        <f>'[8]BP-Men'!E167</f>
        <v>0</v>
      </c>
      <c r="G306">
        <f>'[8]BP-Men'!F167</f>
        <v>0</v>
      </c>
    </row>
    <row r="307" spans="1:7" x14ac:dyDescent="0.25">
      <c r="A307" t="str">
        <f>'[8]BP-Men'!A168</f>
        <v>140+</v>
      </c>
      <c r="B307">
        <f>'[8]BP-Men'!B168</f>
        <v>0</v>
      </c>
      <c r="C307">
        <f>'[8]BP-Men'!C168</f>
        <v>0</v>
      </c>
      <c r="D307" t="str">
        <f t="shared" si="24"/>
        <v>0</v>
      </c>
      <c r="E307">
        <f>'[8]BP-Men'!D168</f>
        <v>0</v>
      </c>
      <c r="F307" s="10">
        <f>'[8]BP-Men'!E168</f>
        <v>0</v>
      </c>
      <c r="G307">
        <f>'[8]BP-Men'!F168</f>
        <v>0</v>
      </c>
    </row>
    <row r="308" spans="1:7" x14ac:dyDescent="0.25">
      <c r="A308">
        <f>'[8]BP-Men'!A169</f>
        <v>0</v>
      </c>
      <c r="B308">
        <f>'[8]BP-Men'!B169</f>
        <v>0</v>
      </c>
      <c r="C308">
        <f>'[8]BP-Men'!C169</f>
        <v>0</v>
      </c>
      <c r="D308" t="str">
        <f t="shared" si="23"/>
        <v>0</v>
      </c>
      <c r="E308">
        <f>'[8]BP-Men'!D169</f>
        <v>0</v>
      </c>
      <c r="F308" s="10">
        <f>'[8]BP-Men'!E169</f>
        <v>0</v>
      </c>
      <c r="G308">
        <f>'[8]BP-Men'!F169</f>
        <v>0</v>
      </c>
    </row>
    <row r="309" spans="1:7" s="11" customFormat="1" x14ac:dyDescent="0.25">
      <c r="A309" s="11" t="s">
        <v>0</v>
      </c>
      <c r="B309" s="11">
        <v>1</v>
      </c>
      <c r="C309" s="11">
        <v>70</v>
      </c>
      <c r="D309" s="11" t="str">
        <f>'[8]BP-Men'!B170</f>
        <v>МУЖЧИНЫ - МАСТЕРС  7(70 - 74)</v>
      </c>
      <c r="F309" s="13"/>
    </row>
    <row r="310" spans="1:7" x14ac:dyDescent="0.25">
      <c r="A310">
        <f>'[8]BP-Men'!A171</f>
        <v>52</v>
      </c>
      <c r="B310">
        <f>'[8]BP-Men'!B171</f>
        <v>0</v>
      </c>
      <c r="C310">
        <f>'[8]BP-Men'!C171</f>
        <v>0</v>
      </c>
      <c r="D310" t="str">
        <f t="shared" si="23"/>
        <v>0</v>
      </c>
      <c r="E310">
        <f>'[8]BP-Men'!D171</f>
        <v>0</v>
      </c>
      <c r="F310" s="10">
        <f>'[8]BP-Men'!E171</f>
        <v>0</v>
      </c>
      <c r="G310">
        <f>'[8]BP-Men'!F171</f>
        <v>0</v>
      </c>
    </row>
    <row r="311" spans="1:7" x14ac:dyDescent="0.25">
      <c r="A311">
        <f>'[8]BP-Men'!A172</f>
        <v>56</v>
      </c>
      <c r="B311">
        <f>'[8]BP-Men'!B172</f>
        <v>0</v>
      </c>
      <c r="C311">
        <f>'[8]BP-Men'!C172</f>
        <v>0</v>
      </c>
      <c r="D311" t="str">
        <f t="shared" si="23"/>
        <v>0</v>
      </c>
      <c r="E311">
        <f>'[8]BP-Men'!D172</f>
        <v>0</v>
      </c>
      <c r="F311" s="10">
        <f>'[8]BP-Men'!E172</f>
        <v>0</v>
      </c>
      <c r="G311">
        <f>'[8]BP-Men'!F172</f>
        <v>0</v>
      </c>
    </row>
    <row r="312" spans="1:7" x14ac:dyDescent="0.25">
      <c r="A312">
        <f>'[8]BP-Men'!A173</f>
        <v>60</v>
      </c>
      <c r="B312">
        <f>'[8]BP-Men'!B173</f>
        <v>0</v>
      </c>
      <c r="C312">
        <f>'[8]BP-Men'!C173</f>
        <v>0</v>
      </c>
      <c r="D312" t="str">
        <f t="shared" si="23"/>
        <v>0</v>
      </c>
      <c r="E312">
        <f>'[8]BP-Men'!D173</f>
        <v>0</v>
      </c>
      <c r="F312" s="10">
        <f>'[8]BP-Men'!E173</f>
        <v>0</v>
      </c>
      <c r="G312">
        <f>'[8]BP-Men'!F173</f>
        <v>0</v>
      </c>
    </row>
    <row r="313" spans="1:7" x14ac:dyDescent="0.25">
      <c r="A313" t="str">
        <f>'[8]BP-Men'!A174</f>
        <v>67.5</v>
      </c>
      <c r="B313">
        <f>'[8]BP-Men'!B174</f>
        <v>102.5</v>
      </c>
      <c r="C313" t="str">
        <f>'[8]BP-Men'!C174</f>
        <v>Ким Мирон/41</v>
      </c>
      <c r="D313" t="str">
        <f t="shared" si="23"/>
        <v>41</v>
      </c>
      <c r="E313" t="str">
        <f>'[8]BP-Men'!D174</f>
        <v>Москва</v>
      </c>
      <c r="F313" s="10" t="str">
        <f>'[8]BP-Men'!E174</f>
        <v>24.08.2014</v>
      </c>
      <c r="G313" t="str">
        <f>'[8]BP-Men'!F174</f>
        <v>Москва</v>
      </c>
    </row>
    <row r="314" spans="1:7" x14ac:dyDescent="0.25">
      <c r="A314">
        <f>'[8]BP-Men'!A175</f>
        <v>75</v>
      </c>
      <c r="B314">
        <f>'[8]BP-Men'!B175</f>
        <v>0</v>
      </c>
      <c r="C314">
        <f>'[8]BP-Men'!C175</f>
        <v>0</v>
      </c>
      <c r="D314" t="str">
        <f t="shared" si="23"/>
        <v>0</v>
      </c>
      <c r="E314">
        <f>'[8]BP-Men'!D175</f>
        <v>0</v>
      </c>
      <c r="F314" s="10">
        <f>'[8]BP-Men'!E175</f>
        <v>0</v>
      </c>
      <c r="G314">
        <f>'[8]BP-Men'!F175</f>
        <v>0</v>
      </c>
    </row>
    <row r="315" spans="1:7" x14ac:dyDescent="0.25">
      <c r="A315">
        <f>'[8]BP-Men'!A176</f>
        <v>82.5</v>
      </c>
      <c r="B315">
        <f>'[8]BP-Men'!B176</f>
        <v>95</v>
      </c>
      <c r="C315" t="str">
        <f>'[8]BP-Men'!C176</f>
        <v>Санников Владислав/38</v>
      </c>
      <c r="D315" t="str">
        <f t="shared" si="23"/>
        <v>38</v>
      </c>
      <c r="E315" t="str">
        <f>'[8]BP-Men'!D176</f>
        <v>Королев</v>
      </c>
      <c r="F315" s="10">
        <f>'[8]BP-Men'!E176</f>
        <v>41257</v>
      </c>
      <c r="G315" t="str">
        <f>'[8]BP-Men'!F176</f>
        <v>Суздаль</v>
      </c>
    </row>
    <row r="316" spans="1:7" x14ac:dyDescent="0.25">
      <c r="A316">
        <f>'[8]BP-Men'!A177</f>
        <v>90</v>
      </c>
      <c r="B316">
        <f>'[8]BP-Men'!B177</f>
        <v>0</v>
      </c>
      <c r="C316">
        <f>'[8]BP-Men'!C177</f>
        <v>0</v>
      </c>
      <c r="D316" t="str">
        <f t="shared" ref="D316:D322" si="25">RIGHT(C316,2)</f>
        <v>0</v>
      </c>
      <c r="E316">
        <f>'[8]BP-Men'!D177</f>
        <v>0</v>
      </c>
      <c r="F316" s="10">
        <f>'[8]BP-Men'!E177</f>
        <v>0</v>
      </c>
      <c r="G316">
        <f>'[8]BP-Men'!F177</f>
        <v>0</v>
      </c>
    </row>
    <row r="317" spans="1:7" x14ac:dyDescent="0.25">
      <c r="A317">
        <f>'[8]BP-Men'!A178</f>
        <v>100</v>
      </c>
      <c r="B317">
        <f>'[8]BP-Men'!B178</f>
        <v>0</v>
      </c>
      <c r="C317">
        <f>'[8]BP-Men'!C178</f>
        <v>0</v>
      </c>
      <c r="D317" t="str">
        <f t="shared" si="25"/>
        <v>0</v>
      </c>
      <c r="E317">
        <f>'[8]BP-Men'!D178</f>
        <v>0</v>
      </c>
      <c r="F317" s="10">
        <f>'[8]BP-Men'!E178</f>
        <v>0</v>
      </c>
      <c r="G317">
        <f>'[8]BP-Men'!F178</f>
        <v>0</v>
      </c>
    </row>
    <row r="318" spans="1:7" x14ac:dyDescent="0.25">
      <c r="A318">
        <f>'[8]BP-Men'!A179</f>
        <v>110</v>
      </c>
      <c r="B318">
        <f>'[8]BP-Men'!B179</f>
        <v>0</v>
      </c>
      <c r="C318">
        <f>'[8]BP-Men'!C179</f>
        <v>0</v>
      </c>
      <c r="D318" t="str">
        <f t="shared" si="25"/>
        <v>0</v>
      </c>
      <c r="E318">
        <f>'[8]BP-Men'!D179</f>
        <v>0</v>
      </c>
      <c r="F318" s="10">
        <f>'[8]BP-Men'!E179</f>
        <v>0</v>
      </c>
      <c r="G318">
        <f>'[8]BP-Men'!F179</f>
        <v>0</v>
      </c>
    </row>
    <row r="319" spans="1:7" x14ac:dyDescent="0.25">
      <c r="A319">
        <f>'[8]BP-Men'!A180</f>
        <v>125</v>
      </c>
      <c r="B319">
        <f>'[8]BP-Men'!B180</f>
        <v>0</v>
      </c>
      <c r="C319">
        <f>'[8]BP-Men'!C180</f>
        <v>0</v>
      </c>
      <c r="D319" t="str">
        <f t="shared" si="25"/>
        <v>0</v>
      </c>
      <c r="E319">
        <f>'[8]BP-Men'!D180</f>
        <v>0</v>
      </c>
      <c r="F319" s="10">
        <f>'[8]BP-Men'!E180</f>
        <v>0</v>
      </c>
      <c r="G319">
        <f>'[8]BP-Men'!F180</f>
        <v>0</v>
      </c>
    </row>
    <row r="320" spans="1:7" x14ac:dyDescent="0.25">
      <c r="A320">
        <f>'[8]BP-Men'!A181</f>
        <v>140</v>
      </c>
      <c r="B320">
        <f>'[8]BP-Men'!B181</f>
        <v>0</v>
      </c>
      <c r="C320">
        <f>'[8]BP-Men'!C181</f>
        <v>0</v>
      </c>
      <c r="D320" t="str">
        <f t="shared" si="25"/>
        <v>0</v>
      </c>
      <c r="E320">
        <f>'[8]BP-Men'!D181</f>
        <v>0</v>
      </c>
      <c r="F320" s="10">
        <f>'[8]BP-Men'!E181</f>
        <v>0</v>
      </c>
      <c r="G320">
        <f>'[8]BP-Men'!F181</f>
        <v>0</v>
      </c>
    </row>
    <row r="321" spans="1:7" x14ac:dyDescent="0.25">
      <c r="A321" t="str">
        <f>'[8]BP-Men'!A182</f>
        <v>140+</v>
      </c>
      <c r="B321">
        <f>'[8]BP-Men'!B182</f>
        <v>0</v>
      </c>
      <c r="C321">
        <f>'[8]BP-Men'!C182</f>
        <v>0</v>
      </c>
      <c r="D321" t="str">
        <f t="shared" si="25"/>
        <v>0</v>
      </c>
      <c r="E321">
        <f>'[8]BP-Men'!D182</f>
        <v>0</v>
      </c>
      <c r="F321" s="10">
        <f>'[8]BP-Men'!E182</f>
        <v>0</v>
      </c>
      <c r="G321">
        <f>'[8]BP-Men'!F182</f>
        <v>0</v>
      </c>
    </row>
    <row r="322" spans="1:7" x14ac:dyDescent="0.25">
      <c r="A322">
        <f>'[8]BP-Men'!A183</f>
        <v>0</v>
      </c>
      <c r="B322">
        <f>'[8]BP-Men'!B183</f>
        <v>0</v>
      </c>
      <c r="C322">
        <f>'[8]BP-Men'!C183</f>
        <v>0</v>
      </c>
      <c r="D322" t="str">
        <f t="shared" si="25"/>
        <v>0</v>
      </c>
      <c r="E322">
        <f>'[8]BP-Men'!D183</f>
        <v>0</v>
      </c>
      <c r="F322" s="10">
        <f>'[8]BP-Men'!E183</f>
        <v>0</v>
      </c>
      <c r="G322">
        <f>'[8]BP-Men'!F183</f>
        <v>0</v>
      </c>
    </row>
    <row r="323" spans="1:7" s="11" customFormat="1" x14ac:dyDescent="0.25">
      <c r="A323" s="11" t="s">
        <v>0</v>
      </c>
      <c r="B323" s="11">
        <v>1</v>
      </c>
      <c r="C323" s="11">
        <v>75</v>
      </c>
      <c r="D323" s="11" t="str">
        <f>'[8]BP-Men'!B184</f>
        <v>МУЖЧИНЫ - МАСТЕРС  8(75 - 79)</v>
      </c>
      <c r="F323" s="13"/>
    </row>
    <row r="324" spans="1:7" x14ac:dyDescent="0.25">
      <c r="A324">
        <f>'[8]BP-Men'!A185</f>
        <v>52</v>
      </c>
      <c r="B324">
        <f>'[8]BP-Men'!B185</f>
        <v>0</v>
      </c>
      <c r="C324">
        <f>'[8]BP-Men'!C185</f>
        <v>0</v>
      </c>
      <c r="D324" t="str">
        <f t="shared" ref="D324:D334" si="26">RIGHT(C324,2)</f>
        <v>0</v>
      </c>
      <c r="E324">
        <f>'[8]BP-Men'!D185</f>
        <v>0</v>
      </c>
      <c r="F324" s="10">
        <f>'[8]BP-Men'!E185</f>
        <v>0</v>
      </c>
      <c r="G324">
        <f>'[8]BP-Men'!F185</f>
        <v>0</v>
      </c>
    </row>
    <row r="325" spans="1:7" x14ac:dyDescent="0.25">
      <c r="A325">
        <f>'[8]BP-Men'!A186</f>
        <v>56</v>
      </c>
      <c r="B325">
        <f>'[8]BP-Men'!B186</f>
        <v>0</v>
      </c>
      <c r="C325">
        <f>'[8]BP-Men'!C186</f>
        <v>0</v>
      </c>
      <c r="D325" t="str">
        <f t="shared" si="26"/>
        <v>0</v>
      </c>
      <c r="E325">
        <f>'[8]BP-Men'!D186</f>
        <v>0</v>
      </c>
      <c r="F325" s="10">
        <f>'[8]BP-Men'!E186</f>
        <v>0</v>
      </c>
      <c r="G325">
        <f>'[8]BP-Men'!F186</f>
        <v>0</v>
      </c>
    </row>
    <row r="326" spans="1:7" x14ac:dyDescent="0.25">
      <c r="A326">
        <f>'[8]BP-Men'!A187</f>
        <v>60</v>
      </c>
      <c r="B326">
        <f>'[8]BP-Men'!B187</f>
        <v>0</v>
      </c>
      <c r="C326">
        <f>'[8]BP-Men'!C187</f>
        <v>0</v>
      </c>
      <c r="D326" t="str">
        <f t="shared" si="26"/>
        <v>0</v>
      </c>
      <c r="E326">
        <f>'[8]BP-Men'!D187</f>
        <v>0</v>
      </c>
      <c r="F326" s="10">
        <f>'[8]BP-Men'!E187</f>
        <v>0</v>
      </c>
      <c r="G326">
        <f>'[8]BP-Men'!F187</f>
        <v>0</v>
      </c>
    </row>
    <row r="327" spans="1:7" x14ac:dyDescent="0.25">
      <c r="A327">
        <f>'[8]BP-Men'!A188</f>
        <v>67.5</v>
      </c>
      <c r="B327">
        <f>'[8]BP-Men'!B188</f>
        <v>0</v>
      </c>
      <c r="C327">
        <f>'[8]BP-Men'!C188</f>
        <v>0</v>
      </c>
      <c r="D327" t="str">
        <f t="shared" si="26"/>
        <v>0</v>
      </c>
      <c r="E327">
        <f>'[8]BP-Men'!D188</f>
        <v>0</v>
      </c>
      <c r="F327" s="10">
        <f>'[8]BP-Men'!E188</f>
        <v>0</v>
      </c>
      <c r="G327">
        <f>'[8]BP-Men'!F188</f>
        <v>0</v>
      </c>
    </row>
    <row r="328" spans="1:7" x14ac:dyDescent="0.25">
      <c r="A328">
        <f>'[8]BP-Men'!A189</f>
        <v>75</v>
      </c>
      <c r="B328">
        <f>'[8]BP-Men'!B189</f>
        <v>0</v>
      </c>
      <c r="C328">
        <f>'[8]BP-Men'!C189</f>
        <v>0</v>
      </c>
      <c r="D328" t="str">
        <f t="shared" si="26"/>
        <v>0</v>
      </c>
      <c r="E328">
        <f>'[8]BP-Men'!D189</f>
        <v>0</v>
      </c>
      <c r="F328" s="10">
        <f>'[8]BP-Men'!E189</f>
        <v>0</v>
      </c>
      <c r="G328">
        <f>'[8]BP-Men'!F189</f>
        <v>0</v>
      </c>
    </row>
    <row r="329" spans="1:7" x14ac:dyDescent="0.25">
      <c r="A329">
        <f>'[8]BP-Men'!A190</f>
        <v>82.5</v>
      </c>
      <c r="B329">
        <f>'[8]BP-Men'!B190</f>
        <v>95</v>
      </c>
      <c r="C329" t="str">
        <f>'[8]BP-Men'!C190</f>
        <v>Санников Владислав/38</v>
      </c>
      <c r="D329" t="str">
        <f t="shared" si="26"/>
        <v>38</v>
      </c>
      <c r="E329" t="str">
        <f>'[8]BP-Men'!D190</f>
        <v>Королев</v>
      </c>
      <c r="F329" s="10" t="str">
        <f>'[8]BP-Men'!E190</f>
        <v>24.08.2014</v>
      </c>
      <c r="G329" t="str">
        <f>'[8]BP-Men'!F190</f>
        <v>Москва</v>
      </c>
    </row>
    <row r="330" spans="1:7" x14ac:dyDescent="0.25">
      <c r="A330">
        <f>'[8]BP-Men'!A191</f>
        <v>90</v>
      </c>
      <c r="B330">
        <f>'[8]BP-Men'!B191</f>
        <v>0</v>
      </c>
      <c r="C330">
        <f>'[8]BP-Men'!C191</f>
        <v>0</v>
      </c>
      <c r="D330" t="str">
        <f t="shared" si="26"/>
        <v>0</v>
      </c>
      <c r="E330">
        <f>'[8]BP-Men'!D191</f>
        <v>0</v>
      </c>
      <c r="F330" s="10">
        <f>'[8]BP-Men'!E191</f>
        <v>0</v>
      </c>
      <c r="G330">
        <f>'[8]BP-Men'!F191</f>
        <v>0</v>
      </c>
    </row>
    <row r="331" spans="1:7" x14ac:dyDescent="0.25">
      <c r="A331">
        <f>'[8]BP-Men'!A192</f>
        <v>100</v>
      </c>
      <c r="B331">
        <f>'[8]BP-Men'!B192</f>
        <v>0</v>
      </c>
      <c r="C331">
        <f>'[8]BP-Men'!C192</f>
        <v>0</v>
      </c>
      <c r="D331" t="str">
        <f t="shared" si="26"/>
        <v>0</v>
      </c>
      <c r="E331">
        <f>'[8]BP-Men'!D192</f>
        <v>0</v>
      </c>
      <c r="F331" s="10">
        <f>'[8]BP-Men'!E192</f>
        <v>0</v>
      </c>
      <c r="G331">
        <f>'[8]BP-Men'!F192</f>
        <v>0</v>
      </c>
    </row>
    <row r="332" spans="1:7" x14ac:dyDescent="0.25">
      <c r="A332">
        <f>'[8]BP-Men'!A193</f>
        <v>110</v>
      </c>
      <c r="B332">
        <f>'[8]BP-Men'!B193</f>
        <v>0</v>
      </c>
      <c r="C332">
        <f>'[8]BP-Men'!C193</f>
        <v>0</v>
      </c>
      <c r="D332" t="str">
        <f t="shared" si="26"/>
        <v>0</v>
      </c>
      <c r="E332">
        <f>'[8]BP-Men'!D193</f>
        <v>0</v>
      </c>
      <c r="F332" s="10">
        <f>'[8]BP-Men'!E193</f>
        <v>0</v>
      </c>
      <c r="G332">
        <f>'[8]BP-Men'!F193</f>
        <v>0</v>
      </c>
    </row>
    <row r="333" spans="1:7" x14ac:dyDescent="0.25">
      <c r="A333">
        <f>'[8]BP-Men'!A194</f>
        <v>125</v>
      </c>
      <c r="B333">
        <f>'[8]BP-Men'!B194</f>
        <v>0</v>
      </c>
      <c r="C333">
        <f>'[8]BP-Men'!C194</f>
        <v>0</v>
      </c>
      <c r="D333" t="str">
        <f t="shared" si="26"/>
        <v>0</v>
      </c>
      <c r="E333">
        <f>'[8]BP-Men'!D194</f>
        <v>0</v>
      </c>
      <c r="F333" s="10">
        <f>'[8]BP-Men'!E194</f>
        <v>0</v>
      </c>
      <c r="G333">
        <f>'[8]BP-Men'!F194</f>
        <v>0</v>
      </c>
    </row>
    <row r="334" spans="1:7" x14ac:dyDescent="0.25">
      <c r="A334">
        <f>'[8]BP-Men'!A195</f>
        <v>140</v>
      </c>
      <c r="B334">
        <f>'[8]BP-Men'!B195</f>
        <v>0</v>
      </c>
      <c r="C334">
        <f>'[8]BP-Men'!C195</f>
        <v>0</v>
      </c>
      <c r="D334" t="str">
        <f t="shared" si="26"/>
        <v>0</v>
      </c>
      <c r="E334">
        <f>'[8]BP-Men'!D195</f>
        <v>0</v>
      </c>
      <c r="F334" s="10">
        <f>'[8]BP-Men'!E195</f>
        <v>0</v>
      </c>
      <c r="G334">
        <f>'[8]BP-Men'!F195</f>
        <v>0</v>
      </c>
    </row>
    <row r="335" spans="1:7" x14ac:dyDescent="0.25">
      <c r="A335" t="str">
        <f>'[8]BP-Men'!A196</f>
        <v>140+</v>
      </c>
      <c r="B335">
        <f>'[8]BP-Men'!B196</f>
        <v>0</v>
      </c>
      <c r="C335">
        <f>'[8]BP-Men'!C196</f>
        <v>0</v>
      </c>
      <c r="D335" t="str">
        <f t="shared" ref="D335:D336" si="27">RIGHT(C335,2)</f>
        <v>0</v>
      </c>
      <c r="E335">
        <f>'[8]BP-Men'!D196</f>
        <v>0</v>
      </c>
      <c r="F335" s="10">
        <f>'[8]BP-Men'!E196</f>
        <v>0</v>
      </c>
      <c r="G335">
        <f>'[8]BP-Men'!F196</f>
        <v>0</v>
      </c>
    </row>
    <row r="336" spans="1:7" x14ac:dyDescent="0.25">
      <c r="A336">
        <f>'[8]BP-Men'!A197</f>
        <v>0</v>
      </c>
      <c r="B336">
        <f>'[8]BP-Men'!B197</f>
        <v>0</v>
      </c>
      <c r="C336">
        <f>'[8]BP-Men'!C197</f>
        <v>0</v>
      </c>
      <c r="D336" t="str">
        <f t="shared" si="27"/>
        <v>0</v>
      </c>
      <c r="E336">
        <f>'[8]BP-Men'!D197</f>
        <v>0</v>
      </c>
      <c r="F336" s="10">
        <f>'[8]BP-Men'!E197</f>
        <v>0</v>
      </c>
      <c r="G336">
        <f>'[8]BP-Men'!F197</f>
        <v>0</v>
      </c>
    </row>
    <row r="337" spans="1:7" x14ac:dyDescent="0.25">
      <c r="A337">
        <f>'[8]BP-Men'!A198</f>
        <v>0</v>
      </c>
      <c r="B337">
        <f>'[8]BP-Men'!B198</f>
        <v>0</v>
      </c>
      <c r="C337">
        <f>'[8]BP-Men'!C198</f>
        <v>0</v>
      </c>
      <c r="D337" t="str">
        <f t="shared" ref="D337:D346" si="28">RIGHT(C337,2)</f>
        <v>0</v>
      </c>
      <c r="E337">
        <f>'[8]BP-Men'!D198</f>
        <v>0</v>
      </c>
      <c r="F337" s="10">
        <f>'[8]BP-Men'!E198</f>
        <v>0</v>
      </c>
      <c r="G337">
        <f>'[8]BP-Men'!F198</f>
        <v>0</v>
      </c>
    </row>
    <row r="338" spans="1:7" x14ac:dyDescent="0.25">
      <c r="A338">
        <f>'[8]BP-Men'!A199</f>
        <v>0</v>
      </c>
      <c r="B338">
        <f>'[8]BP-Men'!B199</f>
        <v>0</v>
      </c>
      <c r="C338">
        <f>'[8]BP-Men'!C199</f>
        <v>0</v>
      </c>
      <c r="D338" t="str">
        <f t="shared" si="28"/>
        <v>0</v>
      </c>
      <c r="E338">
        <f>'[8]BP-Men'!D199</f>
        <v>0</v>
      </c>
      <c r="F338" s="10">
        <f>'[8]BP-Men'!E199</f>
        <v>0</v>
      </c>
      <c r="G338">
        <f>'[8]BP-Men'!F199</f>
        <v>0</v>
      </c>
    </row>
    <row r="339" spans="1:7" x14ac:dyDescent="0.25">
      <c r="A339">
        <f>'[8]BP-Men'!A200</f>
        <v>0</v>
      </c>
      <c r="B339">
        <f>'[8]BP-Men'!B200</f>
        <v>0</v>
      </c>
      <c r="C339">
        <f>'[8]BP-Men'!C200</f>
        <v>0</v>
      </c>
      <c r="D339" t="str">
        <f t="shared" si="28"/>
        <v>0</v>
      </c>
      <c r="E339">
        <f>'[8]BP-Men'!D200</f>
        <v>0</v>
      </c>
      <c r="F339" s="10">
        <f>'[8]BP-Men'!E200</f>
        <v>0</v>
      </c>
      <c r="G339">
        <f>'[8]BP-Men'!F200</f>
        <v>0</v>
      </c>
    </row>
    <row r="340" spans="1:7" x14ac:dyDescent="0.25">
      <c r="A340">
        <f>'[8]BP-Men'!A201</f>
        <v>0</v>
      </c>
      <c r="B340">
        <f>'[8]BP-Men'!B201</f>
        <v>0</v>
      </c>
      <c r="C340">
        <f>'[8]BP-Men'!C201</f>
        <v>0</v>
      </c>
      <c r="D340" t="str">
        <f t="shared" si="28"/>
        <v>0</v>
      </c>
      <c r="E340">
        <f>'[8]BP-Men'!D201</f>
        <v>0</v>
      </c>
      <c r="F340" s="10">
        <f>'[8]BP-Men'!E201</f>
        <v>0</v>
      </c>
      <c r="G340">
        <f>'[8]BP-Men'!F201</f>
        <v>0</v>
      </c>
    </row>
    <row r="341" spans="1:7" x14ac:dyDescent="0.25">
      <c r="A341">
        <f>'[8]BP-Men'!A202</f>
        <v>0</v>
      </c>
      <c r="B341">
        <f>'[8]BP-Men'!B202</f>
        <v>0</v>
      </c>
      <c r="C341">
        <f>'[8]BP-Men'!C202</f>
        <v>0</v>
      </c>
      <c r="D341" t="str">
        <f t="shared" si="28"/>
        <v>0</v>
      </c>
      <c r="E341">
        <f>'[8]BP-Men'!D202</f>
        <v>0</v>
      </c>
      <c r="F341" s="10">
        <f>'[8]BP-Men'!E202</f>
        <v>0</v>
      </c>
      <c r="G341">
        <f>'[8]BP-Men'!F202</f>
        <v>0</v>
      </c>
    </row>
    <row r="342" spans="1:7" x14ac:dyDescent="0.25">
      <c r="A342">
        <f>'[8]BP-Men'!A203</f>
        <v>0</v>
      </c>
      <c r="B342">
        <f>'[8]BP-Men'!B203</f>
        <v>0</v>
      </c>
      <c r="C342">
        <f>'[8]BP-Men'!C203</f>
        <v>0</v>
      </c>
      <c r="D342" t="str">
        <f t="shared" si="28"/>
        <v>0</v>
      </c>
      <c r="E342">
        <f>'[8]BP-Men'!D203</f>
        <v>0</v>
      </c>
      <c r="F342" s="10">
        <f>'[8]BP-Men'!E203</f>
        <v>0</v>
      </c>
      <c r="G342">
        <f>'[8]BP-Men'!F203</f>
        <v>0</v>
      </c>
    </row>
    <row r="343" spans="1:7" x14ac:dyDescent="0.25">
      <c r="A343">
        <f>'[8]BP-Men'!A204</f>
        <v>0</v>
      </c>
      <c r="B343">
        <f>'[8]BP-Men'!B204</f>
        <v>0</v>
      </c>
      <c r="C343">
        <f>'[8]BP-Men'!C204</f>
        <v>0</v>
      </c>
      <c r="D343" t="str">
        <f t="shared" si="28"/>
        <v>0</v>
      </c>
      <c r="E343">
        <f>'[8]BP-Men'!D204</f>
        <v>0</v>
      </c>
      <c r="F343" s="10">
        <f>'[8]BP-Men'!E204</f>
        <v>0</v>
      </c>
      <c r="G343">
        <f>'[8]BP-Men'!F204</f>
        <v>0</v>
      </c>
    </row>
    <row r="344" spans="1:7" x14ac:dyDescent="0.25">
      <c r="A344">
        <f>'[8]BP-Men'!A205</f>
        <v>0</v>
      </c>
      <c r="B344">
        <f>'[8]BP-Men'!B205</f>
        <v>0</v>
      </c>
      <c r="C344">
        <f>'[8]BP-Men'!C205</f>
        <v>0</v>
      </c>
      <c r="D344" t="str">
        <f t="shared" si="28"/>
        <v>0</v>
      </c>
      <c r="E344">
        <f>'[8]BP-Men'!D205</f>
        <v>0</v>
      </c>
      <c r="F344" s="10">
        <f>'[8]BP-Men'!E205</f>
        <v>0</v>
      </c>
      <c r="G344">
        <f>'[8]BP-Men'!F205</f>
        <v>0</v>
      </c>
    </row>
    <row r="345" spans="1:7" x14ac:dyDescent="0.25">
      <c r="A345">
        <f>'[8]BP-Men'!A206</f>
        <v>0</v>
      </c>
      <c r="B345">
        <f>'[8]BP-Men'!B206</f>
        <v>0</v>
      </c>
      <c r="C345">
        <f>'[8]BP-Men'!C206</f>
        <v>0</v>
      </c>
      <c r="D345" t="str">
        <f t="shared" si="28"/>
        <v>0</v>
      </c>
      <c r="E345">
        <f>'[8]BP-Men'!D206</f>
        <v>0</v>
      </c>
      <c r="F345" s="10">
        <f>'[8]BP-Men'!E206</f>
        <v>0</v>
      </c>
      <c r="G345">
        <f>'[8]BP-Men'!F206</f>
        <v>0</v>
      </c>
    </row>
    <row r="346" spans="1:7" x14ac:dyDescent="0.25">
      <c r="A346">
        <f>'[8]BP-Men'!A207</f>
        <v>0</v>
      </c>
      <c r="B346">
        <f>'[8]BP-Men'!B207</f>
        <v>0</v>
      </c>
      <c r="C346">
        <f>'[8]BP-Men'!C207</f>
        <v>0</v>
      </c>
      <c r="D346" t="str">
        <f t="shared" si="28"/>
        <v>0</v>
      </c>
      <c r="E346">
        <f>'[8]BP-Men'!D207</f>
        <v>0</v>
      </c>
      <c r="F346" s="10">
        <f>'[8]BP-Men'!E207</f>
        <v>0</v>
      </c>
      <c r="G346">
        <f>'[8]BP-Men'!F207</f>
        <v>0</v>
      </c>
    </row>
    <row r="356" spans="1:1" x14ac:dyDescent="0.25">
      <c r="A356" t="s">
        <v>2</v>
      </c>
    </row>
    <row r="357" spans="1:1" x14ac:dyDescent="0.25">
      <c r="A357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Мировые AWPC БЭ bench</vt:lpstr>
      <vt:lpstr>Мировые AWPC Экип bench</vt:lpstr>
      <vt:lpstr>Европейские БЭ</vt:lpstr>
      <vt:lpstr>Европейские Экип</vt:lpstr>
      <vt:lpstr>Европейские 1 слой</vt:lpstr>
      <vt:lpstr>Россия Экип</vt:lpstr>
      <vt:lpstr>Российские БЭ</vt:lpstr>
      <vt:lpstr>Российские 1 слой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2014-10-23T07:26:46Z</dcterms:modified>
</cp:coreProperties>
</file>